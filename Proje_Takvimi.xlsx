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af62f0619464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Yonetici Ozeti" sheetId="1" r:id="Rc4ac7502fffd44c4"/>
  </sheets>
  <definedNames>
    <definedName name="_xlnm.Print_Area" localSheetId="0">'Yonetici Ozeti'!$A$1:$T$32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"/>
    <x:numFmt numFmtId="202" formatCode="+0.0;-0.0;0.0"/>
    <x:numFmt numFmtId="203" formatCode="0"/>
    <x:numFmt numFmtId="204" formatCode="#,##0"/>
    <x:numFmt numFmtId="205" formatCode="+#,##0;-#,##0;0"/>
  </x:numFmts>
  <x:fonts count="12">
    <x:font>
      <x:sz val="11"/>
      <x:name val="Carlito"/>
    </x:font>
    <x:font>
      <x:sz val="10"/>
      <x:color rgb="FF26394D"/>
      <x:name val="Liberation Sans"/>
    </x:font>
    <x:font>
      <x:b/>
      <x:sz val="17"/>
      <x:color rgb="FF18324F"/>
      <x:name val="Liberation Sans"/>
    </x:font>
    <x:font>
      <x:b/>
      <x:sz val="10"/>
      <x:color rgb="FF61758A"/>
      <x:name val="Liberation Sans"/>
    </x:font>
    <x:font>
      <x:sz val="10"/>
      <x:color rgb="FF26394D"/>
      <x:name val="Liberation Sans"/>
    </x:font>
    <x:font>
      <x:sz val="9"/>
      <x:color rgb="FF61758A"/>
      <x:name val="Liberation Sans"/>
    </x:font>
    <x:font>
      <x:b/>
      <x:sz val="10"/>
      <x:color rgb="FF26394D"/>
      <x:name val="Liberation Sans"/>
    </x:font>
    <x:font>
      <x:b/>
      <x:sz val="10"/>
      <x:color rgb="FFFFFFFF"/>
      <x:name val="Liberation Sans"/>
    </x:font>
    <x:font>
      <x:sz val="9"/>
      <x:color rgb="FF26394D"/>
      <x:name val="Liberation Sans"/>
    </x:font>
    <x:font>
      <x:b/>
      <x:sz val="12"/>
      <x:color rgb="FF0D9488"/>
      <x:name val="Liberation Sans"/>
    </x:font>
    <x:font>
      <x:b/>
      <x:sz val="12"/>
      <x:color rgb="FF2563EB"/>
      <x:name val="Liberation Sans"/>
    </x:font>
    <x:font>
      <x:b/>
      <x:sz val="14"/>
      <x:color rgb="FFFFFFFF"/>
      <x:name val="Liberation Sans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AE8"/>
      </x:patternFill>
    </x:fill>
    <x:fill>
      <x:patternFill patternType="solid">
        <x:fgColor rgb="FFF2F6FB"/>
      </x:patternFill>
    </x:fill>
    <x:fill>
      <x:patternFill patternType="solid">
        <x:fgColor rgb="FFFFF0CD"/>
      </x:patternFill>
    </x:fill>
    <x:fill>
      <x:patternFill patternType="solid">
        <x:fgColor rgb="FFFCE8EC"/>
      </x:patternFill>
    </x:fill>
    <x:fill>
      <x:patternFill patternType="solid">
        <x:fgColor rgb="FFE2F4ED"/>
      </x:patternFill>
    </x:fill>
    <x:fill>
      <x:patternFill patternType="solid">
        <x:fgColor rgb="FF18324F"/>
      </x:patternFill>
    </x:fill>
    <x:fill>
      <x:patternFill patternType="solid">
        <x:fgColor rgb="FF0D9488"/>
      </x:patternFill>
    </x:fill>
    <x:fill>
      <x:patternFill patternType="solid">
        <x:fgColor rgb="FFD9770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200" fontId="4" fillId="3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1" fontId="4" fillId="3" borderId="0" xfId="0" applyNumberFormat="1" applyFont="1" applyFill="1" applyBorder="1" applyAlignment="1">
      <x:alignment horizontal="left" vertical="center" wrapText="1"/>
    </x:xf>
    <x:xf numFmtId="202" fontId="6" fillId="2" borderId="0" xfId="0" applyNumberFormat="1" applyFont="1" applyFill="1" applyBorder="1" applyAlignment="1">
      <x:alignment horizontal="left" vertical="center" wrapText="1"/>
    </x:xf>
    <x:xf numFmtId="203" fontId="6" fillId="2" borderId="0" xfId="0" applyNumberFormat="1" applyFont="1" applyFill="1" applyBorder="1" applyAlignment="1">
      <x:alignment horizontal="left" vertical="center" wrapText="1"/>
    </x:xf>
    <x:xf numFmtId="203" fontId="4" fillId="3" borderId="0" xfId="0" applyNumberFormat="1" applyFont="1" applyFill="1" applyBorder="1" applyAlignment="1">
      <x:alignment horizontal="left" vertical="center" wrapText="1"/>
    </x:xf>
    <x:xf numFmtId="204" fontId="4" fillId="3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204" fontId="6" fillId="2" borderId="0" xfId="0" applyNumberFormat="1" applyFont="1" applyFill="1" applyBorder="1" applyAlignment="1">
      <x:alignment horizontal="left" vertical="center" wrapText="1"/>
    </x:xf>
    <x:xf numFmtId="205" fontId="6" fillId="2" borderId="0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C23C4B"/>
      </x:font>
      <x:fill>
        <x:patternFill patternType="solid">
          <x:bgColor rgb="FFFCE8EC"/>
        </x:patternFill>
      </x:fill>
    </x:dxf>
    <x:dxf>
      <x:font>
        <x:b/>
        <x:color rgb="FFC23C4B"/>
      </x:font>
      <x:fill>
        <x:patternFill patternType="solid">
          <x:bgColor rgb="FFFCE8EC"/>
        </x:patternFill>
      </x:fill>
    </x:dxf>
    <x:dxf>
      <x:font>
        <x:b/>
        <x:color rgb="FFC23C4B"/>
      </x:font>
      <x:fill>
        <x:patternFill patternType="solid">
          <x:bgColor rgb="FFFCE8EC"/>
        </x:patternFill>
      </x:fill>
    </x:dxf>
    <x:dxf>
      <x:font>
        <x:b/>
        <x:color rgb="FFD97706"/>
      </x:font>
      <x:fill>
        <x:patternFill patternType="solid">
          <x:bgColor rgb="FFFFF0CD"/>
        </x:patternFill>
      </x:fill>
    </x:dxf>
    <x:dxf>
      <x:font>
        <x:b/>
        <x:color rgb="FF0D9488"/>
      </x:font>
      <x:fill>
        <x:patternFill patternType="solid">
          <x:bgColor rgb="FFE2F4ED"/>
        </x:patternFill>
      </x:fill>
    </x:dxf>
    <x:dxf>
      <x:font>
        <x:b/>
        <x:color rgb="FFC23C4B"/>
      </x:font>
      <x:fill>
        <x:patternFill patternType="solid">
          <x:bgColor rgb="FFFC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7f8d182724b38" /><Relationship Type="http://schemas.openxmlformats.org/officeDocument/2006/relationships/theme" Target="/xl/theme/theme1.xml" Id="Raae6266250d34105" /><Relationship Type="http://schemas.openxmlformats.org/officeDocument/2006/relationships/sharedStrings" Target="/xl/sharedStrings.xml" Id="Re8de58b7eb544c17" /><Relationship Type="http://schemas.openxmlformats.org/officeDocument/2006/relationships/worksheet" Target="/xl/worksheets/sheet1.xml" Id="Rc4ac7502fffd44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5df1225a4f4b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Liberation Sans"/>
                <a:ea typeface="Liberation Sans"/>
                <a:cs typeface="Liberation Sans"/>
              </a:rPr>
              <a:t>Gerçekleşen ve planlanan ilerleme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Liberation Sans"/>
              <a:ea typeface="Liberation Sans"/>
              <a:cs typeface="Liberation San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Gerçek %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'Yonetici Ozeti'!$B$8:$B$10</c:f>
              <c:strCache>
                <c:ptCount val="0"/>
              </c:strCache>
            </c:strRef>
          </c:cat>
          <c:val>
            <c:numRef>
              <c:f>'Yonetici Ozeti'!$E$8:$E$10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Plan %</c:v>
          </c:tx>
          <c:spPr>
            <a:solidFill xmlns:a="http://schemas.openxmlformats.org/drawingml/2006/main">
              <a:srgbClr val="AEC8ED"/>
            </a:solidFill>
          </c:spPr>
          <c:cat>
            <c:strRef>
              <c:f>'Yonetici Ozeti'!$B$8:$B$10</c:f>
              <c:strCache>
                <c:ptCount val="0"/>
              </c:strCache>
            </c:strRef>
          </c:cat>
          <c:val>
            <c:numRef>
              <c:f>'Yonetici Ozeti'!$F$8:$F$10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Liberation Sans"/>
                <a:ea typeface="Liberation Sans"/>
                <a:cs typeface="Liberation San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Liberation Sans"/>
                <a:ea typeface="Liberation Sans"/>
                <a:cs typeface="Liberation San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Liberation Sans"/>
              <a:ea typeface="Liberation Sans"/>
              <a:cs typeface="Liberation San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17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5df1225a4f4b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b36df73b734c6e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8324F"/>
    <pageSetUpPr fitToPage="1"/>
  </sheetPr>
  <sheetViews>
    <sheetView showGridLines="0" workbookViewId="0"/>
  </sheetViews>
  <sheetFormatPr defaultRowHeight="15"/>
  <cols>
    <col min="1" max="1" width="2.4000000953674316" hidden="0" customWidth="1"/>
    <col min="2" max="2" width="7.599999904632568" hidden="0" customWidth="1"/>
    <col min="3" max="3" width="7.599999904632568" hidden="0" customWidth="1"/>
    <col min="4" max="4" width="7.599999904632568" hidden="0" customWidth="1"/>
    <col min="5" max="5" width="7.599999904632568" hidden="0" customWidth="1"/>
    <col min="6" max="6" width="7.599999904632568" hidden="0" customWidth="1"/>
    <col min="7" max="7" width="7.599999904632568" hidden="0" customWidth="1"/>
    <col min="8" max="8" width="7.599999904632568" hidden="0" customWidth="1"/>
    <col min="9" max="9" width="7.599999904632568" hidden="0" customWidth="1"/>
    <col min="10" max="10" width="7.599999904632568" hidden="0" customWidth="1"/>
    <col min="11" max="11" width="7.599999904632568" hidden="0" customWidth="1"/>
    <col min="12" max="12" width="7.599999904632568" hidden="0" customWidth="1"/>
    <col min="13" max="13" width="7.599999904632568" hidden="0" customWidth="1"/>
    <col min="14" max="14" width="7.599999904632568" hidden="0" customWidth="1"/>
    <col min="15" max="15" width="7.599999904632568" hidden="0" customWidth="1"/>
    <col min="16" max="16" width="7.599999904632568" hidden="0" customWidth="1"/>
    <col min="17" max="17" width="7.599999904632568" hidden="0" customWidth="1"/>
    <col min="18" max="18" width="7.599999904632568" hidden="0" customWidth="1"/>
    <col min="19" max="19" width="7.599999904632568" hidden="0" customWidth="1"/>
    <col min="20" max="20" width="2.4000000953674316" hidden="0" customWidth="1"/>
  </cols>
  <sheetData>
    <row r="1" ht="7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7" customHeight="1">
      <c r="A2" s="3"/>
      <c r="B2" s="6" t="str">
        <v>PROJELERİMİN HAFTALIK ÖZETİ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3"/>
    </row>
    <row r="3" ht="21" customHeight="1">
      <c r="A3" s="3"/>
      <c r="B3" s="9" t="str">
        <v>Proje yöneticisi</v>
      </c>
      <c r="C3" s="9"/>
      <c r="D3" s="9"/>
      <c r="E3" s="13" t="str">
        <v>Ayşe Yılmaz</v>
      </c>
      <c r="F3" s="13"/>
      <c r="G3" s="13"/>
      <c r="H3" s="13"/>
      <c r="I3" s="13"/>
      <c r="J3" s="13"/>
      <c r="K3" s="3"/>
      <c r="L3" s="3"/>
      <c r="M3" s="9" t="str">
        <v>Rapor tarihi</v>
      </c>
      <c r="N3" s="9"/>
      <c r="O3" s="9"/>
      <c r="P3" s="14" t="n">
        <v>46310</v>
      </c>
      <c r="Q3" s="14"/>
      <c r="R3" s="14"/>
      <c r="S3" s="14"/>
      <c r="T3" s="3"/>
    </row>
    <row r="4" ht="13.5" customHeight="1">
      <c r="A4" s="3"/>
      <c r="B4" s="17" t="str">
        <v>Örnek portföy. Açık sarı alanlar giriş, beyaz alanlar hesaplamadır.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3"/>
    </row>
    <row r="5" ht="25.5" customHeight="1">
      <c r="A5" s="3"/>
      <c r="B5" s="21" t="str">
        <f>COUNTA(B8,B9,B10)&amp;" proje"</f>
        <v>3 proje</v>
      </c>
      <c r="C5" s="21"/>
      <c r="D5" s="21"/>
      <c r="E5" s="21"/>
      <c r="F5" s="3"/>
      <c r="G5" s="22" t="str">
        <f>COUNTIFS(L8:L10,"&gt;0")&amp;" projede takvim gecikmesi"</f>
        <v>2 projede takvim gecikmesi</v>
      </c>
      <c r="H5" s="22"/>
      <c r="I5" s="22"/>
      <c r="J5" s="22"/>
      <c r="K5" s="3"/>
      <c r="L5" s="23" t="str">
        <f>COUNTIFS(R14:R16,"&lt;0")&amp;" projede bütçe aşımı"</f>
        <v>1 projede bütçe aşımı</v>
      </c>
      <c r="M5" s="23"/>
      <c r="N5" s="23"/>
      <c r="O5" s="23"/>
      <c r="P5" s="3"/>
      <c r="Q5" s="24" t="str">
        <f>COUNTA(E27,E28,E29)&amp;" BEKLENTİ"</f>
        <v>3 BEKLENTİ</v>
      </c>
      <c r="R5" s="24"/>
      <c r="S5" s="24"/>
      <c r="T5" s="3"/>
    </row>
    <row r="6" ht="7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31.5" customHeight="1">
      <c r="A7" s="3"/>
      <c r="B7" s="28" t="str">
        <v>Proje / aşama</v>
      </c>
      <c r="C7" s="28"/>
      <c r="D7" s="28"/>
      <c r="E7" s="28" t="str">
        <v>Gerçek %</v>
      </c>
      <c r="F7" s="28" t="str">
        <v>Plan %</v>
      </c>
      <c r="G7" s="28" t="str">
        <v>Sapma puan</v>
      </c>
      <c r="H7" s="28" t="str">
        <v>Plan bitiş</v>
      </c>
      <c r="I7" s="28"/>
      <c r="J7" s="28" t="str">
        <v>Güncel bitiş</v>
      </c>
      <c r="K7" s="28"/>
      <c r="L7" s="28" t="str">
        <v>Sapma gün</v>
      </c>
      <c r="M7" s="28" t="str">
        <v>Kişi</v>
      </c>
      <c r="N7" s="28" t="str">
        <v>Saat</v>
      </c>
      <c r="O7" s="28" t="str">
        <v>Birimlere göre saat</v>
      </c>
      <c r="P7" s="28"/>
      <c r="Q7" s="28"/>
      <c r="R7" s="28" t="str">
        <v>Risk</v>
      </c>
      <c r="S7" s="28"/>
      <c r="T7" s="3"/>
    </row>
    <row r="8" ht="45" customHeight="1">
      <c r="A8" s="3"/>
      <c r="B8" s="13" t="str">
        <v>Üretim Hattı / Tedarik / saha</v>
      </c>
      <c r="C8" s="13"/>
      <c r="D8" s="13"/>
      <c r="E8" s="29" t="n">
        <v>0.505</v>
      </c>
      <c r="F8" s="29" t="n">
        <v>0.5762360446570972</v>
      </c>
      <c r="G8" s="30" t="n">
        <f>IF(AND(ISNUMBER(E8),ISNUMBER(F8)),100*(E8-F8),"Eksik %")</f>
        <v>-7.123604465709721</v>
      </c>
      <c r="H8" s="14" t="n">
        <v>46360</v>
      </c>
      <c r="I8" s="14"/>
      <c r="J8" s="14" t="n">
        <v>46367</v>
      </c>
      <c r="K8" s="14"/>
      <c r="L8" s="31" t="n">
        <f>IF(AND(ISNUMBER(H8),ISNUMBER(J8)),MAX(0,J8-H8),"Eksik tarih")</f>
        <v>7</v>
      </c>
      <c r="M8" s="32" t="n">
        <v>5</v>
      </c>
      <c r="N8" s="33" t="n">
        <v>648</v>
      </c>
      <c r="O8" s="34" t="str">
        <v>Müh. 110 / Ürt. 127 / SA 144 / Klt. 155 / PY 112</v>
      </c>
      <c r="P8" s="34"/>
      <c r="Q8" s="34"/>
      <c r="R8" s="35" t="str">
        <v>Yüksek</v>
      </c>
      <c r="S8" s="35"/>
      <c r="T8" s="3"/>
    </row>
    <row r="9" ht="45" customHeight="1">
      <c r="A9" s="3"/>
      <c r="B9" s="13" t="str">
        <v>Müşteri Portalı / Geliştirme</v>
      </c>
      <c r="C9" s="13"/>
      <c r="D9" s="13"/>
      <c r="E9" s="29" t="n">
        <v>0.475</v>
      </c>
      <c r="F9" s="29" t="n">
        <v>0.44807692307692304</v>
      </c>
      <c r="G9" s="30" t="n">
        <f>IF(AND(ISNUMBER(E9),ISNUMBER(F9)),100*(E9-F9),"Eksik %")</f>
        <v>2.692307692307694</v>
      </c>
      <c r="H9" s="14" t="n">
        <v>46353</v>
      </c>
      <c r="I9" s="14"/>
      <c r="J9" s="14" t="n">
        <v>46353</v>
      </c>
      <c r="K9" s="14"/>
      <c r="L9" s="31" t="n">
        <f>IF(AND(ISNUMBER(H9),ISNUMBER(J9)),MAX(0,J9-H9),"Eksik tarih")</f>
        <v>0</v>
      </c>
      <c r="M9" s="32" t="n">
        <v>4</v>
      </c>
      <c r="N9" s="33" t="n">
        <v>536</v>
      </c>
      <c r="O9" s="34" t="str">
        <v>BT 269 / Klt. 155 / PY 112</v>
      </c>
      <c r="P9" s="34"/>
      <c r="Q9" s="34"/>
      <c r="R9" s="35" t="str">
        <v>Orta</v>
      </c>
      <c r="S9" s="35"/>
      <c r="T9" s="3"/>
    </row>
    <row r="10" ht="45" customHeight="1">
      <c r="A10" s="3"/>
      <c r="B10" s="13" t="str">
        <v>Depo Otomasyonu / Donanım / yazılım</v>
      </c>
      <c r="C10" s="13"/>
      <c r="D10" s="13"/>
      <c r="E10" s="29" t="n">
        <v>0.52</v>
      </c>
      <c r="F10" s="29" t="n">
        <v>0.6384615384615384</v>
      </c>
      <c r="G10" s="30" t="n">
        <f>IF(AND(ISNUMBER(E10),ISNUMBER(F10)),100*(E10-F10),"Eksik %")</f>
        <v>-11.84615384615384</v>
      </c>
      <c r="H10" s="14" t="n">
        <v>46346</v>
      </c>
      <c r="I10" s="14"/>
      <c r="J10" s="14" t="n">
        <v>46360</v>
      </c>
      <c r="K10" s="14"/>
      <c r="L10" s="31" t="n">
        <f>IF(AND(ISNUMBER(H10),ISNUMBER(J10)),MAX(0,J10-H10),"Eksik tarih")</f>
        <v>14</v>
      </c>
      <c r="M10" s="32" t="n">
        <v>6</v>
      </c>
      <c r="N10" s="33" t="n">
        <v>811</v>
      </c>
      <c r="O10" s="34" t="str">
        <v>Müh. 157 / Ürt. 114 / SA 144 / Klt. 155 / PY 112 / BT 129</v>
      </c>
      <c r="P10" s="34"/>
      <c r="Q10" s="34"/>
      <c r="R10" s="35" t="str">
        <v>Yüksek</v>
      </c>
      <c r="S10" s="35"/>
      <c r="T10" s="3"/>
    </row>
    <row r="11" ht="7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21" customHeight="1">
      <c r="A12" s="3"/>
      <c r="B12" s="38" t="str">
        <v>MALİYET VE BÜTÇE  (TL, KDV hariç)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"/>
    </row>
    <row r="13" ht="31.5" customHeight="1">
      <c r="A13" s="3"/>
      <c r="B13" s="39" t="str">
        <v>Proje</v>
      </c>
      <c r="C13" s="39"/>
      <c r="D13" s="39"/>
      <c r="E13" s="39" t="str">
        <v>Gerçek efor</v>
      </c>
      <c r="F13" s="39"/>
      <c r="G13" s="39" t="str">
        <v>Gerçek alım</v>
      </c>
      <c r="H13" s="39"/>
      <c r="I13" s="39" t="str">
        <v>Kalan efor</v>
      </c>
      <c r="J13" s="39"/>
      <c r="K13" s="39" t="str">
        <v>Kalan alım</v>
      </c>
      <c r="L13" s="39"/>
      <c r="M13" s="39" t="str">
        <v>Tahmini toplam</v>
      </c>
      <c r="N13" s="39"/>
      <c r="O13" s="39" t="str">
        <v>Bütçe</v>
      </c>
      <c r="P13" s="39"/>
      <c r="Q13" s="39"/>
      <c r="R13" s="39" t="str">
        <v>Bütçe farkı</v>
      </c>
      <c r="S13" s="39"/>
      <c r="T13" s="3"/>
    </row>
    <row r="14" ht="30" customHeight="1">
      <c r="A14" s="3"/>
      <c r="B14" s="20" t="str">
        <f>LEFT(B8,FIND(" / ",B8&amp;" / ")-1)</f>
        <v>Üretim Hattı</v>
      </c>
      <c r="C14" s="20"/>
      <c r="D14" s="20"/>
      <c r="E14" s="33" t="n">
        <v>526400</v>
      </c>
      <c r="F14" s="33"/>
      <c r="G14" s="33" t="n">
        <v>400000</v>
      </c>
      <c r="H14" s="33"/>
      <c r="I14" s="33" t="n">
        <v>527000</v>
      </c>
      <c r="J14" s="33"/>
      <c r="K14" s="33" t="n">
        <v>540000</v>
      </c>
      <c r="L14" s="33"/>
      <c r="M14" s="40" t="n">
        <f>IF(AND(ISNUMBER(E14),ISNUMBER(G14),ISNUMBER(I14),ISNUMBER(K14)),SUM(E14,G14,I14,K14),"Eksik maliyet")</f>
        <v>1993400</v>
      </c>
      <c r="N14" s="40"/>
      <c r="O14" s="33" t="n">
        <v>2200000</v>
      </c>
      <c r="P14" s="33"/>
      <c r="Q14" s="33"/>
      <c r="R14" s="41" t="n">
        <f>IF(AND(ISNUMBER(O14),ISNUMBER(M14)),O14-M14,"Eksik bütçe")</f>
        <v>206600</v>
      </c>
      <c r="S14" s="41"/>
      <c r="T14" s="3"/>
    </row>
    <row r="15" ht="30" customHeight="1">
      <c r="A15" s="3"/>
      <c r="B15" s="20" t="str">
        <f>LEFT(B9,FIND(" / ",B9&amp;" / ")-1)</f>
        <v>Müşteri Portalı</v>
      </c>
      <c r="C15" s="20"/>
      <c r="D15" s="20"/>
      <c r="E15" s="33" t="n">
        <v>484550</v>
      </c>
      <c r="F15" s="33"/>
      <c r="G15" s="33" t="n">
        <v>125000</v>
      </c>
      <c r="H15" s="33"/>
      <c r="I15" s="33" t="n">
        <v>396000</v>
      </c>
      <c r="J15" s="33"/>
      <c r="K15" s="33" t="n">
        <v>65000</v>
      </c>
      <c r="L15" s="33"/>
      <c r="M15" s="40" t="n">
        <f>IF(AND(ISNUMBER(E15),ISNUMBER(G15),ISNUMBER(I15),ISNUMBER(K15)),SUM(E15,G15,I15,K15),"Eksik maliyet")</f>
        <v>1070550</v>
      </c>
      <c r="N15" s="40"/>
      <c r="O15" s="33" t="n">
        <v>950000</v>
      </c>
      <c r="P15" s="33"/>
      <c r="Q15" s="33"/>
      <c r="R15" s="41" t="n">
        <f>IF(AND(ISNUMBER(O15),ISNUMBER(M15)),O15-M15,"Eksik bütçe")</f>
        <v>-120550</v>
      </c>
      <c r="S15" s="41"/>
      <c r="T15" s="3"/>
    </row>
    <row r="16" ht="30" customHeight="1">
      <c r="A16" s="3"/>
      <c r="B16" s="20" t="str">
        <f>LEFT(B10,FIND(" / ",B10&amp;" / ")-1)</f>
        <v>Depo Otomasyonu</v>
      </c>
      <c r="C16" s="20"/>
      <c r="D16" s="20"/>
      <c r="E16" s="33" t="n">
        <v>679800</v>
      </c>
      <c r="F16" s="33"/>
      <c r="G16" s="33" t="n">
        <v>260000</v>
      </c>
      <c r="H16" s="33"/>
      <c r="I16" s="33" t="n">
        <v>288000</v>
      </c>
      <c r="J16" s="33"/>
      <c r="K16" s="33" t="n">
        <v>185000</v>
      </c>
      <c r="L16" s="33"/>
      <c r="M16" s="40" t="n">
        <f>IF(AND(ISNUMBER(E16),ISNUMBER(G16),ISNUMBER(I16),ISNUMBER(K16)),SUM(E16,G16,I16,K16),"Eksik maliyet")</f>
        <v>1412800</v>
      </c>
      <c r="N16" s="40"/>
      <c r="O16" s="33" t="n">
        <v>1450000</v>
      </c>
      <c r="P16" s="33"/>
      <c r="Q16" s="33"/>
      <c r="R16" s="41" t="n">
        <f>IF(AND(ISNUMBER(O16),ISNUMBER(M16)),O16-M16,"Eksik bütçe")</f>
        <v>37200</v>
      </c>
      <c r="S16" s="41"/>
      <c r="T16" s="3"/>
    </row>
    <row r="17" ht="7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21" customHeight="1">
      <c r="A18" s="3"/>
      <c r="B18" s="44" t="str">
        <v>BU HAFTA VE SONRAKİ ADIM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3"/>
      <c r="N18" s="3"/>
      <c r="O18" s="3"/>
      <c r="P18" s="3"/>
      <c r="Q18" s="3"/>
      <c r="R18" s="3"/>
      <c r="S18" s="3"/>
      <c r="T18" s="3"/>
    </row>
    <row r="19" ht="27" customHeight="1">
      <c r="A19" s="3"/>
      <c r="B19" s="28" t="str">
        <v>Proje</v>
      </c>
      <c r="C19" s="28"/>
      <c r="D19" s="28"/>
      <c r="E19" s="28" t="str">
        <v>Yapılanlar</v>
      </c>
      <c r="F19" s="28"/>
      <c r="G19" s="28"/>
      <c r="H19" s="28"/>
      <c r="I19" s="28" t="str">
        <v>Sıradaki iş</v>
      </c>
      <c r="J19" s="28"/>
      <c r="K19" s="28"/>
      <c r="L19" s="28"/>
      <c r="M19" s="3"/>
      <c r="N19" s="3"/>
      <c r="O19" s="3"/>
      <c r="P19" s="3"/>
      <c r="Q19" s="3"/>
      <c r="R19" s="3"/>
      <c r="S19" s="3"/>
      <c r="T19" s="3"/>
    </row>
    <row r="20" ht="41.25" customHeight="1">
      <c r="A20" s="3"/>
      <c r="B20" s="20" t="str">
        <f>B14</f>
        <v>Üretim Hattı</v>
      </c>
      <c r="C20" s="20"/>
      <c r="D20" s="20"/>
      <c r="E20" s="13" t="str">
        <v>Kabul test listesi tamamlandı.</v>
      </c>
      <c r="F20" s="13"/>
      <c r="G20" s="13"/>
      <c r="H20" s="13"/>
      <c r="I20" s="13" t="str">
        <v>Alternatif motor teklifini netleştir.</v>
      </c>
      <c r="J20" s="13"/>
      <c r="K20" s="13"/>
      <c r="L20" s="13"/>
      <c r="M20" s="3"/>
      <c r="N20" s="3"/>
      <c r="O20" s="3"/>
      <c r="P20" s="3"/>
      <c r="Q20" s="3"/>
      <c r="R20" s="3"/>
      <c r="S20" s="3"/>
      <c r="T20" s="3"/>
    </row>
    <row r="21" ht="41.25" customHeight="1">
      <c r="A21" s="3"/>
      <c r="B21" s="20" t="str">
        <f>B15</f>
        <v>Müşteri Portalı</v>
      </c>
      <c r="C21" s="20"/>
      <c r="D21" s="20"/>
      <c r="E21" s="13" t="str">
        <v>Tasarım onayı alındı.</v>
      </c>
      <c r="F21" s="13"/>
      <c r="G21" s="13"/>
      <c r="H21" s="13"/>
      <c r="I21" s="13" t="str">
        <v>Entegrasyon test hesabını aç.</v>
      </c>
      <c r="J21" s="13"/>
      <c r="K21" s="13"/>
      <c r="L21" s="13"/>
      <c r="M21" s="3"/>
      <c r="N21" s="3"/>
      <c r="O21" s="3"/>
      <c r="P21" s="3"/>
      <c r="Q21" s="3"/>
      <c r="R21" s="3"/>
      <c r="S21" s="3"/>
      <c r="T21" s="3"/>
    </row>
    <row r="22" ht="41.25" customHeight="1">
      <c r="A22" s="3"/>
      <c r="B22" s="20" t="str">
        <f>B16</f>
        <v>Depo Otomasyonu</v>
      </c>
      <c r="C22" s="20"/>
      <c r="D22" s="20"/>
      <c r="E22" s="13" t="str">
        <v>Pilot süreç analizi tamamlandı.</v>
      </c>
      <c r="F22" s="13"/>
      <c r="G22" s="13"/>
      <c r="H22" s="13"/>
      <c r="I22" s="13" t="str">
        <v>Kısmi sevkiyatı ve sayımı planla.</v>
      </c>
      <c r="J22" s="13"/>
      <c r="K22" s="13"/>
      <c r="L22" s="13"/>
      <c r="M22" s="3"/>
      <c r="N22" s="3"/>
      <c r="O22" s="3"/>
      <c r="P22" s="3"/>
      <c r="Q22" s="3"/>
      <c r="R22" s="3"/>
      <c r="S22" s="3"/>
      <c r="T22" s="3"/>
    </row>
    <row r="23" ht="7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7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25.5" customHeight="1">
      <c r="A25" s="3"/>
      <c r="B25" s="48" t="str">
        <v>BEKLENTİ  /  ÜST YÖNETİMDEN KARAR VE DESTEK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3"/>
    </row>
    <row r="26" ht="30" customHeight="1">
      <c r="A26" s="3"/>
      <c r="B26" s="28" t="str">
        <v>Proje</v>
      </c>
      <c r="C26" s="28"/>
      <c r="D26" s="28"/>
      <c r="E26" s="28" t="str">
        <v>İstenen karar / destek</v>
      </c>
      <c r="F26" s="28"/>
      <c r="G26" s="28"/>
      <c r="H26" s="28"/>
      <c r="I26" s="28"/>
      <c r="J26" s="28"/>
      <c r="K26" s="28" t="str">
        <v>Karar mercii</v>
      </c>
      <c r="L26" s="28"/>
      <c r="M26" s="28"/>
      <c r="N26" s="28" t="str">
        <v>Son tarih</v>
      </c>
      <c r="O26" s="28"/>
      <c r="P26" s="28" t="str">
        <v>Gecikirse etkisi</v>
      </c>
      <c r="Q26" s="28"/>
      <c r="R26" s="28"/>
      <c r="S26" s="28"/>
      <c r="T26" s="3"/>
    </row>
    <row r="27" ht="42" customHeight="1">
      <c r="A27" s="3"/>
      <c r="B27" s="20" t="str">
        <f>B14</f>
        <v>Üretim Hattı</v>
      </c>
      <c r="C27" s="20"/>
      <c r="D27" s="20"/>
      <c r="E27" s="13" t="str">
        <v>Alternatif motor tedarikçisini onaylayın.</v>
      </c>
      <c r="F27" s="13"/>
      <c r="G27" s="13"/>
      <c r="H27" s="13"/>
      <c r="I27" s="13"/>
      <c r="J27" s="13"/>
      <c r="K27" s="13" t="str">
        <v>Operasyon Direktörü</v>
      </c>
      <c r="L27" s="13"/>
      <c r="M27" s="13"/>
      <c r="N27" s="14" t="n">
        <v>46315</v>
      </c>
      <c r="O27" s="14"/>
      <c r="P27" s="13" t="str">
        <v>Kurulum 7 gün ötelenebilir.</v>
      </c>
      <c r="Q27" s="13"/>
      <c r="R27" s="13"/>
      <c r="S27" s="13"/>
      <c r="T27" s="3"/>
    </row>
    <row r="28" ht="42" customHeight="1">
      <c r="A28" s="3"/>
      <c r="B28" s="20" t="str">
        <f>B15</f>
        <v>Müşteri Portalı</v>
      </c>
      <c r="C28" s="20"/>
      <c r="D28" s="20"/>
      <c r="E28" s="13" t="str">
        <v>121 bin TL ek bütçe onayı.</v>
      </c>
      <c r="F28" s="13"/>
      <c r="G28" s="13"/>
      <c r="H28" s="13"/>
      <c r="I28" s="13"/>
      <c r="J28" s="13"/>
      <c r="K28" s="13" t="str">
        <v>Genel Müdür / Finans</v>
      </c>
      <c r="L28" s="13"/>
      <c r="M28" s="13"/>
      <c r="N28" s="14" t="n">
        <v>46314</v>
      </c>
      <c r="O28" s="14"/>
      <c r="P28" s="13" t="str">
        <v>Güvenlik testleri gecikebilir.</v>
      </c>
      <c r="Q28" s="13"/>
      <c r="R28" s="13"/>
      <c r="S28" s="13"/>
      <c r="T28" s="3"/>
    </row>
    <row r="29" ht="42" customHeight="1">
      <c r="A29" s="3"/>
      <c r="B29" s="20" t="str">
        <f>B16</f>
        <v>Depo Otomasyonu</v>
      </c>
      <c r="C29" s="20"/>
      <c r="D29" s="20"/>
      <c r="E29" s="13" t="str">
        <v>Pilot kurulum için 2 günlük saha desteği.</v>
      </c>
      <c r="F29" s="13"/>
      <c r="G29" s="13"/>
      <c r="H29" s="13"/>
      <c r="I29" s="13"/>
      <c r="J29" s="13"/>
      <c r="K29" s="13" t="str">
        <v>Üretim Direktörü</v>
      </c>
      <c r="L29" s="13"/>
      <c r="M29" s="13"/>
      <c r="N29" s="14" t="n">
        <v>46311</v>
      </c>
      <c r="O29" s="14"/>
      <c r="P29" s="13" t="str">
        <v>Kabul takvimi 14 gün sarkabilir.</v>
      </c>
      <c r="Q29" s="13"/>
      <c r="R29" s="13"/>
      <c r="S29" s="13"/>
      <c r="T29" s="3"/>
    </row>
    <row r="30" ht="7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6.5" customHeight="1">
      <c r="A31" s="3"/>
      <c r="B31" s="17" t="str">
        <v>Bütçe farkı = bütçe − tahmini toplam. Negatif fark aşım, pozitif takvim günü gecikme demektir.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3"/>
    </row>
    <row r="32" ht="16.5" customHeight="1">
      <c r="A32" s="3"/>
      <c r="B32" s="17" t="str">
        <v>Birimler: Müh. mühendislik, Ürt. üretim, SA satın alma, Klt. kalite, PY proje yönetimi, BT bilgi teknolojileri.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3"/>
    </row>
  </sheetData>
  <mergeCells>
    <mergeCell ref="B2:S2"/>
    <mergeCell ref="B3:D3"/>
    <mergeCell ref="E3:J3"/>
    <mergeCell ref="M3:O3"/>
    <mergeCell ref="P3:S3"/>
    <mergeCell ref="B4:S4"/>
    <mergeCell ref="B5:E5"/>
    <mergeCell ref="G5:J5"/>
    <mergeCell ref="L5:O5"/>
    <mergeCell ref="Q5:S5"/>
    <mergeCell ref="B7:D7"/>
    <mergeCell ref="H7:I7"/>
    <mergeCell ref="J7:K7"/>
    <mergeCell ref="O7:Q7"/>
    <mergeCell ref="R7:S7"/>
    <mergeCell ref="B8:D8"/>
    <mergeCell ref="H8:I8"/>
    <mergeCell ref="J8:K8"/>
    <mergeCell ref="O8:Q8"/>
    <mergeCell ref="R8:S8"/>
    <mergeCell ref="B9:D9"/>
    <mergeCell ref="H9:I9"/>
    <mergeCell ref="J9:K9"/>
    <mergeCell ref="O9:Q9"/>
    <mergeCell ref="R9:S9"/>
    <mergeCell ref="B10:D10"/>
    <mergeCell ref="H10:I10"/>
    <mergeCell ref="J10:K10"/>
    <mergeCell ref="O10:Q10"/>
    <mergeCell ref="R10:S10"/>
    <mergeCell ref="B12:S12"/>
    <mergeCell ref="B13:D13"/>
    <mergeCell ref="E13:F13"/>
    <mergeCell ref="G13:H13"/>
    <mergeCell ref="I13:J13"/>
    <mergeCell ref="K13:L13"/>
    <mergeCell ref="M13:N13"/>
    <mergeCell ref="O13:Q13"/>
    <mergeCell ref="R13:S13"/>
    <mergeCell ref="B14:D14"/>
    <mergeCell ref="E14:F14"/>
    <mergeCell ref="G14:H14"/>
    <mergeCell ref="I14:J14"/>
    <mergeCell ref="K14:L14"/>
    <mergeCell ref="M14:N14"/>
    <mergeCell ref="O14:Q14"/>
    <mergeCell ref="R14:S14"/>
    <mergeCell ref="B15:D15"/>
    <mergeCell ref="E15:F15"/>
    <mergeCell ref="G15:H15"/>
    <mergeCell ref="I15:J15"/>
    <mergeCell ref="K15:L15"/>
    <mergeCell ref="M15:N15"/>
    <mergeCell ref="O15:Q15"/>
    <mergeCell ref="R15:S15"/>
    <mergeCell ref="B16:D16"/>
    <mergeCell ref="E16:F16"/>
    <mergeCell ref="G16:H16"/>
    <mergeCell ref="I16:J16"/>
    <mergeCell ref="K16:L16"/>
    <mergeCell ref="M16:N16"/>
    <mergeCell ref="O16:Q16"/>
    <mergeCell ref="R16:S16"/>
    <mergeCell ref="B18:L18"/>
    <mergeCell ref="B19:D19"/>
    <mergeCell ref="E19:H19"/>
    <mergeCell ref="I19:L19"/>
    <mergeCell ref="B20:D20"/>
    <mergeCell ref="E20:H20"/>
    <mergeCell ref="I20:L20"/>
    <mergeCell ref="B21:D21"/>
    <mergeCell ref="E21:H21"/>
    <mergeCell ref="I21:L21"/>
    <mergeCell ref="B22:D22"/>
    <mergeCell ref="E22:H22"/>
    <mergeCell ref="I22:L22"/>
    <mergeCell ref="B25:S25"/>
    <mergeCell ref="B26:D26"/>
    <mergeCell ref="E26:J26"/>
    <mergeCell ref="K26:M26"/>
    <mergeCell ref="N26:O26"/>
    <mergeCell ref="P26:S26"/>
    <mergeCell ref="B27:D27"/>
    <mergeCell ref="E27:J27"/>
    <mergeCell ref="K27:M27"/>
    <mergeCell ref="N27:O27"/>
    <mergeCell ref="P27:S27"/>
    <mergeCell ref="B28:D28"/>
    <mergeCell ref="E28:J28"/>
    <mergeCell ref="K28:M28"/>
    <mergeCell ref="N28:O28"/>
    <mergeCell ref="P28:S28"/>
    <mergeCell ref="B29:D29"/>
    <mergeCell ref="E29:J29"/>
    <mergeCell ref="K29:M29"/>
    <mergeCell ref="N29:O29"/>
    <mergeCell ref="P29:S29"/>
    <mergeCell ref="B31:S31"/>
    <mergeCell ref="B32:S32"/>
  </mergeCells>
  <conditionalFormatting sqref="G8:G10">
    <cfRule type="expression" dxfId="0" priority="1">
      <formula>AND(ISNUMBER(G8),G8&lt;0)</formula>
    </cfRule>
  </conditionalFormatting>
  <conditionalFormatting sqref="L8:L10">
    <cfRule type="expression" dxfId="1" priority="2">
      <formula>AND(ISNUMBER(L8),L8&gt;0)</formula>
    </cfRule>
  </conditionalFormatting>
  <conditionalFormatting sqref="R8:S10">
    <cfRule type="expression" dxfId="2" priority="3">
      <formula>$R8="Yüksek"</formula>
    </cfRule>
    <cfRule type="expression" dxfId="3" priority="4">
      <formula>$R8="Orta"</formula>
    </cfRule>
    <cfRule type="expression" dxfId="4" priority="5">
      <formula>$R8="Düşük"</formula>
    </cfRule>
  </conditionalFormatting>
  <conditionalFormatting sqref="R14:S16">
    <cfRule type="expression" dxfId="5" priority="6">
      <formula>AND(ISNUMBER($R14),$R14&lt;0)</formula>
    </cfRule>
  </conditionalFormatting>
  <dataValidations count="5">
    <dataValidation type="list" sqref="R8">
      <formula1>"Düşük,Orta,Yüksek"</formula1>
    </dataValidation>
    <dataValidation type="list" sqref="R9">
      <formula1>"Düşük,Orta,Yüksek"</formula1>
    </dataValidation>
    <dataValidation type="list" sqref="R10">
      <formula1>"Düşük,Orta,Yüksek"</formula1>
    </dataValidation>
    <dataValidation type="decimal" operator="between" sqref="E8:F10">
      <formula1>0</formula1>
      <formula2>1</formula2>
    </dataValidation>
    <dataValidation type="whole" operator="between" sqref="M8:N10">
      <formula1>0</formula1>
      <formula2>1000000</formula2>
    </dataValidation>
  </dataValidations>
  <printOptions horizontalCentered="1"/>
  <pageMargins left="0.22" right="0.22" top="0.22" bottom="0.22" header="0" footer="0"/>
  <pageSetup paperSize="8" orientation="landscape" fitToWidth="1" fitToHeight="1"/>
  <drawing r:id="R81b36df73b734c6e"/>
</worksheet>
</file>