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bce8cda2a47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nel" sheetId="1" r:id="Re1d65d0dae6048c4"/>
    <x:sheet xmlns:r="http://schemas.openxmlformats.org/officeDocument/2006/relationships" name="Portfoy" sheetId="2" r:id="R8fe0bdce97d74eb8"/>
    <x:sheet xmlns:r="http://schemas.openxmlformats.org/officeDocument/2006/relationships" name="Takvim" sheetId="3" r:id="R6e969b0ab0994288"/>
    <x:sheet xmlns:r="http://schemas.openxmlformats.org/officeDocument/2006/relationships" name="Projeler" sheetId="4" r:id="Rc67bffd6089848d3"/>
    <x:sheet xmlns:r="http://schemas.openxmlformats.org/officeDocument/2006/relationships" name="Gorevler" sheetId="5" r:id="R742015280115435e"/>
    <x:sheet xmlns:r="http://schemas.openxmlformats.org/officeDocument/2006/relationships" name="Efor" sheetId="6" r:id="R1868cb938c384880"/>
    <x:sheet xmlns:r="http://schemas.openxmlformats.org/officeDocument/2006/relationships" name="Maliyetler" sheetId="7" r:id="R2037dc0c3c4e4ef2"/>
    <x:sheet xmlns:r="http://schemas.openxmlformats.org/officeDocument/2006/relationships" name="Riskler" sheetId="8" r:id="R25fe4dae15a34561"/>
    <x:sheet xmlns:r="http://schemas.openxmlformats.org/officeDocument/2006/relationships" name="Aksiyonlar" sheetId="9" r:id="R061860d3c9054c22"/>
    <x:sheet xmlns:r="http://schemas.openxmlformats.org/officeDocument/2006/relationships" name="Haftalik" sheetId="10" r:id="Rea5ed06a81fd4ecc"/>
    <x:sheet xmlns:r="http://schemas.openxmlformats.org/officeDocument/2006/relationships" name="Kullanim" sheetId="11" r:id="R8eabc4e508a24d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yyyy-mm-dd"/>
    <x:numFmt numFmtId="201" formatCode="#,##0&quot; TL&quot;"/>
    <x:numFmt numFmtId="202" formatCode="0.0%"/>
    <x:numFmt numFmtId="203" formatCode="0.0"/>
    <x:numFmt numFmtId="204" formatCode="+0.0&quot; puan&quot;;-0.0&quot; puan&quot;;0.0&quot; puan&quot;"/>
    <x:numFmt numFmtId="205" formatCode="0%"/>
    <x:numFmt numFmtId="206" formatCode="#,##0&quot; saat&quot;"/>
    <x:numFmt numFmtId="207" formatCode="0&quot; kişi&quot;"/>
    <x:numFmt numFmtId="208" formatCode="0&quot; risk&quot;"/>
    <x:numFmt numFmtId="209" formatCode="0&quot; aksiyon&quot;"/>
    <x:numFmt numFmtId="210" formatCode="#,##0"/>
    <x:numFmt numFmtId="211" formatCode="dd/mm"/>
    <x:numFmt numFmtId="212" formatCode=";;;"/>
  </x:numFmts>
  <x:fonts count="10">
    <x:font>
      <x:sz val="11"/>
      <x:name val="Carlito"/>
    </x:font>
    <x:font>
      <x:sz val="10"/>
      <x:color rgb="FF24364B"/>
      <x:name val="Arial"/>
    </x:font>
    <x:font>
      <x:b/>
      <x:sz val="16"/>
      <x:color rgb="FF17324D"/>
      <x:name val="Arial"/>
    </x:font>
    <x:font>
      <x:i/>
      <x:sz val="10"/>
      <x:color rgb="FF687C90"/>
      <x:name val="Arial"/>
    </x:font>
    <x:font>
      <x:b/>
      <x:sz val="10"/>
      <x:color rgb="FFFFFFFF"/>
      <x:name val="Arial"/>
    </x:font>
    <x:font>
      <x:b/>
      <x:sz val="11"/>
      <x:color rgb="FF17324D"/>
      <x:name val="Arial"/>
    </x:font>
    <x:font>
      <x:b/>
      <x:sz val="10"/>
      <x:color rgb="FF687C90"/>
      <x:name val="Arial"/>
    </x:font>
    <x:font>
      <x:b/>
      <x:sz val="20"/>
      <x:color rgb="FF17324D"/>
      <x:name val="Arial"/>
    </x:font>
    <x:font>
      <x:sz val="9"/>
      <x:color rgb="FF687C90"/>
      <x:name val="Arial"/>
    </x:font>
    <x:font>
      <x:b/>
      <x:sz val="10"/>
      <x:color rgb="FF17324D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3CD"/>
      </x:patternFill>
    </x:fill>
    <x:fill>
      <x:patternFill patternType="solid">
        <x:fgColor rgb="FF17324D"/>
      </x:patternFill>
    </x:fill>
    <x:fill>
      <x:patternFill patternType="solid">
        <x:fgColor rgb="FFF1F5FA"/>
      </x:patternFill>
    </x:fill>
    <x:fill>
      <x:patternFill patternType="solid">
        <x:fgColor rgb="FFDBEAFE"/>
      </x:patternFill>
    </x:fill>
    <x:fill>
      <x:patternFill patternType="solid">
        <x:fgColor rgb="FFDDF3EB"/>
      </x:patternFill>
    </x:fill>
    <x:fill>
      <x:patternFill patternType="solid">
        <x:fgColor rgb="FFFDE8EB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CE5EE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5" fontId="7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204" fontId="7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206" fontId="7" fillId="4" borderId="0" xfId="0" applyNumberFormat="1" applyFont="1" applyFill="1" applyBorder="1" applyAlignment="1">
      <x:alignment vertical="center"/>
    </x:xf>
    <x:xf numFmtId="207" fontId="7" fillId="4" borderId="0" xfId="0" applyNumberFormat="1" applyFont="1" applyFill="1" applyBorder="1" applyAlignment="1">
      <x:alignment vertical="center"/>
    </x:xf>
    <x:xf numFmtId="208" fontId="7" fillId="4" borderId="0" xfId="0" applyNumberFormat="1" applyFont="1" applyFill="1" applyBorder="1" applyAlignment="1">
      <x:alignment vertical="center"/>
    </x:xf>
    <x:xf numFmtId="209" fontId="7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10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11" fontId="1" fillId="3" borderId="0" xfId="0" applyNumberFormat="1" applyFont="1" applyFill="1" applyBorder="1" applyAlignment="1">
      <x:alignment vertical="center"/>
    </x:xf>
    <x:xf numFmtId="211" fontId="4" fillId="3" borderId="0" xfId="0" applyNumberFormat="1" applyFont="1" applyFill="1" applyBorder="1" applyAlignment="1">
      <x:alignment vertical="center"/>
    </x:xf>
    <x:xf numFmtId="211" fontId="4" fillId="3" borderId="0" xfId="0" applyNumberFormat="1" applyFont="1" applyFill="1" applyBorder="1" applyAlignment="1">
      <x:alignment vertical="center" wrapText="1"/>
    </x:xf>
    <x:xf numFmtId="211" fontId="4" fillId="3" borderId="0" xfId="0" applyNumberFormat="1" applyFont="1" applyFill="1" applyBorder="1" applyAlignment="1">
      <x:alignment horizontal="center" vertical="center" wrapText="1"/>
    </x:xf>
    <x:xf numFmtId="212" fontId="1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1"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color rgb="FFC63C48"/>
      </x:font>
      <x:fill>
        <x:patternFill patternType="solid">
          <x:bgColor rgb="FFFDE8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color rgb="FFC63C48"/>
      </x:font>
      <x:fill>
        <x:patternFill patternType="solid">
          <x:bgColor rgb="FFFDE8EB"/>
        </x:patternFill>
      </x:fill>
    </x:dxf>
    <x:dxf>
      <x:font>
        <x:color rgb="FFBD7900"/>
      </x:font>
      <x:fill>
        <x:patternFill patternType="solid">
          <x:bgColor rgb="FFFFF0CD"/>
        </x:patternFill>
      </x:fill>
    </x:dxf>
    <x:dxf>
      <x:font>
        <x:color rgb="FFC63C48"/>
      </x:font>
      <x:fill>
        <x:patternFill patternType="solid">
          <x:bgColor rgb="FFFDE8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color rgb="FFBD7900"/>
      </x:font>
      <x:fill>
        <x:patternFill patternType="solid">
          <x:bgColor rgb="FFFFF0CD"/>
        </x:patternFill>
      </x:fill>
    </x:dxf>
    <x:dxf>
      <x:font>
        <x:color rgb="FFC63C48"/>
      </x:font>
      <x:fill>
        <x:patternFill patternType="solid">
          <x:bgColor rgb="FFFDE8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  <x:dxf>
      <x:font>
        <x:color rgb="FFBD7900"/>
      </x:font>
      <x:fill>
        <x:patternFill patternType="solid">
          <x:bgColor rgb="FFFFF0CD"/>
        </x:patternFill>
      </x:fill>
    </x:dxf>
    <x:dxf>
      <x:font>
        <x:color rgb="FFC63C48"/>
      </x:font>
      <x:fill>
        <x:patternFill patternType="solid">
          <x:bgColor rgb="FFFDE8EB"/>
        </x:patternFill>
      </x:fill>
    </x:dxf>
    <x:dxf>
      <x:font>
        <x:color rgb="FFC63C48"/>
      </x:font>
      <x:fill>
        <x:patternFill patternType="solid">
          <x:bgColor rgb="FFFDE8EB"/>
        </x:patternFill>
      </x:fill>
    </x:dxf>
    <x:dxf>
      <x:font>
        <x:color rgb="FF24364B"/>
      </x:font>
      <x:fill>
        <x:patternFill patternType="solid">
          <x:bgColor rgb="FFDBEAFE"/>
        </x:patternFill>
      </x:fill>
    </x:dxf>
    <x:dxf>
      <x:font>
        <x:color rgb="FF24364B"/>
      </x:font>
      <x:fill>
        <x:patternFill patternType="solid">
          <x:bgColor rgb="FFB5E3D6"/>
        </x:patternFill>
      </x:fill>
    </x:dxf>
    <x:dxf>
      <x:font>
        <x:color rgb="FF24364B"/>
      </x:font>
      <x:fill>
        <x:patternFill patternType="solid">
          <x:bgColor rgb="FFF5BAC1"/>
        </x:patternFill>
      </x:fill>
    </x:dxf>
    <x:dxf>
      <x:font>
        <x:b/>
        <x:color rgb="FFFFFFFF"/>
      </x:font>
      <x:fill>
        <x:patternFill patternType="solid">
          <x:bgColor rgb="FF2563EB"/>
        </x:patternFill>
      </x:fill>
    </x:dxf>
    <x:dxf>
      <x:font>
        <x:b/>
        <x:color rgb="FFC63C48"/>
      </x:font>
      <x:fill>
        <x:patternFill patternType="solid">
          <x:bgColor rgb="FFFDE8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afb99397ea4e79" /><Relationship Type="http://schemas.openxmlformats.org/officeDocument/2006/relationships/theme" Target="/xl/theme/theme1.xml" Id="Ra43428a45423420f" /><Relationship Type="http://schemas.openxmlformats.org/officeDocument/2006/relationships/sharedStrings" Target="/xl/sharedStrings.xml" Id="R398621d36623436e" /><Relationship Type="http://schemas.openxmlformats.org/officeDocument/2006/relationships/worksheet" Target="/xl/worksheets/sheet1.xml" Id="Re1d65d0dae6048c4" /><Relationship Type="http://schemas.openxmlformats.org/officeDocument/2006/relationships/worksheet" Target="/xl/worksheets/sheet2.xml" Id="R8fe0bdce97d74eb8" /><Relationship Type="http://schemas.openxmlformats.org/officeDocument/2006/relationships/worksheet" Target="/xl/worksheets/sheet3.xml" Id="R6e969b0ab0994288" /><Relationship Type="http://schemas.openxmlformats.org/officeDocument/2006/relationships/worksheet" Target="/xl/worksheets/sheet4.xml" Id="Rc67bffd6089848d3" /><Relationship Type="http://schemas.openxmlformats.org/officeDocument/2006/relationships/worksheet" Target="/xl/worksheets/sheet5.xml" Id="R742015280115435e" /><Relationship Type="http://schemas.openxmlformats.org/officeDocument/2006/relationships/worksheet" Target="/xl/worksheets/sheet6.xml" Id="R1868cb938c384880" /><Relationship Type="http://schemas.openxmlformats.org/officeDocument/2006/relationships/worksheet" Target="/xl/worksheets/sheet7.xml" Id="R2037dc0c3c4e4ef2" /><Relationship Type="http://schemas.openxmlformats.org/officeDocument/2006/relationships/worksheet" Target="/xl/worksheets/sheet8.xml" Id="R25fe4dae15a34561" /><Relationship Type="http://schemas.openxmlformats.org/officeDocument/2006/relationships/worksheet" Target="/xl/worksheets/sheet9.xml" Id="R061860d3c9054c22" /><Relationship Type="http://schemas.openxmlformats.org/officeDocument/2006/relationships/worksheet" Target="/xl/worksheets/sheet10.xml" Id="Rea5ed06a81fd4ecc" /><Relationship Type="http://schemas.openxmlformats.org/officeDocument/2006/relationships/worksheet" Target="/xl/worksheets/sheet11.xml" Id="R8eabc4e508a24d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98e5db9dbf4d6e" /><Relationship Type="http://schemas.openxmlformats.org/officeDocument/2006/relationships/chart" Target="/xl/drawings/charts/chart2.xml" Id="R8f09916ee78e4bb0" /><Relationship Type="http://schemas.openxmlformats.org/officeDocument/2006/relationships/chart" Target="/xl/drawings/charts/chart3.xml" Id="Raa0f2a38ad37436f" /><Relationship Type="http://schemas.openxmlformats.org/officeDocument/2006/relationships/chart" Target="/xl/drawings/charts/chart4.xml" Id="R407852a4c34b44a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Planlanan ve gerçekleşen ilerleme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Planlanan</c:v>
          </c:tx>
          <c:spPr>
            <a:solidFill xmlns:a="http://schemas.openxmlformats.org/drawingml/2006/main">
              <a:srgbClr val="687C90"/>
            </a:solidFill>
            <a:ln xmlns:a="http://schemas.openxmlformats.org/drawingml/2006/main" w="23813">
              <a:solidFill>
                <a:srgbClr val="687C90"/>
              </a:solidFill>
              <a:prstDash val="dash"/>
            </a:ln>
          </c:spPr>
          <c:marker>
            <c:symbol val="none"/>
          </c:marker>
          <c:cat>
            <c:strRef>
              <c:f>'Panel'!$B$75:$B$86</c:f>
              <c:strCache>
                <c:ptCount val="0"/>
              </c:strCache>
            </c:strRef>
          </c:cat>
          <c:val>
            <c:numRef>
              <c:f>'Panel'!$C$75:$C$86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Gerçekleşen</c:v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23813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strRef>
              <c:f>'Panel'!$B$75:$B$86</c:f>
              <c:strCache>
                <c:ptCount val="0"/>
              </c:strCache>
            </c:strRef>
          </c:cat>
          <c:val>
            <c:numRef>
              <c:f>'Panel'!$D$75:$D$86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Tamamlanma maliyeti bileşenleri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Tutar (TL)</c:v>
          </c:tx>
          <c:spPr>
            <a:solidFill xmlns:a="http://schemas.openxmlformats.org/drawingml/2006/main">
              <a:srgbClr val="2563EB"/>
            </a:solidFill>
          </c:spPr>
          <c:cat>
            <c:strRef>
              <c:f>'Panel'!$F$75:$F$78</c:f>
              <c:strCache>
                <c:ptCount val="0"/>
              </c:strCache>
            </c:strRef>
          </c:cat>
          <c:val>
            <c:numRef>
              <c:f>'Panel'!$G$75:$G$78</c:f>
              <c:numCache>
                <c:formatCode>#,##0" TL"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,&quot; bin TL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Birimlere göre efor (saat)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Toplam saat</c:v>
          </c:tx>
          <c:spPr>
            <a:solidFill xmlns:a="http://schemas.openxmlformats.org/drawingml/2006/main">
              <a:srgbClr val="17324D"/>
            </a:solidFill>
          </c:spPr>
          <c:cat>
            <c:strRef>
              <c:f>'Panel'!$J$75:$J$81</c:f>
              <c:strCache>
                <c:ptCount val="0"/>
              </c:strCache>
            </c:strRef>
          </c:cat>
          <c:val>
            <c:numRef>
              <c:f>'Panel'!$K$75:$K$81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Bu hafta saat</c:v>
          </c:tx>
          <c:spPr>
            <a:solidFill xmlns:a="http://schemas.openxmlformats.org/drawingml/2006/main">
              <a:srgbClr val="0D9488"/>
            </a:solidFill>
          </c:spPr>
          <c:cat>
            <c:strRef>
              <c:f>'Panel'!$J$75:$J$81</c:f>
              <c:strCache>
                <c:ptCount val="0"/>
              </c:strCache>
            </c:strRef>
          </c:cat>
          <c:val>
            <c:numRef>
              <c:f>'Panel'!$L$75:$L$81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Açık risklerin dağılımı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Açık risk</c:v>
          </c:tx>
          <c:spPr>
            <a:solidFill xmlns:a="http://schemas.openxmlformats.org/drawingml/2006/main">
              <a:srgbClr val="C63C48"/>
            </a:solidFill>
          </c:spPr>
          <c:cat>
            <c:strRef>
              <c:f>'Panel'!$N$75:$N$78</c:f>
              <c:strCache>
                <c:ptCount val="0"/>
              </c:strCache>
            </c:strRef>
          </c:cat>
          <c:val>
            <c:numRef>
              <c:f>'Panel'!$O$75:$O$78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  <c:majorUnit val="1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18</xdr:row>
      <xdr:rowOff>0</xdr:rowOff>
    </xdr:from>
    <xdr:to>
      <xdr:col>9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98e5db9dbf4d6e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17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09916ee78e4bb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9</xdr:col>
      <xdr:colOff>0</xdr:colOff>
      <xdr:row>50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0f2a38ad37436f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17</xdr:col>
      <xdr:colOff>0</xdr:colOff>
      <xdr:row>50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7852a4c34b44a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ojelerTablosu" displayName="ProjelerTablosu" ref="A6:I26" headerRowCount="1" totalsRowCount="0" totalsRowShown="0">
  <x:tableColumns count="9">
    <x:tableColumn id="1" name="Proje ID"/>
    <x:tableColumn id="2" name="Proje adı"/>
    <x:tableColumn id="3" name="Proje yöneticisi"/>
    <x:tableColumn id="4" name="Plan başlangıç"/>
    <x:tableColumn id="5" name="Plan bitiş"/>
    <x:tableColumn id="6" name="Onaylı bütçe (TL)"/>
    <x:tableColumn id="7" name="Kalan efor (saat)"/>
    <x:tableColumn id="8" name="Kalan efor TL/saat"/>
    <x:tableColumn id="9" name="Kalan efor maliyeti (TL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orevlerTablosu" displayName="GorevlerTablosu" ref="A6:S206" headerRowCount="1" totalsRowCount="0" totalsRowShown="0">
  <x:tableColumns count="19">
    <x:tableColumn id="1" name="Görev ID"/>
    <x:tableColumn id="2" name="Proje ID"/>
    <x:tableColumn id="3" name="İş paketi / görev"/>
    <x:tableColumn id="4" name="Sorumlu"/>
    <x:tableColumn id="5" name="Birim"/>
    <x:tableColumn id="6" name="Plan başlangıç"/>
    <x:tableColumn id="7" name="Plan bitiş"/>
    <x:tableColumn id="8" name="Ağırlık"/>
    <x:tableColumn id="9" name="Güncel tamamlanma %"/>
    <x:tableColumn id="10" name="Tahmini / gerçek bitiş"/>
    <x:tableColumn id="11" name="Kritik mi?"/>
    <x:tableColumn id="12" name="Öncül görev ID"/>
    <x:tableColumn id="13" name="Durum"/>
    <x:tableColumn id="14" name="Planlanan %"/>
    <x:tableColumn id="15" name="Ağırlıklı gerçek"/>
    <x:tableColumn id="16" name="Ağırlıklı plan"/>
    <x:tableColumn id="17" name="Bitiş sapması (gün)"/>
    <x:tableColumn id="18" name="Engel / açıklama"/>
    <x:tableColumn id="19" name="Panel sır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forTablosu" displayName="EforTablosu" ref="A6:J606" headerRowCount="1" totalsRowCount="0" totalsRowShown="0">
  <x:tableColumns count="10">
    <x:tableColumn id="1" name="Tarih"/>
    <x:tableColumn id="2" name="Proje ID"/>
    <x:tableColumn id="3" name="Personel ID"/>
    <x:tableColumn id="4" name="Ad soyad"/>
    <x:tableColumn id="5" name="Birim"/>
    <x:tableColumn id="6" name="Çalışılan saat"/>
    <x:tableColumn id="7" name="Saat maliyeti (TL)"/>
    <x:tableColumn id="8" name="Efor maliyeti (TL)"/>
    <x:tableColumn id="9" name="İlk kişi kaydı"/>
    <x:tableColumn id="10" name="Haftanın ilk kaydı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liyetlerTablosu" displayName="MaliyetlerTablosu" ref="A6:L206" headerRowCount="1" totalsRowCount="0" totalsRowShown="0">
  <x:tableColumns count="12">
    <x:tableColumn id="1" name="Kayıt ID"/>
    <x:tableColumn id="2" name="Proje ID"/>
    <x:tableColumn id="3" name="Malzeme / hizmet"/>
    <x:tableColumn id="4" name="Kategori"/>
    <x:tableColumn id="5" name="Durum"/>
    <x:tableColumn id="6" name="İşlem / tahmin tarihi"/>
    <x:tableColumn id="7" name="Miktar"/>
    <x:tableColumn id="8" name="Birim maliyet (TL)"/>
    <x:tableColumn id="9" name="Tutar (TL)"/>
    <x:tableColumn id="10" name="Tedarikçi"/>
    <x:tableColumn id="11" name="Sorumlu"/>
    <x:tableColumn id="12" name="Açıklam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isklerTablosu" displayName="RisklerTablosu" ref="A6:L126" headerRowCount="1" totalsRowCount="0" totalsRowShown="0">
  <x:tableColumns count="12">
    <x:tableColumn id="1" name="Risk ID"/>
    <x:tableColumn id="2" name="Proje ID"/>
    <x:tableColumn id="3" name="Risk tanımı"/>
    <x:tableColumn id="4" name="Olasılık (1-5)"/>
    <x:tableColumn id="5" name="Etki (1-5)"/>
    <x:tableColumn id="6" name="Risk puanı"/>
    <x:tableColumn id="7" name="Risk seviyesi"/>
    <x:tableColumn id="8" name="Risk sahibi"/>
    <x:tableColumn id="9" name="Önleyici / azaltıcı aksiyon"/>
    <x:tableColumn id="10" name="Hedef tarih"/>
    <x:tableColumn id="11" name="Durum"/>
    <x:tableColumn id="12" name="Açılış tarih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ksiyonlarTablosu" displayName="AksiyonlarTablosu" ref="A6:N206" headerRowCount="1" totalsRowCount="0" totalsRowShown="0">
  <x:tableColumns count="14">
    <x:tableColumn id="1" name="Aksiyon ID"/>
    <x:tableColumn id="2" name="Proje ID"/>
    <x:tableColumn id="3" name="Aksiyon / karar"/>
    <x:tableColumn id="4" name="Sorumlu"/>
    <x:tableColumn id="5" name="Açılış tarihi"/>
    <x:tableColumn id="6" name="Hedef tarih"/>
    <x:tableColumn id="7" name="Durum"/>
    <x:tableColumn id="8" name="Tamamlanma tarihi"/>
    <x:tableColumn id="9" name="Öncelik"/>
    <x:tableColumn id="10" name="Tür"/>
    <x:tableColumn id="11" name="Açıklama"/>
    <x:tableColumn id="12" name="Gecikme (gün)"/>
    <x:tableColumn id="13" name="Açık panel sıra"/>
    <x:tableColumn id="14" name="Biten panel sır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HaftalikTablosu" displayName="HaftalikTablosu" ref="A6:N266" headerRowCount="1" totalsRowCount="0" totalsRowShown="0">
  <x:tableColumns count="14">
    <x:tableColumn id="1" name="Proje ID"/>
    <x:tableColumn id="2" name="Rapor tarihi"/>
    <x:tableColumn id="3" name="Tamamlanma %"/>
    <x:tableColumn id="4" name="Planlanan %"/>
    <x:tableColumn id="5" name="Gerçek maliyet (TL)"/>
    <x:tableColumn id="6" name="Tahmini toplam (TL)"/>
    <x:tableColumn id="7" name="Yüksek / kritik risk"/>
    <x:tableColumn id="8" name="Bu hafta yapılanlar"/>
    <x:tableColumn id="9" name="Gelecek hafta yapılacaklar"/>
    <x:tableColumn id="10" name="Kritik konu / karar ihtiyacı"/>
    <x:tableColumn id="11" name="Proje yöneticisi"/>
    <x:tableColumn id="12" name="Hafta başlangıcı"/>
    <x:tableColumn id="13" name="Proje / hafta anahtarı"/>
    <x:tableColumn id="14" name="Seçili rapor tarih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dd89b1e07b41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c2848088c20d45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eb39ac62f77b4b3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cabfee793cb4df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10b42be78241481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f9ee7713815b43d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4e44b8ad27664a9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211841f8420549c5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</x:row>
    <x:row r="2" ht="32" customHeight="1">
      <x:c r="A2" s="2"/>
      <x:c r="B2" s="3" t="str">
        <x:v>Haftalık proje değerlendirmesi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 t="str">
        <x:v>Son arşiv tarihi</x:v>
      </x:c>
      <x:c r="W2" s="2"/>
    </x:row>
    <x:row r="3" ht="22" customHeight="1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2"/>
      <x:c r="R3" s="2"/>
      <x:c r="S3" s="2"/>
      <x:c r="T3" s="2"/>
      <x:c r="U3" s="2"/>
      <x:c r="V3" s="5" t="n">
        <x:f>MAX('Haftalik'!$N$7:$N$266)</x:f>
        <x:v>46303</x:v>
      </x:c>
      <x:c r="W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</x:row>
    <x:row r="5" ht="22" customHeight="1">
      <x:c r="A5" s="2"/>
      <x:c r="B5" s="2" t="str">
        <x:v>Proje</x:v>
      </x:c>
      <x:c r="C5" s="6" t="str">
        <x:v>PRJ-001</x:v>
      </x:c>
      <x:c r="D5" s="6"/>
      <x:c r="E5" s="6"/>
      <x:c r="F5" s="6"/>
      <x:c r="G5" s="2"/>
      <x:c r="H5" s="2"/>
      <x:c r="I5" s="2"/>
      <x:c r="J5" s="2"/>
      <x:c r="K5" s="2"/>
      <x:c r="L5" s="2" t="str">
        <x:v>Rapor tarihi</x:v>
      </x:c>
      <x:c r="M5" s="2"/>
      <x:c r="N5" s="7" t="n">
        <x:v>46310</x:v>
      </x:c>
      <x:c r="O5" s="6"/>
      <x:c r="P5" s="6"/>
      <x:c r="Q5" s="2"/>
      <x:c r="R5" s="2"/>
      <x:c r="S5" s="2"/>
      <x:c r="T5" s="2"/>
      <x:c r="U5" s="2"/>
      <x:c r="V5" s="2"/>
      <x:c r="W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</x:row>
    <x:row r="7" ht="22" customHeight="1">
      <x:c r="A7" s="2"/>
      <x:c r="B7" s="19" t="str">
        <x:f>INDEX('Portfoy'!$B$7:$B$26,MATCH($C$5,'Portfoy'!$A$7:$A$26,0))</x:f>
        <x:v>Üretim Hattı Modernizasyonu</x:v>
      </x:c>
      <x:c r="C7" s="19"/>
      <x:c r="D7" s="19"/>
      <x:c r="E7" s="19"/>
      <x:c r="F7" s="19"/>
      <x:c r="G7" s="19"/>
      <x:c r="H7" s="19"/>
      <x:c r="I7" s="19"/>
      <x:c r="J7" s="19"/>
      <x:c r="K7" s="19" t="str">
        <x:f>"Proje yöneticisi: "&amp;INDEX('Portfoy'!$C$7:$C$26,MATCH($C$5,'Portfoy'!$A$7:$A$26,0))</x:f>
        <x:v>Proje yöneticisi: Ayşe Yılmaz</x:v>
      </x:c>
      <x:c r="L7" s="19"/>
      <x:c r="M7" s="19"/>
      <x:c r="N7" s="19"/>
      <x:c r="O7" s="19"/>
      <x:c r="P7" s="19"/>
      <x:c r="Q7" s="2"/>
      <x:c r="R7" s="2"/>
      <x:c r="S7" s="2"/>
      <x:c r="T7" s="2"/>
      <x:c r="U7" s="2"/>
      <x:c r="V7" s="2"/>
      <x:c r="W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</x:row>
    <x:row r="9" ht="22" customHeight="1">
      <x:c r="A9" s="2"/>
      <x:c r="B9" s="21" t="str">
        <x:v>Tamamlanma</x:v>
      </x:c>
      <x:c r="C9" s="21"/>
      <x:c r="D9" s="21"/>
      <x:c r="E9" s="2"/>
      <x:c r="F9" s="21" t="str">
        <x:v>Takvim sapması</x:v>
      </x:c>
      <x:c r="G9" s="21"/>
      <x:c r="H9" s="21"/>
      <x:c r="I9" s="2"/>
      <x:c r="J9" s="21" t="str">
        <x:v>Onaylı bütçe</x:v>
      </x:c>
      <x:c r="K9" s="21"/>
      <x:c r="L9" s="21"/>
      <x:c r="M9" s="2"/>
      <x:c r="N9" s="21" t="str">
        <x:v>Tahmini toplam maliyet</x:v>
      </x:c>
      <x:c r="O9" s="21"/>
      <x:c r="P9" s="21"/>
      <x:c r="Q9" s="2"/>
      <x:c r="R9" s="2"/>
      <x:c r="S9" s="2"/>
      <x:c r="T9" s="2"/>
      <x:c r="U9" s="2"/>
      <x:c r="V9" s="2"/>
      <x:c r="W9" s="2"/>
    </x:row>
    <x:row r="10" ht="22" customHeight="1">
      <x:c r="A10" s="2"/>
      <x:c r="B10" s="23" t="n">
        <x:f>INDEX('Portfoy'!$D$7:$D$26,MATCH($C$5,'Portfoy'!$A$7:$A$26,0))</x:f>
        <x:v>0.505</x:v>
      </x:c>
      <x:c r="C10" s="20"/>
      <x:c r="D10" s="20"/>
      <x:c r="E10" s="2"/>
      <x:c r="F10" s="25" t="n">
        <x:f>INDEX('Portfoy'!$F$7:$F$26,MATCH($C$5,'Portfoy'!$A$7:$A$26,0))</x:f>
        <x:v>-7.123604465709721</x:v>
      </x:c>
      <x:c r="G10" s="20"/>
      <x:c r="H10" s="20"/>
      <x:c r="I10" s="2"/>
      <x:c r="J10" s="26" t="n">
        <x:f>INDEX('Portfoy'!$G$7:$G$26,MATCH($C$5,'Portfoy'!$A$7:$A$26,0))</x:f>
        <x:v>2200000</x:v>
      </x:c>
      <x:c r="K10" s="20"/>
      <x:c r="L10" s="20"/>
      <x:c r="M10" s="2"/>
      <x:c r="N10" s="26" t="n">
        <x:f>INDEX('Portfoy'!$I$7:$I$26,MATCH($C$5,'Portfoy'!$A$7:$A$26,0))</x:f>
        <x:v>1993400</x:v>
      </x:c>
      <x:c r="O10" s="20"/>
      <x:c r="P10" s="20"/>
      <x:c r="Q10" s="2"/>
      <x:c r="R10" s="2"/>
      <x:c r="S10" s="2"/>
      <x:c r="T10" s="2"/>
      <x:c r="U10" s="2"/>
      <x:c r="V10" s="2"/>
      <x:c r="W10" s="2"/>
    </x:row>
    <x:row r="11" ht="22" customHeight="1">
      <x:c r="A11" s="2"/>
      <x:c r="B11" s="20"/>
      <x:c r="C11" s="20"/>
      <x:c r="D11" s="20"/>
      <x:c r="E11" s="2"/>
      <x:c r="F11" s="20"/>
      <x:c r="G11" s="20"/>
      <x:c r="H11" s="20"/>
      <x:c r="I11" s="2"/>
      <x:c r="J11" s="20"/>
      <x:c r="K11" s="20"/>
      <x:c r="L11" s="20"/>
      <x:c r="M11" s="2"/>
      <x:c r="N11" s="20"/>
      <x:c r="O11" s="20"/>
      <x:c r="P11" s="20"/>
      <x:c r="Q11" s="2"/>
      <x:c r="R11" s="2"/>
      <x:c r="S11" s="2"/>
      <x:c r="T11" s="2"/>
      <x:c r="U11" s="2"/>
      <x:c r="V11" s="2"/>
      <x:c r="W11" s="2"/>
    </x:row>
    <x:row r="12" ht="22" customHeight="1">
      <x:c r="A12" s="2"/>
      <x:c r="B12" s="24" t="str">
        <x:f>"Plan: "&amp;TEXT(INDEX('Portfoy'!$E$7:$E$26,MATCH($C$5,'Portfoy'!$A$7:$A$26,0)),"0%")</x:f>
        <x:v>Plan: 58%</x:v>
      </x:c>
      <x:c r="C12" s="20"/>
      <x:c r="D12" s="20"/>
      <x:c r="E12" s="2"/>
      <x:c r="F12" s="24" t="str">
        <x:f>INDEX('Portfoy'!$V$7:$V$26,MATCH($C$5,'Portfoy'!$A$7:$A$26,0))&amp;" / "&amp;INDEX('Portfoy'!$K$7:$K$26,MATCH($C$5,'Portfoy'!$A$7:$A$26,0))&amp;" gün"</x:f>
        <x:v>Gecikiyor / 7 gün</x:v>
      </x:c>
      <x:c r="G12" s="20"/>
      <x:c r="H12" s="20"/>
      <x:c r="I12" s="2"/>
      <x:c r="J12" s="24" t="str">
        <x:f>"Harcanan: "&amp;TEXT(INDEX('Portfoy'!$H$7:$H$26,MATCH($C$5,'Portfoy'!$A$7:$A$26,0)),"#,##0")&amp;" TL"</x:f>
        <x:v>Harcanan: 926,400 TL</x:v>
      </x:c>
      <x:c r="K12" s="20"/>
      <x:c r="L12" s="20"/>
      <x:c r="M12" s="2"/>
      <x:c r="N12" s="24" t="str">
        <x:f>"Bütçe farkı: "&amp;TEXT(INDEX('Portfoy'!$J$7:$J$26,MATCH($C$5,'Portfoy'!$A$7:$A$26,0)),"#,##0")&amp;" TL"</x:f>
        <x:v>Bütçe farkı: 206,600 TL</x:v>
      </x:c>
      <x:c r="O12" s="20"/>
      <x:c r="P12" s="20"/>
      <x:c r="Q12" s="2"/>
      <x:c r="R12" s="2"/>
      <x:c r="S12" s="2"/>
      <x:c r="T12" s="2"/>
      <x:c r="U12" s="2"/>
      <x:c r="V12" s="2"/>
      <x:c r="W12" s="2"/>
    </x:row>
    <x:row r="13" ht="22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</x:row>
    <x:row r="14" ht="22" customHeight="1">
      <x:c r="A14" s="2"/>
      <x:c r="B14" s="21" t="str">
        <x:v>Toplam efor</x:v>
      </x:c>
      <x:c r="C14" s="21"/>
      <x:c r="D14" s="21"/>
      <x:c r="E14" s="2"/>
      <x:c r="F14" s="21" t="str">
        <x:v>Çalışan kişi sayısı</x:v>
      </x:c>
      <x:c r="G14" s="21"/>
      <x:c r="H14" s="21"/>
      <x:c r="I14" s="2"/>
      <x:c r="J14" s="21" t="str">
        <x:v>Yüksek / kritik risk</x:v>
      </x:c>
      <x:c r="K14" s="21"/>
      <x:c r="L14" s="21"/>
      <x:c r="M14" s="2"/>
      <x:c r="N14" s="21" t="str">
        <x:v>Geciken aksiyon</x:v>
      </x:c>
      <x:c r="O14" s="21"/>
      <x:c r="P14" s="21"/>
      <x:c r="Q14" s="2"/>
      <x:c r="R14" s="2"/>
      <x:c r="S14" s="2"/>
      <x:c r="T14" s="2"/>
      <x:c r="U14" s="2"/>
      <x:c r="V14" s="2"/>
      <x:c r="W14" s="2"/>
    </x:row>
    <x:row r="15" ht="22" customHeight="1">
      <x:c r="A15" s="2"/>
      <x:c r="B15" s="27" t="n">
        <x:f>INDEX('Portfoy'!$L$7:$L$26,MATCH($C$5,'Portfoy'!$A$7:$A$26,0))</x:f>
        <x:v>648</x:v>
      </x:c>
      <x:c r="C15" s="20"/>
      <x:c r="D15" s="20"/>
      <x:c r="E15" s="2"/>
      <x:c r="F15" s="28" t="n">
        <x:f>INDEX('Portfoy'!$M$7:$M$26,MATCH($C$5,'Portfoy'!$A$7:$A$26,0))</x:f>
        <x:v>5</x:v>
      </x:c>
      <x:c r="G15" s="20"/>
      <x:c r="H15" s="20"/>
      <x:c r="I15" s="2"/>
      <x:c r="J15" s="29" t="n">
        <x:f>INDEX('Portfoy'!$P$7:$P$26,MATCH($C$5,'Portfoy'!$A$7:$A$26,0))</x:f>
        <x:v>2</x:v>
      </x:c>
      <x:c r="K15" s="20"/>
      <x:c r="L15" s="20"/>
      <x:c r="M15" s="2"/>
      <x:c r="N15" s="30" t="n">
        <x:f>INDEX('Portfoy'!$R$7:$R$26,MATCH($C$5,'Portfoy'!$A$7:$A$26,0))</x:f>
        <x:v>1</x:v>
      </x:c>
      <x:c r="O15" s="20"/>
      <x:c r="P15" s="20"/>
      <x:c r="Q15" s="2"/>
      <x:c r="R15" s="2"/>
      <x:c r="S15" s="2"/>
      <x:c r="T15" s="2"/>
      <x:c r="U15" s="2"/>
      <x:c r="V15" s="2"/>
      <x:c r="W15" s="2"/>
    </x:row>
    <x:row r="16" ht="22" customHeight="1">
      <x:c r="A16" s="2"/>
      <x:c r="B16" s="20"/>
      <x:c r="C16" s="20"/>
      <x:c r="D16" s="20"/>
      <x:c r="E16" s="2"/>
      <x:c r="F16" s="20"/>
      <x:c r="G16" s="20"/>
      <x:c r="H16" s="20"/>
      <x:c r="I16" s="2"/>
      <x:c r="J16" s="20"/>
      <x:c r="K16" s="20"/>
      <x:c r="L16" s="20"/>
      <x:c r="M16" s="2"/>
      <x:c r="N16" s="20"/>
      <x:c r="O16" s="20"/>
      <x:c r="P16" s="20"/>
      <x:c r="Q16" s="2"/>
      <x:c r="R16" s="2"/>
      <x:c r="S16" s="2"/>
      <x:c r="T16" s="2"/>
      <x:c r="U16" s="2"/>
      <x:c r="V16" s="2"/>
      <x:c r="W16" s="2"/>
    </x:row>
    <x:row r="17" ht="22" customHeight="1">
      <x:c r="A17" s="2"/>
      <x:c r="B17" s="24" t="str">
        <x:f>"Bu hafta: "&amp;TEXT(INDEX('Portfoy'!$N$7:$N$26,MATCH($C$5,'Portfoy'!$A$7:$A$26,0)),"0")&amp;" saat"</x:f>
        <x:v>Bu hafta: 58 saat</x:v>
      </x:c>
      <x:c r="C17" s="20"/>
      <x:c r="D17" s="20"/>
      <x:c r="E17" s="2"/>
      <x:c r="F17" s="24" t="str">
        <x:f>"Bu hafta: "&amp;INDEX('Portfoy'!$O$7:$O$26,MATCH($C$5,'Portfoy'!$A$7:$A$26,0))&amp;" kişi"</x:f>
        <x:v>Bu hafta: 5 kişi</x:v>
      </x:c>
      <x:c r="G17" s="20"/>
      <x:c r="H17" s="20"/>
      <x:c r="I17" s="2"/>
      <x:c r="J17" s="24" t="str">
        <x:f>"Toplam açık risk: "&amp;INDEX('Portfoy'!$Q$7:$Q$26,MATCH($C$5,'Portfoy'!$A$7:$A$26,0))</x:f>
        <x:v>Toplam açık risk: 3</x:v>
      </x:c>
      <x:c r="K17" s="20"/>
      <x:c r="L17" s="20"/>
      <x:c r="M17" s="2"/>
      <x:c r="N17" s="24" t="str">
        <x:f>"Geciken görev: "&amp;INDEX('Portfoy'!$T$7:$T$26,MATCH($C$5,'Portfoy'!$A$7:$A$26,0))</x:f>
        <x:v>Geciken görev: 0</x:v>
      </x:c>
      <x:c r="O17" s="20"/>
      <x:c r="P17" s="20"/>
      <x:c r="Q17" s="2"/>
      <x:c r="R17" s="2"/>
      <x:c r="S17" s="2"/>
      <x:c r="T17" s="2"/>
      <x:c r="U17" s="2"/>
      <x:c r="V17" s="2"/>
      <x:c r="W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</x:row>
    <x:row r="20" ht="22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</x:row>
    <x:row r="21" ht="22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</x:row>
    <x:row r="22" ht="22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</x:row>
    <x:row r="36" ht="22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</x:row>
    <x:row r="37" ht="22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</x:row>
    <x:row r="39" ht="22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</x:row>
    <x:row r="41" ht="22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</x:row>
    <x:row r="44" ht="22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</x:row>
    <x:row r="45" ht="22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</x:row>
    <x:row r="46" ht="22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</x:row>
    <x:row r="49" ht="22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</x:row>
    <x:row r="50" ht="22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</x:row>
    <x:row r="51" ht="22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</x:row>
    <x:row r="52" ht="34" customHeight="1">
      <x:c r="A52" s="2"/>
      <x:c r="B52" s="12" t="str">
        <x:v>Açık aksiyonlar</x:v>
      </x:c>
      <x:c r="C52" s="12"/>
      <x:c r="D52" s="12"/>
      <x:c r="E52" s="12"/>
      <x:c r="F52" s="12"/>
      <x:c r="G52" s="12"/>
      <x:c r="H52" s="12"/>
      <x:c r="I52" s="2"/>
      <x:c r="J52" s="12" t="str">
        <x:v>Bu hafta tamamlanan aksiyonlar</x:v>
      </x:c>
      <x:c r="K52" s="12"/>
      <x:c r="L52" s="12"/>
      <x:c r="M52" s="12"/>
      <x:c r="N52" s="12"/>
      <x:c r="O52" s="12"/>
      <x:c r="P52" s="12"/>
      <x:c r="Q52" s="2"/>
      <x:c r="R52" s="2"/>
      <x:c r="S52" s="2"/>
      <x:c r="T52" s="2"/>
      <x:c r="U52" s="2"/>
      <x:c r="V52" s="2"/>
      <x:c r="W52" s="2"/>
    </x:row>
    <x:row r="53" ht="30" customHeight="1">
      <x:c r="A53" s="2"/>
      <x:c r="B53" s="31" t="str">
        <x:f>IF(1&gt;INDEX('Portfoy'!$S$7:$S$26,MATCH($C$5,'Portfoy'!$A$7:$A$26,0)),"",INDEX('Aksiyonlar'!$C$7:$C$206,MATCH(1,'Aksiyonlar'!$M$7:$M$206,0))&amp;" / "&amp;INDEX('Aksiyonlar'!$D$7:$D$206,MATCH(1,'Aksiyonlar'!$M$7:$M$206,0))&amp;" / "&amp;DAY(INDEX('Aksiyonlar'!$F$7:$F$206,MATCH(1,'Aksiyonlar'!$M$7:$M$206,0)))&amp;"/"&amp;MONTH(INDEX('Aksiyonlar'!$F$7:$F$206,MATCH(1,'Aksiyonlar'!$M$7:$M$206,0))))</x:f>
        <x:v>Alternatif motor teklifi al / Can Akın / 14/10</x:v>
      </x:c>
      <x:c r="C53" s="31"/>
      <x:c r="D53" s="31"/>
      <x:c r="E53" s="31"/>
      <x:c r="F53" s="31"/>
      <x:c r="G53" s="31"/>
      <x:c r="H53" s="31"/>
      <x:c r="I53" s="2"/>
      <x:c r="J53" s="31" t="str">
        <x:f>IF(1&gt;COUNTIFS('Aksiyonlar'!$N$7:$N$206,"&gt;0"),"",INDEX('Aksiyonlar'!$C$7:$C$206,MATCH(1,'Aksiyonlar'!$N$7:$N$206,0))&amp;" / "&amp;INDEX('Aksiyonlar'!$D$7:$D$206,MATCH(1,'Aksiyonlar'!$N$7:$N$206,0))&amp;" / "&amp;DAY(INDEX('Aksiyonlar'!$H$7:$H$206,MATCH(1,'Aksiyonlar'!$N$7:$N$206,0)))&amp;"/"&amp;MONTH(INDEX('Aksiyonlar'!$H$7:$H$206,MATCH(1,'Aksiyonlar'!$N$7:$N$206,0))))</x:f>
        <x:v>Kabul test listesini tamamla / Bora Işık / 14/10</x:v>
      </x:c>
      <x:c r="K53" s="31"/>
      <x:c r="L53" s="31"/>
      <x:c r="M53" s="31"/>
      <x:c r="N53" s="31"/>
      <x:c r="O53" s="31"/>
      <x:c r="P53" s="31"/>
      <x:c r="Q53" s="2"/>
      <x:c r="R53" s="2"/>
      <x:c r="S53" s="2"/>
      <x:c r="T53" s="2"/>
      <x:c r="U53" s="2"/>
      <x:c r="V53" s="2"/>
      <x:c r="W53" s="2"/>
    </x:row>
    <x:row r="54" ht="30" customHeight="1">
      <x:c r="A54" s="2"/>
      <x:c r="B54" s="31" t="str">
        <x:f>IF(2&gt;INDEX('Portfoy'!$S$7:$S$26,MATCH($C$5,'Portfoy'!$A$7:$A$26,0)),"",INDEX('Aksiyonlar'!$C$7:$C$206,MATCH(2,'Aksiyonlar'!$M$7:$M$206,0))&amp;" / "&amp;INDEX('Aksiyonlar'!$D$7:$D$206,MATCH(2,'Aksiyonlar'!$M$7:$M$206,0))&amp;" / "&amp;DAY(INDEX('Aksiyonlar'!$F$7:$F$206,MATCH(2,'Aksiyonlar'!$M$7:$M$206,0)))&amp;"/"&amp;MONTH(INDEX('Aksiyonlar'!$F$7:$F$206,MATCH(2,'Aksiyonlar'!$M$7:$M$206,0))))</x:f>
        <x:v>Saha erişim iznini onaylat / Ayşe Yılmaz / 19/10</x:v>
      </x:c>
      <x:c r="C54" s="31"/>
      <x:c r="D54" s="31"/>
      <x:c r="E54" s="31"/>
      <x:c r="F54" s="31"/>
      <x:c r="G54" s="31"/>
      <x:c r="H54" s="31"/>
      <x:c r="I54" s="2"/>
      <x:c r="J54" s="31" t="str">
        <x:f>IF(2&gt;COUNTIFS('Aksiyonlar'!$N$7:$N$206,"&gt;0"),"",INDEX('Aksiyonlar'!$C$7:$C$206,MATCH(2,'Aksiyonlar'!$N$7:$N$206,0))&amp;" / "&amp;INDEX('Aksiyonlar'!$D$7:$D$206,MATCH(2,'Aksiyonlar'!$N$7:$N$206,0))&amp;" / "&amp;DAY(INDEX('Aksiyonlar'!$H$7:$H$206,MATCH(2,'Aksiyonlar'!$N$7:$N$206,0)))&amp;"/"&amp;MONTH(INDEX('Aksiyonlar'!$H$7:$H$206,MATCH(2,'Aksiyonlar'!$N$7:$N$206,0))))</x:f>
        <x:v>Hafta sonu ekip planını paylaş / İpek Acar / 15/10</x:v>
      </x:c>
      <x:c r="K54" s="31"/>
      <x:c r="L54" s="31"/>
      <x:c r="M54" s="31"/>
      <x:c r="N54" s="31"/>
      <x:c r="O54" s="31"/>
      <x:c r="P54" s="31"/>
      <x:c r="Q54" s="2"/>
      <x:c r="R54" s="2"/>
      <x:c r="S54" s="2"/>
      <x:c r="T54" s="2"/>
      <x:c r="U54" s="2"/>
      <x:c r="V54" s="2"/>
      <x:c r="W54" s="2"/>
    </x:row>
    <x:row r="55" ht="30" customHeight="1">
      <x:c r="A55" s="2"/>
      <x:c r="B55" s="31" t="str">
        <x:f>IF(3&gt;INDEX('Portfoy'!$S$7:$S$26,MATCH($C$5,'Portfoy'!$A$7:$A$26,0)),"",INDEX('Aksiyonlar'!$C$7:$C$206,MATCH(3,'Aksiyonlar'!$M$7:$M$206,0))&amp;" / "&amp;INDEX('Aksiyonlar'!$D$7:$D$206,MATCH(3,'Aksiyonlar'!$M$7:$M$206,0))&amp;" / "&amp;DAY(INDEX('Aksiyonlar'!$F$7:$F$206,MATCH(3,'Aksiyonlar'!$M$7:$M$206,0)))&amp;"/"&amp;MONTH(INDEX('Aksiyonlar'!$F$7:$F$206,MATCH(3,'Aksiyonlar'!$M$7:$M$206,0))))</x:f>
      </x:c>
      <x:c r="C55" s="31"/>
      <x:c r="D55" s="31"/>
      <x:c r="E55" s="31"/>
      <x:c r="F55" s="31"/>
      <x:c r="G55" s="31"/>
      <x:c r="H55" s="31"/>
      <x:c r="I55" s="2"/>
      <x:c r="J55" s="31" t="str">
        <x:f>IF(3&gt;COUNTIFS('Aksiyonlar'!$N$7:$N$206,"&gt;0"),"",INDEX('Aksiyonlar'!$C$7:$C$206,MATCH(3,'Aksiyonlar'!$N$7:$N$206,0))&amp;" / "&amp;INDEX('Aksiyonlar'!$D$7:$D$206,MATCH(3,'Aksiyonlar'!$N$7:$N$206,0))&amp;" / "&amp;DAY(INDEX('Aksiyonlar'!$H$7:$H$206,MATCH(3,'Aksiyonlar'!$N$7:$N$206,0)))&amp;"/"&amp;MONTH(INDEX('Aksiyonlar'!$H$7:$H$206,MATCH(3,'Aksiyonlar'!$N$7:$N$206,0))))</x:f>
      </x:c>
      <x:c r="K55" s="31"/>
      <x:c r="L55" s="31"/>
      <x:c r="M55" s="31"/>
      <x:c r="N55" s="31"/>
      <x:c r="O55" s="31"/>
      <x:c r="P55" s="31"/>
      <x:c r="Q55" s="2"/>
      <x:c r="R55" s="2"/>
      <x:c r="S55" s="2"/>
      <x:c r="T55" s="2"/>
      <x:c r="U55" s="2"/>
      <x:c r="V55" s="2"/>
      <x:c r="W55" s="2"/>
    </x:row>
    <x:row r="56" ht="30" customHeight="1">
      <x:c r="A56" s="2"/>
      <x:c r="B56" s="31" t="str">
        <x:f>IF(4&gt;INDEX('Portfoy'!$S$7:$S$26,MATCH($C$5,'Portfoy'!$A$7:$A$26,0)),"",INDEX('Aksiyonlar'!$C$7:$C$206,MATCH(4,'Aksiyonlar'!$M$7:$M$206,0))&amp;" / "&amp;INDEX('Aksiyonlar'!$D$7:$D$206,MATCH(4,'Aksiyonlar'!$M$7:$M$206,0))&amp;" / "&amp;DAY(INDEX('Aksiyonlar'!$F$7:$F$206,MATCH(4,'Aksiyonlar'!$M$7:$M$206,0)))&amp;"/"&amp;MONTH(INDEX('Aksiyonlar'!$F$7:$F$206,MATCH(4,'Aksiyonlar'!$M$7:$M$206,0))))</x:f>
      </x:c>
      <x:c r="C56" s="31"/>
      <x:c r="D56" s="31"/>
      <x:c r="E56" s="31"/>
      <x:c r="F56" s="31"/>
      <x:c r="G56" s="31"/>
      <x:c r="H56" s="31"/>
      <x:c r="I56" s="2"/>
      <x:c r="J56" s="31" t="str">
        <x:f>IF(4&gt;COUNTIFS('Aksiyonlar'!$N$7:$N$206,"&gt;0"),"",INDEX('Aksiyonlar'!$C$7:$C$206,MATCH(4,'Aksiyonlar'!$N$7:$N$206,0))&amp;" / "&amp;INDEX('Aksiyonlar'!$D$7:$D$206,MATCH(4,'Aksiyonlar'!$N$7:$N$206,0))&amp;" / "&amp;DAY(INDEX('Aksiyonlar'!$H$7:$H$206,MATCH(4,'Aksiyonlar'!$N$7:$N$206,0)))&amp;"/"&amp;MONTH(INDEX('Aksiyonlar'!$H$7:$H$206,MATCH(4,'Aksiyonlar'!$N$7:$N$206,0))))</x:f>
      </x:c>
      <x:c r="K56" s="31"/>
      <x:c r="L56" s="31"/>
      <x:c r="M56" s="31"/>
      <x:c r="N56" s="31"/>
      <x:c r="O56" s="31"/>
      <x:c r="P56" s="31"/>
      <x:c r="Q56" s="2"/>
      <x:c r="R56" s="2"/>
      <x:c r="S56" s="2"/>
      <x:c r="T56" s="2"/>
      <x:c r="U56" s="2"/>
      <x:c r="V56" s="2"/>
      <x:c r="W56" s="2"/>
    </x:row>
    <x:row r="57" ht="30" customHeight="1">
      <x:c r="A57" s="2"/>
      <x:c r="B57" s="31" t="str">
        <x:f>IF(5&gt;INDEX('Portfoy'!$S$7:$S$26,MATCH($C$5,'Portfoy'!$A$7:$A$26,0)),"",INDEX('Aksiyonlar'!$C$7:$C$206,MATCH(5,'Aksiyonlar'!$M$7:$M$206,0))&amp;" / "&amp;INDEX('Aksiyonlar'!$D$7:$D$206,MATCH(5,'Aksiyonlar'!$M$7:$M$206,0))&amp;" / "&amp;DAY(INDEX('Aksiyonlar'!$F$7:$F$206,MATCH(5,'Aksiyonlar'!$M$7:$M$206,0)))&amp;"/"&amp;MONTH(INDEX('Aksiyonlar'!$F$7:$F$206,MATCH(5,'Aksiyonlar'!$M$7:$M$206,0))))</x:f>
      </x:c>
      <x:c r="C57" s="31"/>
      <x:c r="D57" s="31"/>
      <x:c r="E57" s="31"/>
      <x:c r="F57" s="31"/>
      <x:c r="G57" s="31"/>
      <x:c r="H57" s="31"/>
      <x:c r="I57" s="2"/>
      <x:c r="J57" s="31" t="str">
        <x:f>IF(5&gt;COUNTIFS('Aksiyonlar'!$N$7:$N$206,"&gt;0"),"",INDEX('Aksiyonlar'!$C$7:$C$206,MATCH(5,'Aksiyonlar'!$N$7:$N$206,0))&amp;" / "&amp;INDEX('Aksiyonlar'!$D$7:$D$206,MATCH(5,'Aksiyonlar'!$N$7:$N$206,0))&amp;" / "&amp;DAY(INDEX('Aksiyonlar'!$H$7:$H$206,MATCH(5,'Aksiyonlar'!$N$7:$N$206,0)))&amp;"/"&amp;MONTH(INDEX('Aksiyonlar'!$H$7:$H$206,MATCH(5,'Aksiyonlar'!$N$7:$N$206,0))))</x:f>
      </x:c>
      <x:c r="K57" s="31"/>
      <x:c r="L57" s="31"/>
      <x:c r="M57" s="31"/>
      <x:c r="N57" s="31"/>
      <x:c r="O57" s="31"/>
      <x:c r="P57" s="31"/>
      <x:c r="Q57" s="2"/>
      <x:c r="R57" s="2"/>
      <x:c r="S57" s="2"/>
      <x:c r="T57" s="2"/>
      <x:c r="U57" s="2"/>
      <x:c r="V57" s="2"/>
      <x:c r="W57" s="2"/>
    </x:row>
    <x:row r="58" ht="30" customHeight="1">
      <x:c r="A58" s="2"/>
      <x:c r="B58" s="31" t="str">
        <x:f>IF(6&gt;INDEX('Portfoy'!$S$7:$S$26,MATCH($C$5,'Portfoy'!$A$7:$A$26,0)),"",INDEX('Aksiyonlar'!$C$7:$C$206,MATCH(6,'Aksiyonlar'!$M$7:$M$206,0))&amp;" / "&amp;INDEX('Aksiyonlar'!$D$7:$D$206,MATCH(6,'Aksiyonlar'!$M$7:$M$206,0))&amp;" / "&amp;DAY(INDEX('Aksiyonlar'!$F$7:$F$206,MATCH(6,'Aksiyonlar'!$M$7:$M$206,0)))&amp;"/"&amp;MONTH(INDEX('Aksiyonlar'!$F$7:$F$206,MATCH(6,'Aksiyonlar'!$M$7:$M$206,0))))</x:f>
      </x:c>
      <x:c r="C58" s="31"/>
      <x:c r="D58" s="31"/>
      <x:c r="E58" s="31"/>
      <x:c r="F58" s="31"/>
      <x:c r="G58" s="31"/>
      <x:c r="H58" s="31"/>
      <x:c r="I58" s="2"/>
      <x:c r="J58" s="31" t="str">
        <x:f>IF(6&gt;COUNTIFS('Aksiyonlar'!$N$7:$N$206,"&gt;0"),"",INDEX('Aksiyonlar'!$C$7:$C$206,MATCH(6,'Aksiyonlar'!$N$7:$N$206,0))&amp;" / "&amp;INDEX('Aksiyonlar'!$D$7:$D$206,MATCH(6,'Aksiyonlar'!$N$7:$N$206,0))&amp;" / "&amp;DAY(INDEX('Aksiyonlar'!$H$7:$H$206,MATCH(6,'Aksiyonlar'!$N$7:$N$206,0)))&amp;"/"&amp;MONTH(INDEX('Aksiyonlar'!$H$7:$H$206,MATCH(6,'Aksiyonlar'!$N$7:$N$206,0))))</x:f>
      </x:c>
      <x:c r="K58" s="31"/>
      <x:c r="L58" s="31"/>
      <x:c r="M58" s="31"/>
      <x:c r="N58" s="31"/>
      <x:c r="O58" s="31"/>
      <x:c r="P58" s="31"/>
      <x:c r="Q58" s="2"/>
      <x:c r="R58" s="2"/>
      <x:c r="S58" s="2"/>
      <x:c r="T58" s="2"/>
      <x:c r="U58" s="2"/>
      <x:c r="V58" s="2"/>
      <x:c r="W58" s="2"/>
    </x:row>
    <x:row r="59" ht="22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</x:row>
    <x:row r="60" ht="22" customHeight="1">
      <x:c r="A60" s="2"/>
      <x:c r="B60" s="8" t="str">
        <x:f>IF(V3=0,"Haftalık not kaydı yok","Son toplantı notları: "&amp;DAY(V3)&amp;"/"&amp;MONTH(V3)&amp;"/"&amp;YEAR(V3)&amp;". Listelerde ilk 6 kayıt gösterilir.")</x:f>
        <x:v>Son toplantı notları: 8/10/2026. Listelerde ilk 6 kayıt gösterilir.</x:v>
      </x:c>
      <x:c r="C60" s="8"/>
      <x:c r="D60" s="8"/>
      <x:c r="E60" s="8"/>
      <x:c r="F60" s="8"/>
      <x:c r="G60" s="8"/>
      <x:c r="H60" s="8"/>
      <x:c r="I60" s="8"/>
      <x:c r="J60" s="8"/>
      <x:c r="K60" s="8"/>
      <x:c r="L60" s="8"/>
      <x:c r="M60" s="8"/>
      <x:c r="N60" s="8"/>
      <x:c r="O60" s="8"/>
      <x:c r="P60" s="8"/>
      <x:c r="Q60" s="2"/>
      <x:c r="R60" s="2"/>
      <x:c r="S60" s="2"/>
      <x:c r="T60" s="2"/>
      <x:c r="U60" s="2"/>
      <x:c r="V60" s="2"/>
      <x:c r="W60" s="2"/>
    </x:row>
    <x:row r="61" ht="22" customHeight="1">
      <x:c r="A61" s="2"/>
      <x:c r="B61" s="20" t="str">
        <x:v>Yapılanlar</x:v>
      </x:c>
      <x:c r="C61" s="20"/>
      <x:c r="D61" s="20"/>
      <x:c r="E61" s="20"/>
      <x:c r="F61" s="20"/>
      <x:c r="G61" s="2"/>
      <x:c r="H61" s="20" t="str">
        <x:v>Sonraki hafta</x:v>
      </x:c>
      <x:c r="I61" s="20"/>
      <x:c r="J61" s="20"/>
      <x:c r="K61" s="20"/>
      <x:c r="L61" s="20"/>
      <x:c r="M61" s="2"/>
      <x:c r="N61" s="20" t="str">
        <x:v>Karar ihtiyacı</x:v>
      </x:c>
      <x:c r="O61" s="20"/>
      <x:c r="P61" s="20"/>
      <x:c r="Q61" s="2"/>
      <x:c r="R61" s="2"/>
      <x:c r="S61" s="2"/>
      <x:c r="T61" s="2"/>
      <x:c r="U61" s="2"/>
      <x:c r="V61" s="2"/>
      <x:c r="W61" s="2"/>
    </x:row>
    <x:row r="62" ht="22" customHeight="1">
      <x:c r="A62" s="2"/>
      <x:c r="B62" s="32" t="str">
        <x:f>IF(V3=0,"Haftalik sayfasına not girin",INDEX('Haftalik'!$H$7:$H$266,MATCH($C$5&amp;(V3-WEEKDAY(V3,2)+1),'Haftalik'!$M$7:$M$266,0)))</x:f>
        <x:v>Tasarım onaylandı. Sensör paketi teslim alındı.</x:v>
      </x:c>
      <x:c r="C62" s="32"/>
      <x:c r="D62" s="32"/>
      <x:c r="E62" s="32"/>
      <x:c r="F62" s="32"/>
      <x:c r="G62" s="2"/>
      <x:c r="H62" s="32" t="str">
        <x:f>IF(V3=0,"Haftalik sayfasına not girin",INDEX('Haftalik'!$I$7:$I$266,MATCH($C$5&amp;(V3-WEEKDAY(V3,2)+1),'Haftalik'!$M$7:$M$266,0)))</x:f>
        <x:v>Motor terminini netleştir. Saha hazırlığını ilerlet.</x:v>
      </x:c>
      <x:c r="I62" s="32"/>
      <x:c r="J62" s="32"/>
      <x:c r="K62" s="32"/>
      <x:c r="L62" s="32"/>
      <x:c r="M62" s="2"/>
      <x:c r="N62" s="32" t="str">
        <x:f>IF(V3=0,"Haftalik sayfasına not girin",INDEX('Haftalik'!$J$7:$J$266,MATCH($C$5&amp;(V3-WEEKDAY(V3,2)+1),'Haftalik'!$M$7:$M$266,0)))</x:f>
        <x:v>Motor gecikmesi için alternatif tedarikçi kararı.</x:v>
      </x:c>
      <x:c r="O62" s="32"/>
      <x:c r="P62" s="32"/>
      <x:c r="Q62" s="2"/>
      <x:c r="R62" s="2"/>
      <x:c r="S62" s="2"/>
      <x:c r="T62" s="2"/>
      <x:c r="U62" s="2"/>
      <x:c r="V62" s="2"/>
      <x:c r="W62" s="2"/>
    </x:row>
    <x:row r="63" ht="22" customHeight="1">
      <x:c r="A63" s="2"/>
      <x:c r="B63" s="32"/>
      <x:c r="C63" s="32"/>
      <x:c r="D63" s="32"/>
      <x:c r="E63" s="32"/>
      <x:c r="F63" s="32"/>
      <x:c r="G63" s="2"/>
      <x:c r="H63" s="32"/>
      <x:c r="I63" s="32"/>
      <x:c r="J63" s="32"/>
      <x:c r="K63" s="32"/>
      <x:c r="L63" s="32"/>
      <x:c r="M63" s="2"/>
      <x:c r="N63" s="32"/>
      <x:c r="O63" s="32"/>
      <x:c r="P63" s="32"/>
      <x:c r="Q63" s="2"/>
      <x:c r="R63" s="2"/>
      <x:c r="S63" s="2"/>
      <x:c r="T63" s="2"/>
      <x:c r="U63" s="2"/>
      <x:c r="V63" s="2"/>
      <x:c r="W63" s="2"/>
    </x:row>
    <x:row r="64" ht="22" customHeight="1">
      <x:c r="A64" s="2"/>
      <x:c r="B64" s="32"/>
      <x:c r="C64" s="32"/>
      <x:c r="D64" s="32"/>
      <x:c r="E64" s="32"/>
      <x:c r="F64" s="32"/>
      <x:c r="G64" s="2"/>
      <x:c r="H64" s="32"/>
      <x:c r="I64" s="32"/>
      <x:c r="J64" s="32"/>
      <x:c r="K64" s="32"/>
      <x:c r="L64" s="32"/>
      <x:c r="M64" s="2"/>
      <x:c r="N64" s="32"/>
      <x:c r="O64" s="32"/>
      <x:c r="P64" s="32"/>
      <x:c r="Q64" s="2"/>
      <x:c r="R64" s="2"/>
      <x:c r="S64" s="2"/>
      <x:c r="T64" s="2"/>
      <x:c r="U64" s="2"/>
      <x:c r="V64" s="2"/>
      <x:c r="W64" s="2"/>
    </x:row>
    <x:row r="65" ht="22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</x:row>
    <x:row r="66" ht="22" customHeight="1">
      <x:c r="A66" s="2"/>
      <x:c r="B66" s="8" t="str">
        <x:v>Hafta kapanışı: aşağıdaki satırı Haftalik A:G alanına değer olarak yapıştırın.</x:v>
      </x:c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</x:row>
    <x:row r="67" ht="34" customHeight="1">
      <x:c r="A67" s="2"/>
      <x:c r="B67" s="12" t="str">
        <x:v>Proje ID</x:v>
      </x:c>
      <x:c r="C67" s="12" t="str">
        <x:v>Rapor tarihi</x:v>
      </x:c>
      <x:c r="D67" s="12" t="str">
        <x:v>Tamamlanma %</x:v>
      </x:c>
      <x:c r="E67" s="12" t="str">
        <x:v>Planlanan %</x:v>
      </x:c>
      <x:c r="F67" s="12" t="str">
        <x:v>Gerçek maliyet</x:v>
      </x:c>
      <x:c r="G67" s="12" t="str">
        <x:v>Tahmini toplam</x:v>
      </x:c>
      <x:c r="H67" s="12" t="str">
        <x:v>Yüksek / kritik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</x:row>
    <x:row r="68" ht="22" customHeight="1">
      <x:c r="A68" s="2"/>
      <x:c r="B68" s="2" t="str">
        <x:f>$C$5</x:f>
        <x:v>PRJ-001</x:v>
      </x:c>
      <x:c r="C68" s="5" t="n">
        <x:f>$N$5</x:f>
        <x:v>46310</x:v>
      </x:c>
      <x:c r="D68" s="16" t="n">
        <x:f>INDEX('Portfoy'!$D$7:$D$26,MATCH($C$5,'Portfoy'!$A$7:$A$26,0))</x:f>
        <x:v>0.505</x:v>
      </x:c>
      <x:c r="E68" s="16" t="n">
        <x:f>INDEX('Portfoy'!$E$7:$E$26,MATCH($C$5,'Portfoy'!$A$7:$A$26,0))</x:f>
        <x:v>0.5762360446570972</x:v>
      </x:c>
      <x:c r="F68" s="33" t="n">
        <x:f>INDEX('Portfoy'!$H$7:$H$26,MATCH($C$5,'Portfoy'!$A$7:$A$26,0))</x:f>
        <x:v>926400</x:v>
      </x:c>
      <x:c r="G68" s="33" t="n">
        <x:f>INDEX('Portfoy'!$I$7:$I$26,MATCH($C$5,'Portfoy'!$A$7:$A$26,0))</x:f>
        <x:v>1993400</x:v>
      </x:c>
      <x:c r="H68" s="2" t="n">
        <x:f>INDEX('Portfoy'!$P$7:$P$26,MATCH($C$5,'Portfoy'!$A$7:$A$26,0))</x:f>
        <x:v>2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</x:row>
    <x:row r="69" ht="22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</x:row>
    <x:row r="70" ht="22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</x:row>
    <x:row r="71" ht="22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</x:row>
    <x:row r="72" ht="22" customHeight="1">
      <x:c r="A72" s="2"/>
      <x:c r="B72" s="2" t="str">
        <x:v>Grafik verileri (otomatik)</x:v>
      </x:c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</x:row>
    <x:row r="73" ht="22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</x:row>
    <x:row r="74" ht="34" customHeight="1">
      <x:c r="A74" s="2"/>
      <x:c r="B74" s="12" t="str">
        <x:v>Rapor haftası</x:v>
      </x:c>
      <x:c r="C74" s="12" t="str">
        <x:v>Planlanan</x:v>
      </x:c>
      <x:c r="D74" s="12" t="str">
        <x:v>Gerçekleşen</x:v>
      </x:c>
      <x:c r="E74" s="2"/>
      <x:c r="F74" s="12" t="str">
        <x:v>Maliyet bileşeni</x:v>
      </x:c>
      <x:c r="G74" s="12" t="str">
        <x:v>Tutar (TL)</x:v>
      </x:c>
      <x:c r="H74" s="2"/>
      <x:c r="I74" s="2"/>
      <x:c r="J74" s="12" t="str">
        <x:v>Birim</x:v>
      </x:c>
      <x:c r="K74" s="12" t="str">
        <x:v>Toplam saat</x:v>
      </x:c>
      <x:c r="L74" s="12" t="str">
        <x:v>Bu hafta saat</x:v>
      </x:c>
      <x:c r="M74" s="2"/>
      <x:c r="N74" s="12" t="str">
        <x:v>Risk seviyesi</x:v>
      </x:c>
      <x:c r="O74" s="12" t="str">
        <x:v>Açık risk</x:v>
      </x:c>
      <x:c r="P74" s="2"/>
      <x:c r="Q74" s="2"/>
      <x:c r="R74" s="2"/>
      <x:c r="S74" s="2"/>
      <x:c r="T74" s="2" t="str">
        <x:v>Hafta başlangıcı</x:v>
      </x:c>
      <x:c r="U74" s="2"/>
      <x:c r="V74" s="2"/>
      <x:c r="W74" s="2"/>
    </x:row>
    <x:row r="75" ht="22" customHeight="1">
      <x:c r="A75" s="2"/>
      <x:c r="B75" s="2" t="str">
        <x:f>DAY(T75)&amp;"/"&amp;MONTH(T75)</x:f>
        <x:v>27/7</x:v>
      </x:c>
      <x:c r="C75" s="16" t="e">
        <x:f>IF(T75=$N$5-WEEKDAY($N$5,2)+1,INDEX('Portfoy'!$E$7:$E$26,MATCH($C$5,'Portfoy'!$A$7:$A$26,0)),IF(COUNTIFS('Haftalik'!$A$7:$A$266,$C$5,'Haftalik'!$L$7:$L$266,T75)=0,NA(),SUMIFS('Haftalik'!$D$7:$D$266,'Haftalik'!$A$7:$A$266,$C$5,'Haftalik'!$L$7:$L$266,T75)))</x:f>
        <x:v>#N/A</x:v>
      </x:c>
      <x:c r="D75" s="16" t="e">
        <x:f>IF(T75=$N$5-WEEKDAY($N$5,2)+1,INDEX('Portfoy'!$D$7:$D$26,MATCH($C$5,'Portfoy'!$A$7:$A$26,0)),IF(COUNTIFS('Haftalik'!$A$7:$A$266,$C$5,'Haftalik'!$L$7:$L$266,T75)=0,NA(),SUMIFS('Haftalik'!$C$7:$C$266,'Haftalik'!$A$7:$A$266,$C$5,'Haftalik'!$L$7:$L$266,T75)))</x:f>
        <x:v>#N/A</x:v>
      </x:c>
      <x:c r="E75" s="2"/>
      <x:c r="F75" s="2" t="str">
        <x:v>Gerçek efor</x:v>
      </x:c>
      <x:c r="G75" s="14" t="n">
        <x:f>INDEX('Portfoy'!$W$7:$W$26,MATCH($C$5,'Portfoy'!$A$7:$A$26,0))</x:f>
        <x:v>526400</x:v>
      </x:c>
      <x:c r="H75" s="2"/>
      <x:c r="I75" s="2"/>
      <x:c r="J75" s="2" t="str">
        <x:v>Mühendislik</x:v>
      </x:c>
      <x:c r="K75" s="2" t="n">
        <x:f>SUMIFS('Efor'!$F$7:$F$606,'Efor'!$B$7:$B$606,$C$5,'Efor'!$E$7:$E$606,J75,'Efor'!$A$7:$A$606,"&lt;="&amp;$N$5)</x:f>
        <x:v>110</x:v>
      </x:c>
      <x:c r="L75" s="2" t="n">
        <x:f>SUMIFS('Efor'!$F$7:$F$606,'Efor'!$B$7:$B$606,$C$5,'Efor'!$E$7:$E$606,J75,'Efor'!$A$7:$A$606,"&gt;="&amp;($N$5-WEEKDAY($N$5,2)+1),'Efor'!$A$7:$A$606,"&lt;="&amp;$N$5)</x:f>
        <x:v>10</x:v>
      </x:c>
      <x:c r="M75" s="2"/>
      <x:c r="N75" s="2" t="str">
        <x:v>Düşük</x:v>
      </x:c>
      <x:c r="O75" s="2" t="n">
        <x:f>COUNTIFS('Riskler'!$B$7:$B$126,$C$5,'Riskler'!$G$7:$G$126,N75,'Riskler'!$K$7:$K$126,"&lt;&gt;Kapalı",'Riskler'!$L$7:$L$126,"&lt;="&amp;$N$5)</x:f>
        <x:v>1</x:v>
      </x:c>
      <x:c r="P75" s="2"/>
      <x:c r="Q75" s="2"/>
      <x:c r="R75" s="2"/>
      <x:c r="S75" s="2"/>
      <x:c r="T75" s="5" t="n">
        <x:f>$N$5-WEEKDAY($N$5,2)+1-77</x:f>
        <x:v>46230</x:v>
      </x:c>
      <x:c r="U75" s="2"/>
      <x:c r="V75" s="2"/>
      <x:c r="W75" s="2"/>
    </x:row>
    <x:row r="76" ht="22" customHeight="1">
      <x:c r="A76" s="2"/>
      <x:c r="B76" s="2" t="str">
        <x:f>DAY(T76)&amp;"/"&amp;MONTH(T76)</x:f>
        <x:v>3/8</x:v>
      </x:c>
      <x:c r="C76" s="16" t="e">
        <x:f>IF(T76=$N$5-WEEKDAY($N$5,2)+1,INDEX('Portfoy'!$E$7:$E$26,MATCH($C$5,'Portfoy'!$A$7:$A$26,0)),IF(COUNTIFS('Haftalik'!$A$7:$A$266,$C$5,'Haftalik'!$L$7:$L$266,T76)=0,NA(),SUMIFS('Haftalik'!$D$7:$D$266,'Haftalik'!$A$7:$A$266,$C$5,'Haftalik'!$L$7:$L$266,T76)))</x:f>
        <x:v>#N/A</x:v>
      </x:c>
      <x:c r="D76" s="16" t="e">
        <x:f>IF(T76=$N$5-WEEKDAY($N$5,2)+1,INDEX('Portfoy'!$D$7:$D$26,MATCH($C$5,'Portfoy'!$A$7:$A$26,0)),IF(COUNTIFS('Haftalik'!$A$7:$A$266,$C$5,'Haftalik'!$L$7:$L$266,T76)=0,NA(),SUMIFS('Haftalik'!$C$7:$C$266,'Haftalik'!$A$7:$A$266,$C$5,'Haftalik'!$L$7:$L$266,T76)))</x:f>
        <x:v>#N/A</x:v>
      </x:c>
      <x:c r="E76" s="2"/>
      <x:c r="F76" s="2" t="str">
        <x:v>Gerçek alım</x:v>
      </x:c>
      <x:c r="G76" s="14" t="n">
        <x:f>INDEX('Portfoy'!$X$7:$X$26,MATCH($C$5,'Portfoy'!$A$7:$A$26,0))</x:f>
        <x:v>400000</x:v>
      </x:c>
      <x:c r="H76" s="2"/>
      <x:c r="I76" s="2"/>
      <x:c r="J76" s="2" t="str">
        <x:v>Üretim</x:v>
      </x:c>
      <x:c r="K76" s="2" t="n">
        <x:f>SUMIFS('Efor'!$F$7:$F$606,'Efor'!$B$7:$B$606,$C$5,'Efor'!$E$7:$E$606,J76,'Efor'!$A$7:$A$606,"&lt;="&amp;$N$5)</x:f>
        <x:v>127</x:v>
      </x:c>
      <x:c r="L76" s="2" t="n">
        <x:f>SUMIFS('Efor'!$F$7:$F$606,'Efor'!$B$7:$B$606,$C$5,'Efor'!$E$7:$E$606,J76,'Efor'!$A$7:$A$606,"&gt;="&amp;($N$5-WEEKDAY($N$5,2)+1),'Efor'!$A$7:$A$606,"&lt;="&amp;$N$5)</x:f>
        <x:v>12</x:v>
      </x:c>
      <x:c r="M76" s="2"/>
      <x:c r="N76" s="2" t="str">
        <x:v>Orta</x:v>
      </x:c>
      <x:c r="O76" s="2" t="n">
        <x:f>COUNTIFS('Riskler'!$B$7:$B$126,$C$5,'Riskler'!$G$7:$G$126,N76,'Riskler'!$K$7:$K$126,"&lt;&gt;Kapalı",'Riskler'!$L$7:$L$126,"&lt;="&amp;$N$5)</x:f>
        <x:v>0</x:v>
      </x:c>
      <x:c r="P76" s="2"/>
      <x:c r="Q76" s="2"/>
      <x:c r="R76" s="2"/>
      <x:c r="S76" s="2"/>
      <x:c r="T76" s="5" t="n">
        <x:f>$N$5-WEEKDAY($N$5,2)+1-70</x:f>
        <x:v>46237</x:v>
      </x:c>
      <x:c r="U76" s="2"/>
      <x:c r="V76" s="2"/>
      <x:c r="W76" s="2"/>
    </x:row>
    <x:row r="77" ht="22" customHeight="1">
      <x:c r="A77" s="2"/>
      <x:c r="B77" s="2" t="str">
        <x:f>DAY(T77)&amp;"/"&amp;MONTH(T77)</x:f>
        <x:v>10/8</x:v>
      </x:c>
      <x:c r="C77" s="16" t="e">
        <x:f>IF(T77=$N$5-WEEKDAY($N$5,2)+1,INDEX('Portfoy'!$E$7:$E$26,MATCH($C$5,'Portfoy'!$A$7:$A$26,0)),IF(COUNTIFS('Haftalik'!$A$7:$A$266,$C$5,'Haftalik'!$L$7:$L$266,T77)=0,NA(),SUMIFS('Haftalik'!$D$7:$D$266,'Haftalik'!$A$7:$A$266,$C$5,'Haftalik'!$L$7:$L$266,T77)))</x:f>
        <x:v>#N/A</x:v>
      </x:c>
      <x:c r="D77" s="16" t="e">
        <x:f>IF(T77=$N$5-WEEKDAY($N$5,2)+1,INDEX('Portfoy'!$D$7:$D$26,MATCH($C$5,'Portfoy'!$A$7:$A$26,0)),IF(COUNTIFS('Haftalik'!$A$7:$A$266,$C$5,'Haftalik'!$L$7:$L$266,T77)=0,NA(),SUMIFS('Haftalik'!$C$7:$C$266,'Haftalik'!$A$7:$A$266,$C$5,'Haftalik'!$L$7:$L$266,T77)))</x:f>
        <x:v>#N/A</x:v>
      </x:c>
      <x:c r="E77" s="2"/>
      <x:c r="F77" s="2" t="str">
        <x:v>Kalan efor</x:v>
      </x:c>
      <x:c r="G77" s="14" t="n">
        <x:f>INDEX('Portfoy'!$Y$7:$Y$26,MATCH($C$5,'Portfoy'!$A$7:$A$26,0))</x:f>
        <x:v>527000</x:v>
      </x:c>
      <x:c r="H77" s="2"/>
      <x:c r="I77" s="2"/>
      <x:c r="J77" s="2" t="str">
        <x:v>Satın Alma</x:v>
      </x:c>
      <x:c r="K77" s="2" t="n">
        <x:f>SUMIFS('Efor'!$F$7:$F$606,'Efor'!$B$7:$B$606,$C$5,'Efor'!$E$7:$E$606,J77,'Efor'!$A$7:$A$606,"&lt;="&amp;$N$5)</x:f>
        <x:v>144</x:v>
      </x:c>
      <x:c r="L77" s="2" t="n">
        <x:f>SUMIFS('Efor'!$F$7:$F$606,'Efor'!$B$7:$B$606,$C$5,'Efor'!$E$7:$E$606,J77,'Efor'!$A$7:$A$606,"&gt;="&amp;($N$5-WEEKDAY($N$5,2)+1),'Efor'!$A$7:$A$606,"&lt;="&amp;$N$5)</x:f>
        <x:v>14</x:v>
      </x:c>
      <x:c r="M77" s="2"/>
      <x:c r="N77" s="2" t="str">
        <x:v>Yüksek</x:v>
      </x:c>
      <x:c r="O77" s="2" t="n">
        <x:f>COUNTIFS('Riskler'!$B$7:$B$126,$C$5,'Riskler'!$G$7:$G$126,N77,'Riskler'!$K$7:$K$126,"&lt;&gt;Kapalı",'Riskler'!$L$7:$L$126,"&lt;="&amp;$N$5)</x:f>
        <x:v>1</x:v>
      </x:c>
      <x:c r="P77" s="2"/>
      <x:c r="Q77" s="2"/>
      <x:c r="R77" s="2"/>
      <x:c r="S77" s="2"/>
      <x:c r="T77" s="5" t="n">
        <x:f>$N$5-WEEKDAY($N$5,2)+1-63</x:f>
        <x:v>46244</x:v>
      </x:c>
      <x:c r="U77" s="2"/>
      <x:c r="V77" s="2"/>
      <x:c r="W77" s="2"/>
    </x:row>
    <x:row r="78" ht="22" customHeight="1">
      <x:c r="A78" s="2"/>
      <x:c r="B78" s="2" t="str">
        <x:f>DAY(T78)&amp;"/"&amp;MONTH(T78)</x:f>
        <x:v>17/8</x:v>
      </x:c>
      <x:c r="C78" s="16" t="e">
        <x:f>IF(T78=$N$5-WEEKDAY($N$5,2)+1,INDEX('Portfoy'!$E$7:$E$26,MATCH($C$5,'Portfoy'!$A$7:$A$26,0)),IF(COUNTIFS('Haftalik'!$A$7:$A$266,$C$5,'Haftalik'!$L$7:$L$266,T78)=0,NA(),SUMIFS('Haftalik'!$D$7:$D$266,'Haftalik'!$A$7:$A$266,$C$5,'Haftalik'!$L$7:$L$266,T78)))</x:f>
        <x:v>#N/A</x:v>
      </x:c>
      <x:c r="D78" s="16" t="e">
        <x:f>IF(T78=$N$5-WEEKDAY($N$5,2)+1,INDEX('Portfoy'!$D$7:$D$26,MATCH($C$5,'Portfoy'!$A$7:$A$26,0)),IF(COUNTIFS('Haftalik'!$A$7:$A$266,$C$5,'Haftalik'!$L$7:$L$266,T78)=0,NA(),SUMIFS('Haftalik'!$C$7:$C$266,'Haftalik'!$A$7:$A$266,$C$5,'Haftalik'!$L$7:$L$266,T78)))</x:f>
        <x:v>#N/A</x:v>
      </x:c>
      <x:c r="E78" s="2"/>
      <x:c r="F78" s="2" t="str">
        <x:v>Kalan alım</x:v>
      </x:c>
      <x:c r="G78" s="14" t="n">
        <x:f>INDEX('Portfoy'!$Z$7:$Z$26,MATCH($C$5,'Portfoy'!$A$7:$A$26,0))</x:f>
        <x:v>540000</x:v>
      </x:c>
      <x:c r="H78" s="2"/>
      <x:c r="I78" s="2"/>
      <x:c r="J78" s="2" t="str">
        <x:v>Kalite</x:v>
      </x:c>
      <x:c r="K78" s="2" t="n">
        <x:f>SUMIFS('Efor'!$F$7:$F$606,'Efor'!$B$7:$B$606,$C$5,'Efor'!$E$7:$E$606,J78,'Efor'!$A$7:$A$606,"&lt;="&amp;$N$5)</x:f>
        <x:v>155</x:v>
      </x:c>
      <x:c r="L78" s="2" t="n">
        <x:f>SUMIFS('Efor'!$F$7:$F$606,'Efor'!$B$7:$B$606,$C$5,'Efor'!$E$7:$E$606,J78,'Efor'!$A$7:$A$606,"&gt;="&amp;($N$5-WEEKDAY($N$5,2)+1),'Efor'!$A$7:$A$606,"&lt;="&amp;$N$5)</x:f>
        <x:v>10</x:v>
      </x:c>
      <x:c r="M78" s="2"/>
      <x:c r="N78" s="2" t="str">
        <x:v>Kritik</x:v>
      </x:c>
      <x:c r="O78" s="2" t="n">
        <x:f>COUNTIFS('Riskler'!$B$7:$B$126,$C$5,'Riskler'!$G$7:$G$126,N78,'Riskler'!$K$7:$K$126,"&lt;&gt;Kapalı",'Riskler'!$L$7:$L$126,"&lt;="&amp;$N$5)</x:f>
        <x:v>1</x:v>
      </x:c>
      <x:c r="P78" s="2"/>
      <x:c r="Q78" s="2"/>
      <x:c r="R78" s="2"/>
      <x:c r="S78" s="2"/>
      <x:c r="T78" s="5" t="n">
        <x:f>$N$5-WEEKDAY($N$5,2)+1-56</x:f>
        <x:v>46251</x:v>
      </x:c>
      <x:c r="U78" s="2"/>
      <x:c r="V78" s="2"/>
      <x:c r="W78" s="2"/>
    </x:row>
    <x:row r="79" ht="22" customHeight="1">
      <x:c r="A79" s="2"/>
      <x:c r="B79" s="2" t="str">
        <x:f>DAY(T79)&amp;"/"&amp;MONTH(T79)</x:f>
        <x:v>24/8</x:v>
      </x:c>
      <x:c r="C79" s="16" t="e">
        <x:f>IF(T79=$N$5-WEEKDAY($N$5,2)+1,INDEX('Portfoy'!$E$7:$E$26,MATCH($C$5,'Portfoy'!$A$7:$A$26,0)),IF(COUNTIFS('Haftalik'!$A$7:$A$266,$C$5,'Haftalik'!$L$7:$L$266,T79)=0,NA(),SUMIFS('Haftalik'!$D$7:$D$266,'Haftalik'!$A$7:$A$266,$C$5,'Haftalik'!$L$7:$L$266,T79)))</x:f>
        <x:v>#N/A</x:v>
      </x:c>
      <x:c r="D79" s="16" t="e">
        <x:f>IF(T79=$N$5-WEEKDAY($N$5,2)+1,INDEX('Portfoy'!$D$7:$D$26,MATCH($C$5,'Portfoy'!$A$7:$A$26,0)),IF(COUNTIFS('Haftalik'!$A$7:$A$266,$C$5,'Haftalik'!$L$7:$L$266,T79)=0,NA(),SUMIFS('Haftalik'!$C$7:$C$266,'Haftalik'!$A$7:$A$266,$C$5,'Haftalik'!$L$7:$L$266,T79)))</x:f>
        <x:v>#N/A</x:v>
      </x:c>
      <x:c r="E79" s="2"/>
      <x:c r="F79" s="2"/>
      <x:c r="G79" s="2"/>
      <x:c r="H79" s="2"/>
      <x:c r="I79" s="2"/>
      <x:c r="J79" s="2" t="str">
        <x:v>Proje Yönetimi</x:v>
      </x:c>
      <x:c r="K79" s="2" t="n">
        <x:f>SUMIFS('Efor'!$F$7:$F$606,'Efor'!$B$7:$B$606,$C$5,'Efor'!$E$7:$E$606,J79,'Efor'!$A$7:$A$606,"&lt;="&amp;$N$5)</x:f>
        <x:v>112</x:v>
      </x:c>
      <x:c r="L79" s="2" t="n">
        <x:f>SUMIFS('Efor'!$F$7:$F$606,'Efor'!$B$7:$B$606,$C$5,'Efor'!$E$7:$E$606,J79,'Efor'!$A$7:$A$606,"&gt;="&amp;($N$5-WEEKDAY($N$5,2)+1),'Efor'!$A$7:$A$606,"&lt;="&amp;$N$5)</x:f>
        <x:v>12</x:v>
      </x:c>
      <x:c r="M79" s="2"/>
      <x:c r="N79" s="2"/>
      <x:c r="O79" s="2"/>
      <x:c r="P79" s="2"/>
      <x:c r="Q79" s="2"/>
      <x:c r="R79" s="2"/>
      <x:c r="S79" s="2"/>
      <x:c r="T79" s="5" t="n">
        <x:f>$N$5-WEEKDAY($N$5,2)+1-49</x:f>
        <x:v>46258</x:v>
      </x:c>
      <x:c r="U79" s="2"/>
      <x:c r="V79" s="2"/>
      <x:c r="W79" s="2"/>
    </x:row>
    <x:row r="80" ht="22" customHeight="1">
      <x:c r="A80" s="2"/>
      <x:c r="B80" s="2" t="str">
        <x:f>DAY(T80)&amp;"/"&amp;MONTH(T80)</x:f>
        <x:v>31/8</x:v>
      </x:c>
      <x:c r="C80" s="16" t="e">
        <x:f>IF(T80=$N$5-WEEKDAY($N$5,2)+1,INDEX('Portfoy'!$E$7:$E$26,MATCH($C$5,'Portfoy'!$A$7:$A$26,0)),IF(COUNTIFS('Haftalik'!$A$7:$A$266,$C$5,'Haftalik'!$L$7:$L$266,T80)=0,NA(),SUMIFS('Haftalik'!$D$7:$D$266,'Haftalik'!$A$7:$A$266,$C$5,'Haftalik'!$L$7:$L$266,T80)))</x:f>
        <x:v>#N/A</x:v>
      </x:c>
      <x:c r="D80" s="16" t="e">
        <x:f>IF(T80=$N$5-WEEKDAY($N$5,2)+1,INDEX('Portfoy'!$D$7:$D$26,MATCH($C$5,'Portfoy'!$A$7:$A$26,0)),IF(COUNTIFS('Haftalik'!$A$7:$A$266,$C$5,'Haftalik'!$L$7:$L$266,T80)=0,NA(),SUMIFS('Haftalik'!$C$7:$C$266,'Haftalik'!$A$7:$A$266,$C$5,'Haftalik'!$L$7:$L$266,T80)))</x:f>
        <x:v>#N/A</x:v>
      </x:c>
      <x:c r="E80" s="2"/>
      <x:c r="F80" s="2"/>
      <x:c r="G80" s="2"/>
      <x:c r="H80" s="2"/>
      <x:c r="I80" s="2"/>
      <x:c r="J80" s="2" t="str">
        <x:v>Bilgi Teknolojileri</x:v>
      </x:c>
      <x:c r="K80" s="2" t="n">
        <x:f>SUMIFS('Efor'!$F$7:$F$606,'Efor'!$B$7:$B$606,$C$5,'Efor'!$E$7:$E$606,J80,'Efor'!$A$7:$A$606,"&lt;="&amp;$N$5)</x:f>
        <x:v>0</x:v>
      </x:c>
      <x:c r="L80" s="2" t="n">
        <x:f>SUMIFS('Efor'!$F$7:$F$606,'Efor'!$B$7:$B$606,$C$5,'Efor'!$E$7:$E$606,J80,'Efor'!$A$7:$A$606,"&gt;="&amp;($N$5-WEEKDAY($N$5,2)+1),'Efor'!$A$7:$A$606,"&lt;="&amp;$N$5)</x:f>
        <x:v>0</x:v>
      </x:c>
      <x:c r="M80" s="2"/>
      <x:c r="N80" s="2"/>
      <x:c r="O80" s="2"/>
      <x:c r="P80" s="2"/>
      <x:c r="Q80" s="2"/>
      <x:c r="R80" s="2"/>
      <x:c r="S80" s="2"/>
      <x:c r="T80" s="5" t="n">
        <x:f>$N$5-WEEKDAY($N$5,2)+1-42</x:f>
        <x:v>46265</x:v>
      </x:c>
      <x:c r="U80" s="2"/>
      <x:c r="V80" s="2"/>
      <x:c r="W80" s="2"/>
    </x:row>
    <x:row r="81" ht="22" customHeight="1">
      <x:c r="A81" s="2"/>
      <x:c r="B81" s="2" t="str">
        <x:f>DAY(T81)&amp;"/"&amp;MONTH(T81)</x:f>
        <x:v>7/9</x:v>
      </x:c>
      <x:c r="C81" s="16" t="n">
        <x:f>IF(T81=$N$5-WEEKDAY($N$5,2)+1,INDEX('Portfoy'!$E$7:$E$26,MATCH($C$5,'Portfoy'!$A$7:$A$26,0)),IF(COUNTIFS('Haftalik'!$A$7:$A$266,$C$5,'Haftalik'!$L$7:$L$266,T81)=0,NA(),SUMIFS('Haftalik'!$D$7:$D$266,'Haftalik'!$A$7:$A$266,$C$5,'Haftalik'!$L$7:$L$266,T81)))</x:f>
        <x:v>0.14</x:v>
      </x:c>
      <x:c r="D81" s="16" t="n">
        <x:f>IF(T81=$N$5-WEEKDAY($N$5,2)+1,INDEX('Portfoy'!$D$7:$D$26,MATCH($C$5,'Portfoy'!$A$7:$A$26,0)),IF(COUNTIFS('Haftalik'!$A$7:$A$266,$C$5,'Haftalik'!$L$7:$L$266,T81)=0,NA(),SUMIFS('Haftalik'!$C$7:$C$266,'Haftalik'!$A$7:$A$266,$C$5,'Haftalik'!$L$7:$L$266,T81)))</x:f>
        <x:v>0.08</x:v>
      </x:c>
      <x:c r="E81" s="2"/>
      <x:c r="F81" s="2"/>
      <x:c r="G81" s="2"/>
      <x:c r="H81" s="2"/>
      <x:c r="I81" s="2"/>
      <x:c r="J81" s="2" t="str">
        <x:v>Diğer birimler</x:v>
      </x:c>
      <x:c r="K81" s="2" t="n">
        <x:f>INDEX('Portfoy'!$L$7:$L$26,MATCH($C$5,'Portfoy'!$A$7:$A$26,0))-SUM(K75:K80)</x:f>
        <x:v>0</x:v>
      </x:c>
      <x:c r="L81" s="2" t="n">
        <x:f>INDEX('Portfoy'!$N$7:$N$26,MATCH($C$5,'Portfoy'!$A$7:$A$26,0))-SUM(L75:L80)</x:f>
        <x:v>0</x:v>
      </x:c>
      <x:c r="M81" s="2"/>
      <x:c r="N81" s="2"/>
      <x:c r="O81" s="2"/>
      <x:c r="P81" s="2"/>
      <x:c r="Q81" s="2"/>
      <x:c r="R81" s="2"/>
      <x:c r="S81" s="2"/>
      <x:c r="T81" s="5" t="n">
        <x:f>$N$5-WEEKDAY($N$5,2)+1-35</x:f>
        <x:v>46272</x:v>
      </x:c>
      <x:c r="U81" s="2"/>
      <x:c r="V81" s="2"/>
      <x:c r="W81" s="2"/>
    </x:row>
    <x:row r="82" ht="22" customHeight="1">
      <x:c r="A82" s="2"/>
      <x:c r="B82" s="2" t="str">
        <x:f>DAY(T82)&amp;"/"&amp;MONTH(T82)</x:f>
        <x:v>14/9</x:v>
      </x:c>
      <x:c r="C82" s="16" t="n">
        <x:f>IF(T82=$N$5-WEEKDAY($N$5,2)+1,INDEX('Portfoy'!$E$7:$E$26,MATCH($C$5,'Portfoy'!$A$7:$A$26,0)),IF(COUNTIFS('Haftalik'!$A$7:$A$266,$C$5,'Haftalik'!$L$7:$L$266,T82)=0,NA(),SUMIFS('Haftalik'!$D$7:$D$266,'Haftalik'!$A$7:$A$266,$C$5,'Haftalik'!$L$7:$L$266,T82)))</x:f>
        <x:v>0.24</x:v>
      </x:c>
      <x:c r="D82" s="16" t="n">
        <x:f>IF(T82=$N$5-WEEKDAY($N$5,2)+1,INDEX('Portfoy'!$D$7:$D$26,MATCH($C$5,'Portfoy'!$A$7:$A$26,0)),IF(COUNTIFS('Haftalik'!$A$7:$A$266,$C$5,'Haftalik'!$L$7:$L$266,T82)=0,NA(),SUMIFS('Haftalik'!$C$7:$C$266,'Haftalik'!$A$7:$A$266,$C$5,'Haftalik'!$L$7:$L$266,T82)))</x:f>
        <x:v>0.18</x:v>
      </x:c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5" t="n">
        <x:f>$N$5-WEEKDAY($N$5,2)+1-28</x:f>
        <x:v>46279</x:v>
      </x:c>
      <x:c r="U82" s="2"/>
      <x:c r="V82" s="2"/>
      <x:c r="W82" s="2"/>
    </x:row>
    <x:row r="83" ht="22" customHeight="1">
      <x:c r="A83" s="2"/>
      <x:c r="B83" s="2" t="str">
        <x:f>DAY(T83)&amp;"/"&amp;MONTH(T83)</x:f>
        <x:v>21/9</x:v>
      </x:c>
      <x:c r="C83" s="16" t="n">
        <x:f>IF(T83=$N$5-WEEKDAY($N$5,2)+1,INDEX('Portfoy'!$E$7:$E$26,MATCH($C$5,'Portfoy'!$A$7:$A$26,0)),IF(COUNTIFS('Haftalik'!$A$7:$A$266,$C$5,'Haftalik'!$L$7:$L$266,T83)=0,NA(),SUMIFS('Haftalik'!$D$7:$D$266,'Haftalik'!$A$7:$A$266,$C$5,'Haftalik'!$L$7:$L$266,T83)))</x:f>
        <x:v>0.34</x:v>
      </x:c>
      <x:c r="D83" s="16" t="n">
        <x:f>IF(T83=$N$5-WEEKDAY($N$5,2)+1,INDEX('Portfoy'!$D$7:$D$26,MATCH($C$5,'Portfoy'!$A$7:$A$26,0)),IF(COUNTIFS('Haftalik'!$A$7:$A$266,$C$5,'Haftalik'!$L$7:$L$266,T83)=0,NA(),SUMIFS('Haftalik'!$C$7:$C$266,'Haftalik'!$A$7:$A$266,$C$5,'Haftalik'!$L$7:$L$266,T83)))</x:f>
        <x:v>0.28</x:v>
      </x:c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5" t="n">
        <x:f>$N$5-WEEKDAY($N$5,2)+1-21</x:f>
        <x:v>46286</x:v>
      </x:c>
      <x:c r="U83" s="2"/>
      <x:c r="V83" s="2"/>
      <x:c r="W83" s="2"/>
    </x:row>
    <x:row r="84" ht="22" customHeight="1">
      <x:c r="A84" s="2"/>
      <x:c r="B84" s="2" t="str">
        <x:f>DAY(T84)&amp;"/"&amp;MONTH(T84)</x:f>
        <x:v>28/9</x:v>
      </x:c>
      <x:c r="C84" s="16" t="n">
        <x:f>IF(T84=$N$5-WEEKDAY($N$5,2)+1,INDEX('Portfoy'!$E$7:$E$26,MATCH($C$5,'Portfoy'!$A$7:$A$26,0)),IF(COUNTIFS('Haftalik'!$A$7:$A$266,$C$5,'Haftalik'!$L$7:$L$266,T84)=0,NA(),SUMIFS('Haftalik'!$D$7:$D$266,'Haftalik'!$A$7:$A$266,$C$5,'Haftalik'!$L$7:$L$266,T84)))</x:f>
        <x:v>0.43</x:v>
      </x:c>
      <x:c r="D84" s="16" t="n">
        <x:f>IF(T84=$N$5-WEEKDAY($N$5,2)+1,INDEX('Portfoy'!$D$7:$D$26,MATCH($C$5,'Portfoy'!$A$7:$A$26,0)),IF(COUNTIFS('Haftalik'!$A$7:$A$266,$C$5,'Haftalik'!$L$7:$L$266,T84)=0,NA(),SUMIFS('Haftalik'!$C$7:$C$266,'Haftalik'!$A$7:$A$266,$C$5,'Haftalik'!$L$7:$L$266,T84)))</x:f>
        <x:v>0.37</x:v>
      </x:c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5" t="n">
        <x:f>$N$5-WEEKDAY($N$5,2)+1-14</x:f>
        <x:v>46293</x:v>
      </x:c>
      <x:c r="U84" s="2"/>
      <x:c r="V84" s="2"/>
      <x:c r="W84" s="2"/>
    </x:row>
    <x:row r="85" ht="22" customHeight="1">
      <x:c r="A85" s="2"/>
      <x:c r="B85" s="2" t="str">
        <x:f>DAY(T85)&amp;"/"&amp;MONTH(T85)</x:f>
        <x:v>5/10</x:v>
      </x:c>
      <x:c r="C85" s="16" t="n">
        <x:f>IF(T85=$N$5-WEEKDAY($N$5,2)+1,INDEX('Portfoy'!$E$7:$E$26,MATCH($C$5,'Portfoy'!$A$7:$A$26,0)),IF(COUNTIFS('Haftalik'!$A$7:$A$266,$C$5,'Haftalik'!$L$7:$L$266,T85)=0,NA(),SUMIFS('Haftalik'!$D$7:$D$266,'Haftalik'!$A$7:$A$266,$C$5,'Haftalik'!$L$7:$L$266,T85)))</x:f>
        <x:v>0.49</x:v>
      </x:c>
      <x:c r="D85" s="16" t="n">
        <x:f>IF(T85=$N$5-WEEKDAY($N$5,2)+1,INDEX('Portfoy'!$D$7:$D$26,MATCH($C$5,'Portfoy'!$A$7:$A$26,0)),IF(COUNTIFS('Haftalik'!$A$7:$A$266,$C$5,'Haftalik'!$L$7:$L$266,T85)=0,NA(),SUMIFS('Haftalik'!$C$7:$C$266,'Haftalik'!$A$7:$A$266,$C$5,'Haftalik'!$L$7:$L$266,T85)))</x:f>
        <x:v>0.43</x:v>
      </x:c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5" t="n">
        <x:f>$N$5-WEEKDAY($N$5,2)+1-7</x:f>
        <x:v>46300</x:v>
      </x:c>
      <x:c r="U85" s="2"/>
      <x:c r="V85" s="2"/>
      <x:c r="W85" s="2"/>
    </x:row>
    <x:row r="86" ht="22" customHeight="1">
      <x:c r="A86" s="2"/>
      <x:c r="B86" s="2" t="str">
        <x:f>DAY(T86)&amp;"/"&amp;MONTH(T86)</x:f>
        <x:v>12/10</x:v>
      </x:c>
      <x:c r="C86" s="16" t="n">
        <x:f>IF(T86=$N$5-WEEKDAY($N$5,2)+1,INDEX('Portfoy'!$E$7:$E$26,MATCH($C$5,'Portfoy'!$A$7:$A$26,0)),IF(COUNTIFS('Haftalik'!$A$7:$A$266,$C$5,'Haftalik'!$L$7:$L$266,T86)=0,NA(),SUMIFS('Haftalik'!$D$7:$D$266,'Haftalik'!$A$7:$A$266,$C$5,'Haftalik'!$L$7:$L$266,T86)))</x:f>
        <x:v>0.5762360446570972</x:v>
      </x:c>
      <x:c r="D86" s="16" t="n">
        <x:f>IF(T86=$N$5-WEEKDAY($N$5,2)+1,INDEX('Portfoy'!$D$7:$D$26,MATCH($C$5,'Portfoy'!$A$7:$A$26,0)),IF(COUNTIFS('Haftalik'!$A$7:$A$266,$C$5,'Haftalik'!$L$7:$L$266,T86)=0,NA(),SUMIFS('Haftalik'!$C$7:$C$266,'Haftalik'!$A$7:$A$266,$C$5,'Haftalik'!$L$7:$L$266,T86)))</x:f>
        <x:v>0.505</x:v>
      </x:c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5" t="n">
        <x:f>$N$5-WEEKDAY($N$5,2)+1-0</x:f>
        <x:v>46307</x:v>
      </x:c>
      <x:c r="U86" s="2"/>
      <x:c r="V86" s="2"/>
      <x:c r="W86" s="2"/>
    </x:row>
    <x:row r="87" ht="22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</x:row>
    <x:row r="88" ht="22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</x:row>
    <x:row r="89" ht="22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</x:row>
    <x:row r="90" ht="22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</x:row>
    <x:row r="91" ht="22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</x:row>
    <x:row r="92" ht="22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</x:row>
    <x:row r="93" ht="22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</x:row>
    <x:row r="94" ht="22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</x:row>
    <x:row r="95" ht="22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</x:row>
    <x:row r="96" ht="22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</x:row>
    <x:row r="97" ht="22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</x:row>
    <x:row r="98" ht="22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</x:row>
    <x:row r="99" ht="22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</x:row>
    <x:row r="100" ht="22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</x:row>
    <x:row r="101" ht="22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</x:row>
    <x:row r="102" ht="22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</x:row>
  </x:sheetData>
  <x:mergeCells>
    <x:mergeCell ref="B2:P2"/>
    <x:mergeCell ref="C5:F5"/>
    <x:mergeCell ref="N5:P5"/>
    <x:mergeCell ref="B7:I7"/>
    <x:mergeCell ref="K7:P7"/>
    <x:mergeCell ref="B9:D9"/>
    <x:mergeCell ref="B10:D11"/>
    <x:mergeCell ref="B12:D12"/>
    <x:mergeCell ref="F9:H9"/>
    <x:mergeCell ref="F10:H11"/>
    <x:mergeCell ref="F12:H12"/>
    <x:mergeCell ref="J9:L9"/>
    <x:mergeCell ref="J10:L11"/>
    <x:mergeCell ref="J12:L12"/>
    <x:mergeCell ref="N9:P9"/>
    <x:mergeCell ref="N10:P11"/>
    <x:mergeCell ref="N12:P12"/>
    <x:mergeCell ref="B14:D14"/>
    <x:mergeCell ref="B15:D16"/>
    <x:mergeCell ref="B17:D17"/>
    <x:mergeCell ref="F14:H14"/>
    <x:mergeCell ref="F15:H16"/>
    <x:mergeCell ref="F17:H17"/>
    <x:mergeCell ref="J14:L14"/>
    <x:mergeCell ref="J15:L16"/>
    <x:mergeCell ref="J17:L17"/>
    <x:mergeCell ref="N14:P14"/>
    <x:mergeCell ref="N15:P16"/>
    <x:mergeCell ref="N17:P17"/>
    <x:mergeCell ref="B52:H52"/>
    <x:mergeCell ref="J52:P52"/>
    <x:mergeCell ref="B53:H53"/>
    <x:mergeCell ref="J53:P53"/>
    <x:mergeCell ref="B54:H54"/>
    <x:mergeCell ref="J54:P54"/>
    <x:mergeCell ref="B55:H55"/>
    <x:mergeCell ref="J55:P55"/>
    <x:mergeCell ref="B56:H56"/>
    <x:mergeCell ref="J56:P56"/>
    <x:mergeCell ref="B57:H57"/>
    <x:mergeCell ref="J57:P57"/>
    <x:mergeCell ref="B58:H58"/>
    <x:mergeCell ref="J58:P58"/>
    <x:mergeCell ref="B60:P60"/>
    <x:mergeCell ref="B61:F61"/>
    <x:mergeCell ref="B62:F64"/>
    <x:mergeCell ref="H61:L61"/>
    <x:mergeCell ref="H62:L64"/>
    <x:mergeCell ref="N61:P61"/>
    <x:mergeCell ref="N62:P64"/>
    <x:mergeCell ref="B66:H66"/>
  </x:mergeCells>
  <x:conditionalFormatting sqref="F10:H11">
    <x:cfRule type="cellIs" dxfId="13" priority="1" operator="lessThan">
      <x:formula>-5</x:formula>
    </x:cfRule>
  </x:conditionalFormatting>
  <x:conditionalFormatting sqref="J15:L16">
    <x:cfRule type="cellIs" dxfId="14" priority="2" operator="greaterThan">
      <x:formula>0</x:formula>
    </x:cfRule>
  </x:conditionalFormatting>
  <x:conditionalFormatting sqref="N15:P16">
    <x:cfRule type="cellIs" dxfId="15" priority="3" operator="greaterThan">
      <x:formula>0</x:formula>
    </x:cfRule>
  </x:conditionalFormatting>
  <x:dataValidations count="1">
    <x:dataValidation type="list" sqref="C5">
      <x:formula1>'Projeler'!$A$7:$A$26</x:formula1>
    </x:dataValidation>
  </x:dataValidations>
  <x:pageMargins left="0.7" right="0.7" top="0.75" bottom="0.75" header="0.3" footer="0.3"/>
  <x:drawing xmlns:r="http://schemas.openxmlformats.org/officeDocument/2006/relationships" r:id="Rdddd89b1e07b419e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</x:row>
    <x:row r="2" ht="32" customHeight="1">
      <x:c r="A2" s="2"/>
      <x:c r="B2" s="3" t="str">
        <x:v>Proje portföyü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</x:row>
    <x:row r="3" ht="22" customHeight="1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2"/>
      <x:c r="X3" s="2"/>
      <x:c r="Y3" s="2"/>
      <x:c r="Z3" s="2"/>
      <x:c r="AA3" s="2"/>
      <x:c r="AB3" s="2"/>
      <x:c r="AC3" s="2"/>
      <x:c r="AD3" s="2"/>
      <x:c r="AE3" s="2"/>
    </x:row>
    <x:row r="4" ht="22" customHeight="1">
      <x:c r="A4" s="2"/>
      <x:c r="B4" s="2" t="str">
        <x:v>Rapor tarihi</x:v>
      </x:c>
      <x:c r="C4" s="2"/>
      <x:c r="D4" s="5" t="n">
        <x:f>'Panel'!N5</x:f>
        <x:v>46310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</x:row>
    <x:row r="6" ht="34" customHeight="1">
      <x:c r="A6" s="12" t="str">
        <x:v>Proje ID</x:v>
      </x:c>
      <x:c r="B6" s="12" t="str">
        <x:v>Proje adı</x:v>
      </x:c>
      <x:c r="C6" s="12" t="str">
        <x:v>Proje yöneticisi</x:v>
      </x:c>
      <x:c r="D6" s="12" t="str">
        <x:v>Tamamlanma %</x:v>
      </x:c>
      <x:c r="E6" s="12" t="str">
        <x:v>Planlanan %</x:v>
      </x:c>
      <x:c r="F6" s="12" t="str">
        <x:v>Sapma (puan)</x:v>
      </x:c>
      <x:c r="G6" s="12" t="str">
        <x:v>Bütçe (TL)</x:v>
      </x:c>
      <x:c r="H6" s="12" t="str">
        <x:v>Gerçek maliyet (TL)</x:v>
      </x:c>
      <x:c r="I6" s="12" t="str">
        <x:v>Tahmini toplam (TL)</x:v>
      </x:c>
      <x:c r="J6" s="12" t="str">
        <x:v>Bütçe farkı (TL)</x:v>
      </x:c>
      <x:c r="K6" s="12" t="str">
        <x:v>Bitiş sapması (gün)</x:v>
      </x:c>
      <x:c r="L6" s="12" t="str">
        <x:v>Toplam saat</x:v>
      </x:c>
      <x:c r="M6" s="12" t="str">
        <x:v>Kişi sayısı</x:v>
      </x:c>
      <x:c r="N6" s="12" t="str">
        <x:v>Bu hafta saat</x:v>
      </x:c>
      <x:c r="O6" s="12" t="str">
        <x:v>Bu hafta kişi</x:v>
      </x:c>
      <x:c r="P6" s="12" t="str">
        <x:v>Yüksek / kritik risk</x:v>
      </x:c>
      <x:c r="Q6" s="12" t="str">
        <x:v>Açık risk</x:v>
      </x:c>
      <x:c r="R6" s="12" t="str">
        <x:v>Geciken aksiyon</x:v>
      </x:c>
      <x:c r="S6" s="12" t="str">
        <x:v>Açık aksiyon</x:v>
      </x:c>
      <x:c r="T6" s="12" t="str">
        <x:v>Geciken görev</x:v>
      </x:c>
      <x:c r="U6" s="12" t="str">
        <x:v>Görev sayısı</x:v>
      </x:c>
      <x:c r="V6" s="12" t="str">
        <x:v>Takvim durumu</x:v>
      </x:c>
      <x:c r="W6" s="12" t="str">
        <x:v>Gerçek efor (TL)</x:v>
      </x:c>
      <x:c r="X6" s="12" t="str">
        <x:v>Gerçek diğer (TL)</x:v>
      </x:c>
      <x:c r="Y6" s="12" t="str">
        <x:v>Kalan efor (TL)</x:v>
      </x:c>
      <x:c r="Z6" s="12" t="str">
        <x:v>Kalan alım (TL)</x:v>
      </x:c>
      <x:c r="AA6" s="12" t="str">
        <x:v>Toplam ağırlık</x:v>
      </x:c>
      <x:c r="AB6" s="12" t="str">
        <x:v>Ağırlıklı gerçek</x:v>
      </x:c>
      <x:c r="AC6" s="12" t="str">
        <x:v>Ağırlıklı plan</x:v>
      </x:c>
      <x:c r="AD6" s="12" t="str">
        <x:v>Tahmini bitiş</x:v>
      </x:c>
      <x:c r="AE6" s="12" t="str">
        <x:v>Plan bitiş</x:v>
      </x:c>
    </x:row>
    <x:row r="7" ht="28" customHeight="1">
      <x:c r="A7" s="2" t="str">
        <x:f>IF('Projeler'!A7="","",'Projeler'!A7)</x:f>
        <x:v>PRJ-001</x:v>
      </x:c>
      <x:c r="B7" s="2" t="str">
        <x:f>IF(A7="","",'Projeler'!B7)</x:f>
        <x:v>Üretim Hattı Modernizasyonu</x:v>
      </x:c>
      <x:c r="C7" s="2" t="str">
        <x:f>IF(A7="","",'Projeler'!C7)</x:f>
        <x:v>Ayşe Yılmaz</x:v>
      </x:c>
      <x:c r="D7" s="16" t="n">
        <x:f>IF(A7="","",IF(OR(AA7=0,COUNTIFS('Gorevler'!$B$7:$B$206,A7,'Gorevler'!$O$7:$O$206,"Eksik ilerleme")&gt;0),"Eksik görev",AB7/AA7))</x:f>
        <x:v>0.505</x:v>
      </x:c>
      <x:c r="E7" s="16" t="n">
        <x:f>IF(A7="","",IF(OR(AA7=0,COUNTIFS('Gorevler'!$B$7:$B$206,A7,'Gorevler'!$P$7:$P$206,"Eksik plan")&gt;0),"Eksik plan",AC7/AA7))</x:f>
        <x:v>0.5762360446570972</x:v>
      </x:c>
      <x:c r="F7" s="18" t="n">
        <x:f>IF(A7="","",IF(AND(ISNUMBER(D7),ISNUMBER(E7)),100*(D7-E7),"Eksik ilerleme"))</x:f>
        <x:v>-7.123604465709721</x:v>
      </x:c>
      <x:c r="G7" s="14" t="n">
        <x:f>IF(A7="","",IF(NOT(ISNUMBER('Projeler'!F7)),"Eksik bütçe",'Projeler'!F7))</x:f>
        <x:v>2200000</x:v>
      </x:c>
      <x:c r="H7" s="14" t="n">
        <x:f>IF(A7="","",IF(AND(ISNUMBER(W7),ISNUMBER(X7)),W7+X7,"Eksik maliyet"))</x:f>
        <x:v>926400</x:v>
      </x:c>
      <x:c r="I7" s="14" t="n">
        <x:f>IF(A7="","",IF(AND(ISNUMBER(H7),ISNUMBER(Y7),ISNUMBER(Z7)),SUM(H7,Y7,Z7),"Eksik tahmin"))</x:f>
        <x:v>1993400</x:v>
      </x:c>
      <x:c r="J7" s="14" t="n">
        <x:f>IF(A7="","",IF(AND(ISNUMBER(G7),ISNUMBER(I7)),G7-I7,"Eksik bütçe"))</x:f>
        <x:v>206600</x:v>
      </x:c>
      <x:c r="K7" s="2" t="n">
        <x:f>IF(A7="","",IF(AND(ISNUMBER(AD7),ISNUMBER(AE7)),MAX(0,AD7-AE7),"Eksik bitiş"))</x:f>
        <x:v>7</x:v>
      </x:c>
      <x:c r="L7" s="2" t="n">
        <x:f>IF(A7="","",SUMIFS('Efor'!$F$7:$F$606,'Efor'!$B$7:$B$606,A7,'Efor'!$A$7:$A$606,"&lt;="&amp;'Panel'!$N$5))</x:f>
        <x:v>648</x:v>
      </x:c>
      <x:c r="M7" s="2" t="n">
        <x:f>IF(A7="","",SUMIFS('Efor'!$I$7:$I$606,'Efor'!$B$7:$B$606,A7))</x:f>
        <x:v>5</x:v>
      </x:c>
      <x:c r="N7" s="2" t="n">
        <x:f>IF(A7="","",SUMIFS('Efor'!$F$7:$F$606,'Efor'!$B$7:$B$606,A7,'Efor'!$A$7:$A$606,"&gt;="&amp;('Panel'!$N$5-WEEKDAY('Panel'!$N$5,2)+1),'Efor'!$A$7:$A$606,"&lt;="&amp;'Panel'!$N$5))</x:f>
        <x:v>58</x:v>
      </x:c>
      <x:c r="O7" s="2" t="n">
        <x:f>IF(A7="","",SUMIFS('Efor'!$J$7:$J$606,'Efor'!$B$7:$B$606,A7))</x:f>
        <x:v>5</x:v>
      </x:c>
      <x:c r="P7" s="2" t="n">
        <x:f>IF(A7="","",IF(COUNTIFS('Riskler'!$B$7:$B$126,A7,'Riskler'!$F$7:$F$126,"Eksik puan",'Riskler'!$K$7:$K$126,"&lt;&gt;Kapalı")&gt;0,"Eksik risk",COUNTIFS('Riskler'!$B$7:$B$126,A7,'Riskler'!$F$7:$F$126,"&gt;=10",'Riskler'!$K$7:$K$126,"&lt;&gt;Kapalı",'Riskler'!$L$7:$L$126,"&lt;="&amp;'Panel'!$N$5)))</x:f>
        <x:v>2</x:v>
      </x:c>
      <x:c r="Q7" s="2" t="n">
        <x:f>IF(A7="","",COUNTIFS('Riskler'!$B$7:$B$126,A7,'Riskler'!$A$7:$A$126,"&lt;&gt;",'Riskler'!$K$7:$K$126,"&lt;&gt;Kapalı",'Riskler'!$L$7:$L$126,"&lt;="&amp;'Panel'!$N$5))</x:f>
        <x:v>3</x:v>
      </x:c>
      <x:c r="R7" s="2" t="n">
        <x:f>IF(A7="","",COUNTIFS('Aksiyonlar'!$B$7:$B$206,A7,'Aksiyonlar'!$A$7:$A$206,"&lt;&gt;",'Aksiyonlar'!$G$7:$G$206,"&lt;&gt;Tamamlandı",'Aksiyonlar'!$F$7:$F$206,"&lt;"&amp;'Panel'!$N$5,'Aksiyonlar'!$F$7:$F$206,"&gt;0",'Aksiyonlar'!$E$7:$E$206,"&lt;="&amp;'Panel'!$N$5))</x:f>
        <x:v>1</x:v>
      </x:c>
      <x:c r="S7" s="2" t="n">
        <x:f>IF(A7="","",COUNTIFS('Aksiyonlar'!$B$7:$B$206,A7,'Aksiyonlar'!$A$7:$A$206,"&lt;&gt;",'Aksiyonlar'!$G$7:$G$206,"&lt;&gt;Tamamlandı",'Aksiyonlar'!$E$7:$E$206,"&lt;="&amp;'Panel'!$N$5))</x:f>
        <x:v>2</x:v>
      </x:c>
      <x:c r="T7" s="2" t="n">
        <x:f>IF(A7="","",COUNTIFS('Gorevler'!$B$7:$B$206,A7,'Gorevler'!$A$7:$A$206,"&lt;&gt;",'Gorevler'!$I$7:$I$206,"&lt;1",'Gorevler'!$G$7:$G$206,"&lt;"&amp;'Panel'!$N$5,'Gorevler'!$G$7:$G$206,"&gt;0"))</x:f>
        <x:v>0</x:v>
      </x:c>
      <x:c r="U7" s="2" t="n">
        <x:f>IF(A7="","",COUNTIFS('Gorevler'!$B$7:$B$206,A7,'Gorevler'!$A$7:$A$206,"&lt;&gt;"))</x:f>
        <x:v>7</x:v>
      </x:c>
      <x:c r="V7" s="2" t="str">
        <x:f>IF(A7="","",IF(NOT(ISNUMBER(F7)),"Eksik veri",IF(K7="Eksik bitiş","Eksik bitiş",IF(OR(K7&gt;0,F7&lt;-10),"Gecikiyor",IF(F7&lt;-5,"Dikkat","Planında")))))</x:f>
        <x:v>Gecikiyor</x:v>
      </x:c>
      <x:c r="W7" s="14" t="n">
        <x:f>IF(A7="","",IF(COUNTIFS('Efor'!$B$7:$B$606,A7,'Efor'!$H$7:$H$606,"Eksik efor")&gt;0,"Eksik efor",SUMIFS('Efor'!$H$7:$H$606,'Efor'!$B$7:$B$606,A7,'Efor'!$A$7:$A$606,"&lt;="&amp;'Panel'!$N$5)))</x:f>
        <x:v>526400</x:v>
      </x:c>
      <x:c r="X7" s="14" t="n">
        <x:f>IF(A7="","",IF(COUNTIFS('Maliyetler'!$B$7:$B$206,A7,'Maliyetler'!$I$7:$I$206,"Eksik maliyet",'Maliyetler'!$E$7:$E$206,"Gerçekleşen")&gt;0,"Eksik maliyet",SUMIFS('Maliyetler'!$I$7:$I$206,'Maliyetler'!$B$7:$B$206,A7,'Maliyetler'!$E$7:$E$206,"Gerçekleşen",'Maliyetler'!$F$7:$F$206,"&lt;="&amp;'Panel'!$N$5)))</x:f>
        <x:v>400000</x:v>
      </x:c>
      <x:c r="Y7" s="14" t="n">
        <x:f>IF(A7="","",'Projeler'!I7)</x:f>
        <x:v>527000</x:v>
      </x:c>
      <x:c r="Z7" s="14" t="n">
        <x:f>IF(A7="","",IF(COUNTIFS('Maliyetler'!$B$7:$B$206,A7,'Maliyetler'!$I$7:$I$206,"Eksik maliyet",'Maliyetler'!$E$7:$E$206,"Kalan tahmin")&gt;0,"Eksik tahmin",SUMIFS('Maliyetler'!$I$7:$I$206,'Maliyetler'!$B$7:$B$206,A7,'Maliyetler'!$E$7:$E$206,"Kalan tahmin")))</x:f>
        <x:v>540000</x:v>
      </x:c>
      <x:c r="AA7" s="2" t="n">
        <x:f>IF(A7="","",SUMIFS('Gorevler'!$H$7:$H$206,'Gorevler'!$B$7:$B$206,A7))</x:f>
        <x:v>100</x:v>
      </x:c>
      <x:c r="AB7" s="2" t="n">
        <x:f>IF(A7="","",SUMIFS('Gorevler'!$O$7:$O$206,'Gorevler'!$B$7:$B$206,A7))</x:f>
        <x:v>50.5</x:v>
      </x:c>
      <x:c r="AC7" s="2" t="n">
        <x:f>IF(A7="","",SUMIFS('Gorevler'!$P$7:$P$206,'Gorevler'!$B$7:$B$206,A7))</x:f>
        <x:v>57.623604465709725</x:v>
      </x:c>
      <x:c r="AD7" s="5" t="n">
        <x:f>IF(A7="","",IF(OR(U7=0,COUNTIFS('Gorevler'!$B$7:$B$206,A7,'Gorevler'!$Q$7:$Q$206,"Eksik bitiş")&gt;0),"Eksik bitiş",_xlfn.MAXIFS('Gorevler'!$J$7:$J$206,'Gorevler'!$B$7:$B$206,A7)))</x:f>
        <x:v>46367</x:v>
      </x:c>
      <x:c r="AE7" s="5" t="n">
        <x:f>IF(A7="","",IF('Projeler'!E7="","Eksik bitiş",'Projeler'!E7))</x:f>
        <x:v>46360</x:v>
      </x:c>
    </x:row>
    <x:row r="8" ht="28" customHeight="1">
      <x:c r="A8" s="2" t="str">
        <x:f>IF('Projeler'!A8="","",'Projeler'!A8)</x:f>
        <x:v>PRJ-002</x:v>
      </x:c>
      <x:c r="B8" s="2" t="str">
        <x:f>IF(A8="","",'Projeler'!B8)</x:f>
        <x:v>Müşteri Portalı</x:v>
      </x:c>
      <x:c r="C8" s="2" t="str">
        <x:f>IF(A8="","",'Projeler'!C8)</x:f>
        <x:v>Mehmet Demir</x:v>
      </x:c>
      <x:c r="D8" s="16" t="n">
        <x:f>IF(A8="","",IF(OR(AA8=0,COUNTIFS('Gorevler'!$B$7:$B$206,A8,'Gorevler'!$O$7:$O$206,"Eksik ilerleme")&gt;0),"Eksik görev",AB8/AA8))</x:f>
        <x:v>0.475</x:v>
      </x:c>
      <x:c r="E8" s="16" t="n">
        <x:f>IF(A8="","",IF(OR(AA8=0,COUNTIFS('Gorevler'!$B$7:$B$206,A8,'Gorevler'!$P$7:$P$206,"Eksik plan")&gt;0),"Eksik plan",AC8/AA8))</x:f>
        <x:v>0.44807692307692304</x:v>
      </x:c>
      <x:c r="F8" s="18" t="n">
        <x:f>IF(A8="","",IF(AND(ISNUMBER(D8),ISNUMBER(E8)),100*(D8-E8),"Eksik ilerleme"))</x:f>
        <x:v>2.692307692307694</x:v>
      </x:c>
      <x:c r="G8" s="14" t="n">
        <x:f>IF(A8="","",IF(NOT(ISNUMBER('Projeler'!F8)),"Eksik bütçe",'Projeler'!F8))</x:f>
        <x:v>950000</x:v>
      </x:c>
      <x:c r="H8" s="14" t="n">
        <x:f>IF(A8="","",IF(AND(ISNUMBER(W8),ISNUMBER(X8)),W8+X8,"Eksik maliyet"))</x:f>
        <x:v>609550</x:v>
      </x:c>
      <x:c r="I8" s="14" t="n">
        <x:f>IF(A8="","",IF(AND(ISNUMBER(H8),ISNUMBER(Y8),ISNUMBER(Z8)),SUM(H8,Y8,Z8),"Eksik tahmin"))</x:f>
        <x:v>1070550</x:v>
      </x:c>
      <x:c r="J8" s="14" t="n">
        <x:f>IF(A8="","",IF(AND(ISNUMBER(G8),ISNUMBER(I8)),G8-I8,"Eksik bütçe"))</x:f>
        <x:v>-120550</x:v>
      </x:c>
      <x:c r="K8" s="2" t="n">
        <x:f>IF(A8="","",IF(AND(ISNUMBER(AD8),ISNUMBER(AE8)),MAX(0,AD8-AE8),"Eksik bitiş"))</x:f>
        <x:v>0</x:v>
      </x:c>
      <x:c r="L8" s="2" t="n">
        <x:f>IF(A8="","",SUMIFS('Efor'!$F$7:$F$606,'Efor'!$B$7:$B$606,A8,'Efor'!$A$7:$A$606,"&lt;="&amp;'Panel'!$N$5))</x:f>
        <x:v>536</x:v>
      </x:c>
      <x:c r="M8" s="2" t="n">
        <x:f>IF(A8="","",SUMIFS('Efor'!$I$7:$I$606,'Efor'!$B$7:$B$606,A8))</x:f>
        <x:v>4</x:v>
      </x:c>
      <x:c r="N8" s="2" t="n">
        <x:f>IF(A8="","",SUMIFS('Efor'!$F$7:$F$606,'Efor'!$B$7:$B$606,A8,'Efor'!$A$7:$A$606,"&gt;="&amp;('Panel'!$N$5-WEEKDAY('Panel'!$N$5,2)+1),'Efor'!$A$7:$A$606,"&lt;="&amp;'Panel'!$N$5))</x:f>
        <x:v>46</x:v>
      </x:c>
      <x:c r="O8" s="2" t="n">
        <x:f>IF(A8="","",SUMIFS('Efor'!$J$7:$J$606,'Efor'!$B$7:$B$606,A8))</x:f>
        <x:v>4</x:v>
      </x:c>
      <x:c r="P8" s="2" t="n">
        <x:f>IF(A8="","",IF(COUNTIFS('Riskler'!$B$7:$B$126,A8,'Riskler'!$F$7:$F$126,"Eksik puan",'Riskler'!$K$7:$K$126,"&lt;&gt;Kapalı")&gt;0,"Eksik risk",COUNTIFS('Riskler'!$B$7:$B$126,A8,'Riskler'!$F$7:$F$126,"&gt;=10",'Riskler'!$K$7:$K$126,"&lt;&gt;Kapalı",'Riskler'!$L$7:$L$126,"&lt;="&amp;'Panel'!$N$5)))</x:f>
        <x:v>0</x:v>
      </x:c>
      <x:c r="Q8" s="2" t="n">
        <x:f>IF(A8="","",COUNTIFS('Riskler'!$B$7:$B$126,A8,'Riskler'!$A$7:$A$126,"&lt;&gt;",'Riskler'!$K$7:$K$126,"&lt;&gt;Kapalı",'Riskler'!$L$7:$L$126,"&lt;="&amp;'Panel'!$N$5))</x:f>
        <x:v>1</x:v>
      </x:c>
      <x:c r="R8" s="2" t="n">
        <x:f>IF(A8="","",COUNTIFS('Aksiyonlar'!$B$7:$B$206,A8,'Aksiyonlar'!$A$7:$A$206,"&lt;&gt;",'Aksiyonlar'!$G$7:$G$206,"&lt;&gt;Tamamlandı",'Aksiyonlar'!$F$7:$F$206,"&lt;"&amp;'Panel'!$N$5,'Aksiyonlar'!$F$7:$F$206,"&gt;0",'Aksiyonlar'!$E$7:$E$206,"&lt;="&amp;'Panel'!$N$5))</x:f>
        <x:v>0</x:v>
      </x:c>
      <x:c r="S8" s="2" t="n">
        <x:f>IF(A8="","",COUNTIFS('Aksiyonlar'!$B$7:$B$206,A8,'Aksiyonlar'!$A$7:$A$206,"&lt;&gt;",'Aksiyonlar'!$G$7:$G$206,"&lt;&gt;Tamamlandı",'Aksiyonlar'!$E$7:$E$206,"&lt;="&amp;'Panel'!$N$5))</x:f>
        <x:v>1</x:v>
      </x:c>
      <x:c r="T8" s="2" t="n">
        <x:f>IF(A8="","",COUNTIFS('Gorevler'!$B$7:$B$206,A8,'Gorevler'!$A$7:$A$206,"&lt;&gt;",'Gorevler'!$I$7:$I$206,"&lt;1",'Gorevler'!$G$7:$G$206,"&lt;"&amp;'Panel'!$N$5,'Gorevler'!$G$7:$G$206,"&gt;0"))</x:f>
        <x:v>0</x:v>
      </x:c>
      <x:c r="U8" s="2" t="n">
        <x:f>IF(A8="","",COUNTIFS('Gorevler'!$B$7:$B$206,A8,'Gorevler'!$A$7:$A$206,"&lt;&gt;"))</x:f>
        <x:v>6</x:v>
      </x:c>
      <x:c r="V8" s="2" t="str">
        <x:f>IF(A8="","",IF(NOT(ISNUMBER(F8)),"Eksik veri",IF(K8="Eksik bitiş","Eksik bitiş",IF(OR(K8&gt;0,F8&lt;-10),"Gecikiyor",IF(F8&lt;-5,"Dikkat","Planında")))))</x:f>
        <x:v>Planında</x:v>
      </x:c>
      <x:c r="W8" s="14" t="n">
        <x:f>IF(A8="","",IF(COUNTIFS('Efor'!$B$7:$B$606,A8,'Efor'!$H$7:$H$606,"Eksik efor")&gt;0,"Eksik efor",SUMIFS('Efor'!$H$7:$H$606,'Efor'!$B$7:$B$606,A8,'Efor'!$A$7:$A$606,"&lt;="&amp;'Panel'!$N$5)))</x:f>
        <x:v>484550</x:v>
      </x:c>
      <x:c r="X8" s="14" t="n">
        <x:f>IF(A8="","",IF(COUNTIFS('Maliyetler'!$B$7:$B$206,A8,'Maliyetler'!$I$7:$I$206,"Eksik maliyet",'Maliyetler'!$E$7:$E$206,"Gerçekleşen")&gt;0,"Eksik maliyet",SUMIFS('Maliyetler'!$I$7:$I$206,'Maliyetler'!$B$7:$B$206,A8,'Maliyetler'!$E$7:$E$206,"Gerçekleşen",'Maliyetler'!$F$7:$F$206,"&lt;="&amp;'Panel'!$N$5)))</x:f>
        <x:v>125000</x:v>
      </x:c>
      <x:c r="Y8" s="14" t="n">
        <x:f>IF(A8="","",'Projeler'!I8)</x:f>
        <x:v>396000</x:v>
      </x:c>
      <x:c r="Z8" s="14" t="n">
        <x:f>IF(A8="","",IF(COUNTIFS('Maliyetler'!$B$7:$B$206,A8,'Maliyetler'!$I$7:$I$206,"Eksik maliyet",'Maliyetler'!$E$7:$E$206,"Kalan tahmin")&gt;0,"Eksik tahmin",SUMIFS('Maliyetler'!$I$7:$I$206,'Maliyetler'!$B$7:$B$206,A8,'Maliyetler'!$E$7:$E$206,"Kalan tahmin")))</x:f>
        <x:v>65000</x:v>
      </x:c>
      <x:c r="AA8" s="2" t="n">
        <x:f>IF(A8="","",SUMIFS('Gorevler'!$H$7:$H$206,'Gorevler'!$B$7:$B$206,A8))</x:f>
        <x:v>100</x:v>
      </x:c>
      <x:c r="AB8" s="2" t="n">
        <x:f>IF(A8="","",SUMIFS('Gorevler'!$O$7:$O$206,'Gorevler'!$B$7:$B$206,A8))</x:f>
        <x:v>47.5</x:v>
      </x:c>
      <x:c r="AC8" s="2" t="n">
        <x:f>IF(A8="","",SUMIFS('Gorevler'!$P$7:$P$206,'Gorevler'!$B$7:$B$206,A8))</x:f>
        <x:v>44.80769230769231</x:v>
      </x:c>
      <x:c r="AD8" s="5" t="n">
        <x:f>IF(A8="","",IF(OR(U8=0,COUNTIFS('Gorevler'!$B$7:$B$206,A8,'Gorevler'!$Q$7:$Q$206,"Eksik bitiş")&gt;0),"Eksik bitiş",_xlfn.MAXIFS('Gorevler'!$J$7:$J$206,'Gorevler'!$B$7:$B$206,A8)))</x:f>
        <x:v>46353</x:v>
      </x:c>
      <x:c r="AE8" s="5" t="n">
        <x:f>IF(A8="","",IF('Projeler'!E8="","Eksik bitiş",'Projeler'!E8))</x:f>
        <x:v>46353</x:v>
      </x:c>
    </x:row>
    <x:row r="9" ht="28" customHeight="1">
      <x:c r="A9" s="2" t="str">
        <x:f>IF('Projeler'!A9="","",'Projeler'!A9)</x:f>
        <x:v>PRJ-003</x:v>
      </x:c>
      <x:c r="B9" s="2" t="str">
        <x:f>IF(A9="","",'Projeler'!B9)</x:f>
        <x:v>Depo Otomasyonu</x:v>
      </x:c>
      <x:c r="C9" s="2" t="str">
        <x:f>IF(A9="","",'Projeler'!C9)</x:f>
        <x:v>Selin Kaya</x:v>
      </x:c>
      <x:c r="D9" s="16" t="n">
        <x:f>IF(A9="","",IF(OR(AA9=0,COUNTIFS('Gorevler'!$B$7:$B$206,A9,'Gorevler'!$O$7:$O$206,"Eksik ilerleme")&gt;0),"Eksik görev",AB9/AA9))</x:f>
        <x:v>0.52</x:v>
      </x:c>
      <x:c r="E9" s="16" t="n">
        <x:f>IF(A9="","",IF(OR(AA9=0,COUNTIFS('Gorevler'!$B$7:$B$206,A9,'Gorevler'!$P$7:$P$206,"Eksik plan")&gt;0),"Eksik plan",AC9/AA9))</x:f>
        <x:v>0.6384615384615384</x:v>
      </x:c>
      <x:c r="F9" s="18" t="n">
        <x:f>IF(A9="","",IF(AND(ISNUMBER(D9),ISNUMBER(E9)),100*(D9-E9),"Eksik ilerleme"))</x:f>
        <x:v>-11.84615384615384</x:v>
      </x:c>
      <x:c r="G9" s="14" t="n">
        <x:f>IF(A9="","",IF(NOT(ISNUMBER('Projeler'!F9)),"Eksik bütçe",'Projeler'!F9))</x:f>
        <x:v>1450000</x:v>
      </x:c>
      <x:c r="H9" s="14" t="n">
        <x:f>IF(A9="","",IF(AND(ISNUMBER(W9),ISNUMBER(X9)),W9+X9,"Eksik maliyet"))</x:f>
        <x:v>939800</x:v>
      </x:c>
      <x:c r="I9" s="14" t="n">
        <x:f>IF(A9="","",IF(AND(ISNUMBER(H9),ISNUMBER(Y9),ISNUMBER(Z9)),SUM(H9,Y9,Z9),"Eksik tahmin"))</x:f>
        <x:v>1412800</x:v>
      </x:c>
      <x:c r="J9" s="14" t="n">
        <x:f>IF(A9="","",IF(AND(ISNUMBER(G9),ISNUMBER(I9)),G9-I9,"Eksik bütçe"))</x:f>
        <x:v>37200</x:v>
      </x:c>
      <x:c r="K9" s="2" t="n">
        <x:f>IF(A9="","",IF(AND(ISNUMBER(AD9),ISNUMBER(AE9)),MAX(0,AD9-AE9),"Eksik bitiş"))</x:f>
        <x:v>14</x:v>
      </x:c>
      <x:c r="L9" s="2" t="n">
        <x:f>IF(A9="","",SUMIFS('Efor'!$F$7:$F$606,'Efor'!$B$7:$B$606,A9,'Efor'!$A$7:$A$606,"&lt;="&amp;'Panel'!$N$5))</x:f>
        <x:v>811</x:v>
      </x:c>
      <x:c r="M9" s="2" t="n">
        <x:f>IF(A9="","",SUMIFS('Efor'!$I$7:$I$606,'Efor'!$B$7:$B$606,A9))</x:f>
        <x:v>6</x:v>
      </x:c>
      <x:c r="N9" s="2" t="n">
        <x:f>IF(A9="","",SUMIFS('Efor'!$F$7:$F$606,'Efor'!$B$7:$B$606,A9,'Efor'!$A$7:$A$606,"&gt;="&amp;('Panel'!$N$5-WEEKDAY('Panel'!$N$5,2)+1),'Efor'!$A$7:$A$606,"&lt;="&amp;'Panel'!$N$5))</x:f>
        <x:v>76</x:v>
      </x:c>
      <x:c r="O9" s="2" t="n">
        <x:f>IF(A9="","",SUMIFS('Efor'!$J$7:$J$606,'Efor'!$B$7:$B$606,A9))</x:f>
        <x:v>6</x:v>
      </x:c>
      <x:c r="P9" s="2" t="n">
        <x:f>IF(A9="","",IF(COUNTIFS('Riskler'!$B$7:$B$126,A9,'Riskler'!$F$7:$F$126,"Eksik puan",'Riskler'!$K$7:$K$126,"&lt;&gt;Kapalı")&gt;0,"Eksik risk",COUNTIFS('Riskler'!$B$7:$B$126,A9,'Riskler'!$F$7:$F$126,"&gt;=10",'Riskler'!$K$7:$K$126,"&lt;&gt;Kapalı",'Riskler'!$L$7:$L$126,"&lt;="&amp;'Panel'!$N$5)))</x:f>
        <x:v>2</x:v>
      </x:c>
      <x:c r="Q9" s="2" t="n">
        <x:f>IF(A9="","",COUNTIFS('Riskler'!$B$7:$B$126,A9,'Riskler'!$A$7:$A$126,"&lt;&gt;",'Riskler'!$K$7:$K$126,"&lt;&gt;Kapalı",'Riskler'!$L$7:$L$126,"&lt;="&amp;'Panel'!$N$5))</x:f>
        <x:v>2</x:v>
      </x:c>
      <x:c r="R9" s="2" t="n">
        <x:f>IF(A9="","",COUNTIFS('Aksiyonlar'!$B$7:$B$206,A9,'Aksiyonlar'!$A$7:$A$206,"&lt;&gt;",'Aksiyonlar'!$G$7:$G$206,"&lt;&gt;Tamamlandı",'Aksiyonlar'!$F$7:$F$206,"&lt;"&amp;'Panel'!$N$5,'Aksiyonlar'!$F$7:$F$206,"&gt;0",'Aksiyonlar'!$E$7:$E$206,"&lt;="&amp;'Panel'!$N$5))</x:f>
        <x:v>1</x:v>
      </x:c>
      <x:c r="S9" s="2" t="n">
        <x:f>IF(A9="","",COUNTIFS('Aksiyonlar'!$B$7:$B$206,A9,'Aksiyonlar'!$A$7:$A$206,"&lt;&gt;",'Aksiyonlar'!$G$7:$G$206,"&lt;&gt;Tamamlandı",'Aksiyonlar'!$E$7:$E$206,"&lt;="&amp;'Panel'!$N$5))</x:f>
        <x:v>2</x:v>
      </x:c>
      <x:c r="T9" s="2" t="n">
        <x:f>IF(A9="","",COUNTIFS('Gorevler'!$B$7:$B$206,A9,'Gorevler'!$A$7:$A$206,"&lt;&gt;",'Gorevler'!$I$7:$I$206,"&lt;1",'Gorevler'!$G$7:$G$206,"&lt;"&amp;'Panel'!$N$5,'Gorevler'!$G$7:$G$206,"&gt;0"))</x:f>
        <x:v>1</x:v>
      </x:c>
      <x:c r="U9" s="2" t="n">
        <x:f>IF(A9="","",COUNTIFS('Gorevler'!$B$7:$B$206,A9,'Gorevler'!$A$7:$A$206,"&lt;&gt;"))</x:f>
        <x:v>6</x:v>
      </x:c>
      <x:c r="V9" s="2" t="str">
        <x:f>IF(A9="","",IF(NOT(ISNUMBER(F9)),"Eksik veri",IF(K9="Eksik bitiş","Eksik bitiş",IF(OR(K9&gt;0,F9&lt;-10),"Gecikiyor",IF(F9&lt;-5,"Dikkat","Planında")))))</x:f>
        <x:v>Gecikiyor</x:v>
      </x:c>
      <x:c r="W9" s="14" t="n">
        <x:f>IF(A9="","",IF(COUNTIFS('Efor'!$B$7:$B$606,A9,'Efor'!$H$7:$H$606,"Eksik efor")&gt;0,"Eksik efor",SUMIFS('Efor'!$H$7:$H$606,'Efor'!$B$7:$B$606,A9,'Efor'!$A$7:$A$606,"&lt;="&amp;'Panel'!$N$5)))</x:f>
        <x:v>679800</x:v>
      </x:c>
      <x:c r="X9" s="14" t="n">
        <x:f>IF(A9="","",IF(COUNTIFS('Maliyetler'!$B$7:$B$206,A9,'Maliyetler'!$I$7:$I$206,"Eksik maliyet",'Maliyetler'!$E$7:$E$206,"Gerçekleşen")&gt;0,"Eksik maliyet",SUMIFS('Maliyetler'!$I$7:$I$206,'Maliyetler'!$B$7:$B$206,A9,'Maliyetler'!$E$7:$E$206,"Gerçekleşen",'Maliyetler'!$F$7:$F$206,"&lt;="&amp;'Panel'!$N$5)))</x:f>
        <x:v>260000</x:v>
      </x:c>
      <x:c r="Y9" s="14" t="n">
        <x:f>IF(A9="","",'Projeler'!I9)</x:f>
        <x:v>288000</x:v>
      </x:c>
      <x:c r="Z9" s="14" t="n">
        <x:f>IF(A9="","",IF(COUNTIFS('Maliyetler'!$B$7:$B$206,A9,'Maliyetler'!$I$7:$I$206,"Eksik maliyet",'Maliyetler'!$E$7:$E$206,"Kalan tahmin")&gt;0,"Eksik tahmin",SUMIFS('Maliyetler'!$I$7:$I$206,'Maliyetler'!$B$7:$B$206,A9,'Maliyetler'!$E$7:$E$206,"Kalan tahmin")))</x:f>
        <x:v>185000</x:v>
      </x:c>
      <x:c r="AA9" s="2" t="n">
        <x:f>IF(A9="","",SUMIFS('Gorevler'!$H$7:$H$206,'Gorevler'!$B$7:$B$206,A9))</x:f>
        <x:v>100</x:v>
      </x:c>
      <x:c r="AB9" s="2" t="n">
        <x:f>IF(A9="","",SUMIFS('Gorevler'!$O$7:$O$206,'Gorevler'!$B$7:$B$206,A9))</x:f>
        <x:v>52</x:v>
      </x:c>
      <x:c r="AC9" s="2" t="n">
        <x:f>IF(A9="","",SUMIFS('Gorevler'!$P$7:$P$206,'Gorevler'!$B$7:$B$206,A9))</x:f>
        <x:v>63.84615384615385</x:v>
      </x:c>
      <x:c r="AD9" s="5" t="n">
        <x:f>IF(A9="","",IF(OR(U9=0,COUNTIFS('Gorevler'!$B$7:$B$206,A9,'Gorevler'!$Q$7:$Q$206,"Eksik bitiş")&gt;0),"Eksik bitiş",_xlfn.MAXIFS('Gorevler'!$J$7:$J$206,'Gorevler'!$B$7:$B$206,A9)))</x:f>
        <x:v>46360</x:v>
      </x:c>
      <x:c r="AE9" s="5" t="n">
        <x:f>IF(A9="","",IF('Projeler'!E9="","Eksik bitiş",'Projeler'!E9))</x:f>
        <x:v>46346</x:v>
      </x:c>
    </x:row>
    <x:row r="10" ht="28" customHeight="1">
      <x:c r="A10" s="2" t="str">
        <x:f>IF('Projeler'!A10="","",'Projeler'!A10)</x:f>
      </x:c>
      <x:c r="B10" s="2" t="str">
        <x:f>IF(A10="","",'Projeler'!B10)</x:f>
      </x:c>
      <x:c r="C10" s="2" t="str">
        <x:f>IF(A10="","",'Projeler'!C10)</x:f>
      </x:c>
      <x:c r="D10" s="16" t="str">
        <x:f>IF(A10="","",IF(OR(AA10=0,COUNTIFS('Gorevler'!$B$7:$B$206,A10,'Gorevler'!$O$7:$O$206,"Eksik ilerleme")&gt;0),"Eksik görev",AB10/AA10))</x:f>
      </x:c>
      <x:c r="E10" s="16" t="str">
        <x:f>IF(A10="","",IF(OR(AA10=0,COUNTIFS('Gorevler'!$B$7:$B$206,A10,'Gorevler'!$P$7:$P$206,"Eksik plan")&gt;0),"Eksik plan",AC10/AA10))</x:f>
      </x:c>
      <x:c r="F10" s="18" t="str">
        <x:f>IF(A10="","",IF(AND(ISNUMBER(D10),ISNUMBER(E10)),100*(D10-E10),"Eksik ilerleme"))</x:f>
      </x:c>
      <x:c r="G10" s="14" t="str">
        <x:f>IF(A10="","",IF(NOT(ISNUMBER('Projeler'!F10)),"Eksik bütçe",'Projeler'!F10))</x:f>
      </x:c>
      <x:c r="H10" s="14" t="str">
        <x:f>IF(A10="","",IF(AND(ISNUMBER(W10),ISNUMBER(X10)),W10+X10,"Eksik maliyet"))</x:f>
      </x:c>
      <x:c r="I10" s="14" t="str">
        <x:f>IF(A10="","",IF(AND(ISNUMBER(H10),ISNUMBER(Y10),ISNUMBER(Z10)),SUM(H10,Y10,Z10),"Eksik tahmin"))</x:f>
      </x:c>
      <x:c r="J10" s="14" t="str">
        <x:f>IF(A10="","",IF(AND(ISNUMBER(G10),ISNUMBER(I10)),G10-I10,"Eksik bütçe"))</x:f>
      </x:c>
      <x:c r="K10" s="2" t="str">
        <x:f>IF(A10="","",IF(AND(ISNUMBER(AD10),ISNUMBER(AE10)),MAX(0,AD10-AE10),"Eksik bitiş"))</x:f>
      </x:c>
      <x:c r="L10" s="2" t="str">
        <x:f>IF(A10="","",SUMIFS('Efor'!$F$7:$F$606,'Efor'!$B$7:$B$606,A10,'Efor'!$A$7:$A$606,"&lt;="&amp;'Panel'!$N$5))</x:f>
      </x:c>
      <x:c r="M10" s="2" t="str">
        <x:f>IF(A10="","",SUMIFS('Efor'!$I$7:$I$606,'Efor'!$B$7:$B$606,A10))</x:f>
      </x:c>
      <x:c r="N10" s="2" t="str">
        <x:f>IF(A10="","",SUMIFS('Efor'!$F$7:$F$606,'Efor'!$B$7:$B$606,A10,'Efor'!$A$7:$A$606,"&gt;="&amp;('Panel'!$N$5-WEEKDAY('Panel'!$N$5,2)+1),'Efor'!$A$7:$A$606,"&lt;="&amp;'Panel'!$N$5))</x:f>
      </x:c>
      <x:c r="O10" s="2" t="str">
        <x:f>IF(A10="","",SUMIFS('Efor'!$J$7:$J$606,'Efor'!$B$7:$B$606,A10))</x:f>
      </x:c>
      <x:c r="P10" s="2" t="str">
        <x:f>IF(A10="","",IF(COUNTIFS('Riskler'!$B$7:$B$126,A10,'Riskler'!$F$7:$F$126,"Eksik puan",'Riskler'!$K$7:$K$126,"&lt;&gt;Kapalı")&gt;0,"Eksik risk",COUNTIFS('Riskler'!$B$7:$B$126,A10,'Riskler'!$F$7:$F$126,"&gt;=10",'Riskler'!$K$7:$K$126,"&lt;&gt;Kapalı",'Riskler'!$L$7:$L$126,"&lt;="&amp;'Panel'!$N$5)))</x:f>
      </x:c>
      <x:c r="Q10" s="2" t="str">
        <x:f>IF(A10="","",COUNTIFS('Riskler'!$B$7:$B$126,A10,'Riskler'!$A$7:$A$126,"&lt;&gt;",'Riskler'!$K$7:$K$126,"&lt;&gt;Kapalı",'Riskler'!$L$7:$L$126,"&lt;="&amp;'Panel'!$N$5))</x:f>
      </x:c>
      <x:c r="R10" s="2" t="str">
        <x:f>IF(A10="","",COUNTIFS('Aksiyonlar'!$B$7:$B$206,A10,'Aksiyonlar'!$A$7:$A$206,"&lt;&gt;",'Aksiyonlar'!$G$7:$G$206,"&lt;&gt;Tamamlandı",'Aksiyonlar'!$F$7:$F$206,"&lt;"&amp;'Panel'!$N$5,'Aksiyonlar'!$F$7:$F$206,"&gt;0",'Aksiyonlar'!$E$7:$E$206,"&lt;="&amp;'Panel'!$N$5))</x:f>
      </x:c>
      <x:c r="S10" s="2" t="str">
        <x:f>IF(A10="","",COUNTIFS('Aksiyonlar'!$B$7:$B$206,A10,'Aksiyonlar'!$A$7:$A$206,"&lt;&gt;",'Aksiyonlar'!$G$7:$G$206,"&lt;&gt;Tamamlandı",'Aksiyonlar'!$E$7:$E$206,"&lt;="&amp;'Panel'!$N$5))</x:f>
      </x:c>
      <x:c r="T10" s="2" t="str">
        <x:f>IF(A10="","",COUNTIFS('Gorevler'!$B$7:$B$206,A10,'Gorevler'!$A$7:$A$206,"&lt;&gt;",'Gorevler'!$I$7:$I$206,"&lt;1",'Gorevler'!$G$7:$G$206,"&lt;"&amp;'Panel'!$N$5,'Gorevler'!$G$7:$G$206,"&gt;0"))</x:f>
      </x:c>
      <x:c r="U10" s="2" t="str">
        <x:f>IF(A10="","",COUNTIFS('Gorevler'!$B$7:$B$206,A10,'Gorevler'!$A$7:$A$206,"&lt;&gt;"))</x:f>
      </x:c>
      <x:c r="V10" s="2" t="str">
        <x:f>IF(A10="","",IF(NOT(ISNUMBER(F10)),"Eksik veri",IF(K10="Eksik bitiş","Eksik bitiş",IF(OR(K10&gt;0,F10&lt;-10),"Gecikiyor",IF(F10&lt;-5,"Dikkat","Planında")))))</x:f>
      </x:c>
      <x:c r="W10" s="14" t="str">
        <x:f>IF(A10="","",IF(COUNTIFS('Efor'!$B$7:$B$606,A10,'Efor'!$H$7:$H$606,"Eksik efor")&gt;0,"Eksik efor",SUMIFS('Efor'!$H$7:$H$606,'Efor'!$B$7:$B$606,A10,'Efor'!$A$7:$A$606,"&lt;="&amp;'Panel'!$N$5)))</x:f>
      </x:c>
      <x:c r="X10" s="14" t="str">
        <x:f>IF(A10="","",IF(COUNTIFS('Maliyetler'!$B$7:$B$206,A10,'Maliyetler'!$I$7:$I$206,"Eksik maliyet",'Maliyetler'!$E$7:$E$206,"Gerçekleşen")&gt;0,"Eksik maliyet",SUMIFS('Maliyetler'!$I$7:$I$206,'Maliyetler'!$B$7:$B$206,A10,'Maliyetler'!$E$7:$E$206,"Gerçekleşen",'Maliyetler'!$F$7:$F$206,"&lt;="&amp;'Panel'!$N$5)))</x:f>
      </x:c>
      <x:c r="Y10" s="14" t="str">
        <x:f>IF(A10="","",'Projeler'!I10)</x:f>
      </x:c>
      <x:c r="Z10" s="14" t="str">
        <x:f>IF(A10="","",IF(COUNTIFS('Maliyetler'!$B$7:$B$206,A10,'Maliyetler'!$I$7:$I$206,"Eksik maliyet",'Maliyetler'!$E$7:$E$206,"Kalan tahmin")&gt;0,"Eksik tahmin",SUMIFS('Maliyetler'!$I$7:$I$206,'Maliyetler'!$B$7:$B$206,A10,'Maliyetler'!$E$7:$E$206,"Kalan tahmin")))</x:f>
      </x:c>
      <x:c r="AA10" s="2" t="str">
        <x:f>IF(A10="","",SUMIFS('Gorevler'!$H$7:$H$206,'Gorevler'!$B$7:$B$206,A10))</x:f>
      </x:c>
      <x:c r="AB10" s="2" t="str">
        <x:f>IF(A10="","",SUMIFS('Gorevler'!$O$7:$O$206,'Gorevler'!$B$7:$B$206,A10))</x:f>
      </x:c>
      <x:c r="AC10" s="2" t="str">
        <x:f>IF(A10="","",SUMIFS('Gorevler'!$P$7:$P$206,'Gorevler'!$B$7:$B$206,A10))</x:f>
      </x:c>
      <x:c r="AD10" s="5" t="str">
        <x:f>IF(A10="","",IF(OR(U10=0,COUNTIFS('Gorevler'!$B$7:$B$206,A10,'Gorevler'!$Q$7:$Q$206,"Eksik bitiş")&gt;0),"Eksik bitiş",_xlfn.MAXIFS('Gorevler'!$J$7:$J$206,'Gorevler'!$B$7:$B$206,A10)))</x:f>
      </x:c>
      <x:c r="AE10" s="5" t="str">
        <x:f>IF(A10="","",IF('Projeler'!E10="","Eksik bitiş",'Projeler'!E10))</x:f>
      </x:c>
    </x:row>
    <x:row r="11" ht="28" customHeight="1">
      <x:c r="A11" s="2" t="str">
        <x:f>IF('Projeler'!A11="","",'Projeler'!A11)</x:f>
      </x:c>
      <x:c r="B11" s="2" t="str">
        <x:f>IF(A11="","",'Projeler'!B11)</x:f>
      </x:c>
      <x:c r="C11" s="2" t="str">
        <x:f>IF(A11="","",'Projeler'!C11)</x:f>
      </x:c>
      <x:c r="D11" s="16" t="str">
        <x:f>IF(A11="","",IF(OR(AA11=0,COUNTIFS('Gorevler'!$B$7:$B$206,A11,'Gorevler'!$O$7:$O$206,"Eksik ilerleme")&gt;0),"Eksik görev",AB11/AA11))</x:f>
      </x:c>
      <x:c r="E11" s="16" t="str">
        <x:f>IF(A11="","",IF(OR(AA11=0,COUNTIFS('Gorevler'!$B$7:$B$206,A11,'Gorevler'!$P$7:$P$206,"Eksik plan")&gt;0),"Eksik plan",AC11/AA11))</x:f>
      </x:c>
      <x:c r="F11" s="18" t="str">
        <x:f>IF(A11="","",IF(AND(ISNUMBER(D11),ISNUMBER(E11)),100*(D11-E11),"Eksik ilerleme"))</x:f>
      </x:c>
      <x:c r="G11" s="14" t="str">
        <x:f>IF(A11="","",IF(NOT(ISNUMBER('Projeler'!F11)),"Eksik bütçe",'Projeler'!F11))</x:f>
      </x:c>
      <x:c r="H11" s="14" t="str">
        <x:f>IF(A11="","",IF(AND(ISNUMBER(W11),ISNUMBER(X11)),W11+X11,"Eksik maliyet"))</x:f>
      </x:c>
      <x:c r="I11" s="14" t="str">
        <x:f>IF(A11="","",IF(AND(ISNUMBER(H11),ISNUMBER(Y11),ISNUMBER(Z11)),SUM(H11,Y11,Z11),"Eksik tahmin"))</x:f>
      </x:c>
      <x:c r="J11" s="14" t="str">
        <x:f>IF(A11="","",IF(AND(ISNUMBER(G11),ISNUMBER(I11)),G11-I11,"Eksik bütçe"))</x:f>
      </x:c>
      <x:c r="K11" s="2" t="str">
        <x:f>IF(A11="","",IF(AND(ISNUMBER(AD11),ISNUMBER(AE11)),MAX(0,AD11-AE11),"Eksik bitiş"))</x:f>
      </x:c>
      <x:c r="L11" s="2" t="str">
        <x:f>IF(A11="","",SUMIFS('Efor'!$F$7:$F$606,'Efor'!$B$7:$B$606,A11,'Efor'!$A$7:$A$606,"&lt;="&amp;'Panel'!$N$5))</x:f>
      </x:c>
      <x:c r="M11" s="2" t="str">
        <x:f>IF(A11="","",SUMIFS('Efor'!$I$7:$I$606,'Efor'!$B$7:$B$606,A11))</x:f>
      </x:c>
      <x:c r="N11" s="2" t="str">
        <x:f>IF(A11="","",SUMIFS('Efor'!$F$7:$F$606,'Efor'!$B$7:$B$606,A11,'Efor'!$A$7:$A$606,"&gt;="&amp;('Panel'!$N$5-WEEKDAY('Panel'!$N$5,2)+1),'Efor'!$A$7:$A$606,"&lt;="&amp;'Panel'!$N$5))</x:f>
      </x:c>
      <x:c r="O11" s="2" t="str">
        <x:f>IF(A11="","",SUMIFS('Efor'!$J$7:$J$606,'Efor'!$B$7:$B$606,A11))</x:f>
      </x:c>
      <x:c r="P11" s="2" t="str">
        <x:f>IF(A11="","",IF(COUNTIFS('Riskler'!$B$7:$B$126,A11,'Riskler'!$F$7:$F$126,"Eksik puan",'Riskler'!$K$7:$K$126,"&lt;&gt;Kapalı")&gt;0,"Eksik risk",COUNTIFS('Riskler'!$B$7:$B$126,A11,'Riskler'!$F$7:$F$126,"&gt;=10",'Riskler'!$K$7:$K$126,"&lt;&gt;Kapalı",'Riskler'!$L$7:$L$126,"&lt;="&amp;'Panel'!$N$5)))</x:f>
      </x:c>
      <x:c r="Q11" s="2" t="str">
        <x:f>IF(A11="","",COUNTIFS('Riskler'!$B$7:$B$126,A11,'Riskler'!$A$7:$A$126,"&lt;&gt;",'Riskler'!$K$7:$K$126,"&lt;&gt;Kapalı",'Riskler'!$L$7:$L$126,"&lt;="&amp;'Panel'!$N$5))</x:f>
      </x:c>
      <x:c r="R11" s="2" t="str">
        <x:f>IF(A11="","",COUNTIFS('Aksiyonlar'!$B$7:$B$206,A11,'Aksiyonlar'!$A$7:$A$206,"&lt;&gt;",'Aksiyonlar'!$G$7:$G$206,"&lt;&gt;Tamamlandı",'Aksiyonlar'!$F$7:$F$206,"&lt;"&amp;'Panel'!$N$5,'Aksiyonlar'!$F$7:$F$206,"&gt;0",'Aksiyonlar'!$E$7:$E$206,"&lt;="&amp;'Panel'!$N$5))</x:f>
      </x:c>
      <x:c r="S11" s="2" t="str">
        <x:f>IF(A11="","",COUNTIFS('Aksiyonlar'!$B$7:$B$206,A11,'Aksiyonlar'!$A$7:$A$206,"&lt;&gt;",'Aksiyonlar'!$G$7:$G$206,"&lt;&gt;Tamamlandı",'Aksiyonlar'!$E$7:$E$206,"&lt;="&amp;'Panel'!$N$5))</x:f>
      </x:c>
      <x:c r="T11" s="2" t="str">
        <x:f>IF(A11="","",COUNTIFS('Gorevler'!$B$7:$B$206,A11,'Gorevler'!$A$7:$A$206,"&lt;&gt;",'Gorevler'!$I$7:$I$206,"&lt;1",'Gorevler'!$G$7:$G$206,"&lt;"&amp;'Panel'!$N$5,'Gorevler'!$G$7:$G$206,"&gt;0"))</x:f>
      </x:c>
      <x:c r="U11" s="2" t="str">
        <x:f>IF(A11="","",COUNTIFS('Gorevler'!$B$7:$B$206,A11,'Gorevler'!$A$7:$A$206,"&lt;&gt;"))</x:f>
      </x:c>
      <x:c r="V11" s="2" t="str">
        <x:f>IF(A11="","",IF(NOT(ISNUMBER(F11)),"Eksik veri",IF(K11="Eksik bitiş","Eksik bitiş",IF(OR(K11&gt;0,F11&lt;-10),"Gecikiyor",IF(F11&lt;-5,"Dikkat","Planında")))))</x:f>
      </x:c>
      <x:c r="W11" s="14" t="str">
        <x:f>IF(A11="","",IF(COUNTIFS('Efor'!$B$7:$B$606,A11,'Efor'!$H$7:$H$606,"Eksik efor")&gt;0,"Eksik efor",SUMIFS('Efor'!$H$7:$H$606,'Efor'!$B$7:$B$606,A11,'Efor'!$A$7:$A$606,"&lt;="&amp;'Panel'!$N$5)))</x:f>
      </x:c>
      <x:c r="X11" s="14" t="str">
        <x:f>IF(A11="","",IF(COUNTIFS('Maliyetler'!$B$7:$B$206,A11,'Maliyetler'!$I$7:$I$206,"Eksik maliyet",'Maliyetler'!$E$7:$E$206,"Gerçekleşen")&gt;0,"Eksik maliyet",SUMIFS('Maliyetler'!$I$7:$I$206,'Maliyetler'!$B$7:$B$206,A11,'Maliyetler'!$E$7:$E$206,"Gerçekleşen",'Maliyetler'!$F$7:$F$206,"&lt;="&amp;'Panel'!$N$5)))</x:f>
      </x:c>
      <x:c r="Y11" s="14" t="str">
        <x:f>IF(A11="","",'Projeler'!I11)</x:f>
      </x:c>
      <x:c r="Z11" s="14" t="str">
        <x:f>IF(A11="","",IF(COUNTIFS('Maliyetler'!$B$7:$B$206,A11,'Maliyetler'!$I$7:$I$206,"Eksik maliyet",'Maliyetler'!$E$7:$E$206,"Kalan tahmin")&gt;0,"Eksik tahmin",SUMIFS('Maliyetler'!$I$7:$I$206,'Maliyetler'!$B$7:$B$206,A11,'Maliyetler'!$E$7:$E$206,"Kalan tahmin")))</x:f>
      </x:c>
      <x:c r="AA11" s="2" t="str">
        <x:f>IF(A11="","",SUMIFS('Gorevler'!$H$7:$H$206,'Gorevler'!$B$7:$B$206,A11))</x:f>
      </x:c>
      <x:c r="AB11" s="2" t="str">
        <x:f>IF(A11="","",SUMIFS('Gorevler'!$O$7:$O$206,'Gorevler'!$B$7:$B$206,A11))</x:f>
      </x:c>
      <x:c r="AC11" s="2" t="str">
        <x:f>IF(A11="","",SUMIFS('Gorevler'!$P$7:$P$206,'Gorevler'!$B$7:$B$206,A11))</x:f>
      </x:c>
      <x:c r="AD11" s="5" t="str">
        <x:f>IF(A11="","",IF(OR(U11=0,COUNTIFS('Gorevler'!$B$7:$B$206,A11,'Gorevler'!$Q$7:$Q$206,"Eksik bitiş")&gt;0),"Eksik bitiş",_xlfn.MAXIFS('Gorevler'!$J$7:$J$206,'Gorevler'!$B$7:$B$206,A11)))</x:f>
      </x:c>
      <x:c r="AE11" s="5" t="str">
        <x:f>IF(A11="","",IF('Projeler'!E11="","Eksik bitiş",'Projeler'!E11))</x:f>
      </x:c>
    </x:row>
    <x:row r="12" ht="28" customHeight="1">
      <x:c r="A12" s="2" t="str">
        <x:f>IF('Projeler'!A12="","",'Projeler'!A12)</x:f>
      </x:c>
      <x:c r="B12" s="2" t="str">
        <x:f>IF(A12="","",'Projeler'!B12)</x:f>
      </x:c>
      <x:c r="C12" s="2" t="str">
        <x:f>IF(A12="","",'Projeler'!C12)</x:f>
      </x:c>
      <x:c r="D12" s="16" t="str">
        <x:f>IF(A12="","",IF(OR(AA12=0,COUNTIFS('Gorevler'!$B$7:$B$206,A12,'Gorevler'!$O$7:$O$206,"Eksik ilerleme")&gt;0),"Eksik görev",AB12/AA12))</x:f>
      </x:c>
      <x:c r="E12" s="16" t="str">
        <x:f>IF(A12="","",IF(OR(AA12=0,COUNTIFS('Gorevler'!$B$7:$B$206,A12,'Gorevler'!$P$7:$P$206,"Eksik plan")&gt;0),"Eksik plan",AC12/AA12))</x:f>
      </x:c>
      <x:c r="F12" s="18" t="str">
        <x:f>IF(A12="","",IF(AND(ISNUMBER(D12),ISNUMBER(E12)),100*(D12-E12),"Eksik ilerleme"))</x:f>
      </x:c>
      <x:c r="G12" s="14" t="str">
        <x:f>IF(A12="","",IF(NOT(ISNUMBER('Projeler'!F12)),"Eksik bütçe",'Projeler'!F12))</x:f>
      </x:c>
      <x:c r="H12" s="14" t="str">
        <x:f>IF(A12="","",IF(AND(ISNUMBER(W12),ISNUMBER(X12)),W12+X12,"Eksik maliyet"))</x:f>
      </x:c>
      <x:c r="I12" s="14" t="str">
        <x:f>IF(A12="","",IF(AND(ISNUMBER(H12),ISNUMBER(Y12),ISNUMBER(Z12)),SUM(H12,Y12,Z12),"Eksik tahmin"))</x:f>
      </x:c>
      <x:c r="J12" s="14" t="str">
        <x:f>IF(A12="","",IF(AND(ISNUMBER(G12),ISNUMBER(I12)),G12-I12,"Eksik bütçe"))</x:f>
      </x:c>
      <x:c r="K12" s="2" t="str">
        <x:f>IF(A12="","",IF(AND(ISNUMBER(AD12),ISNUMBER(AE12)),MAX(0,AD12-AE12),"Eksik bitiş"))</x:f>
      </x:c>
      <x:c r="L12" s="2" t="str">
        <x:f>IF(A12="","",SUMIFS('Efor'!$F$7:$F$606,'Efor'!$B$7:$B$606,A12,'Efor'!$A$7:$A$606,"&lt;="&amp;'Panel'!$N$5))</x:f>
      </x:c>
      <x:c r="M12" s="2" t="str">
        <x:f>IF(A12="","",SUMIFS('Efor'!$I$7:$I$606,'Efor'!$B$7:$B$606,A12))</x:f>
      </x:c>
      <x:c r="N12" s="2" t="str">
        <x:f>IF(A12="","",SUMIFS('Efor'!$F$7:$F$606,'Efor'!$B$7:$B$606,A12,'Efor'!$A$7:$A$606,"&gt;="&amp;('Panel'!$N$5-WEEKDAY('Panel'!$N$5,2)+1),'Efor'!$A$7:$A$606,"&lt;="&amp;'Panel'!$N$5))</x:f>
      </x:c>
      <x:c r="O12" s="2" t="str">
        <x:f>IF(A12="","",SUMIFS('Efor'!$J$7:$J$606,'Efor'!$B$7:$B$606,A12))</x:f>
      </x:c>
      <x:c r="P12" s="2" t="str">
        <x:f>IF(A12="","",IF(COUNTIFS('Riskler'!$B$7:$B$126,A12,'Riskler'!$F$7:$F$126,"Eksik puan",'Riskler'!$K$7:$K$126,"&lt;&gt;Kapalı")&gt;0,"Eksik risk",COUNTIFS('Riskler'!$B$7:$B$126,A12,'Riskler'!$F$7:$F$126,"&gt;=10",'Riskler'!$K$7:$K$126,"&lt;&gt;Kapalı",'Riskler'!$L$7:$L$126,"&lt;="&amp;'Panel'!$N$5)))</x:f>
      </x:c>
      <x:c r="Q12" s="2" t="str">
        <x:f>IF(A12="","",COUNTIFS('Riskler'!$B$7:$B$126,A12,'Riskler'!$A$7:$A$126,"&lt;&gt;",'Riskler'!$K$7:$K$126,"&lt;&gt;Kapalı",'Riskler'!$L$7:$L$126,"&lt;="&amp;'Panel'!$N$5))</x:f>
      </x:c>
      <x:c r="R12" s="2" t="str">
        <x:f>IF(A12="","",COUNTIFS('Aksiyonlar'!$B$7:$B$206,A12,'Aksiyonlar'!$A$7:$A$206,"&lt;&gt;",'Aksiyonlar'!$G$7:$G$206,"&lt;&gt;Tamamlandı",'Aksiyonlar'!$F$7:$F$206,"&lt;"&amp;'Panel'!$N$5,'Aksiyonlar'!$F$7:$F$206,"&gt;0",'Aksiyonlar'!$E$7:$E$206,"&lt;="&amp;'Panel'!$N$5))</x:f>
      </x:c>
      <x:c r="S12" s="2" t="str">
        <x:f>IF(A12="","",COUNTIFS('Aksiyonlar'!$B$7:$B$206,A12,'Aksiyonlar'!$A$7:$A$206,"&lt;&gt;",'Aksiyonlar'!$G$7:$G$206,"&lt;&gt;Tamamlandı",'Aksiyonlar'!$E$7:$E$206,"&lt;="&amp;'Panel'!$N$5))</x:f>
      </x:c>
      <x:c r="T12" s="2" t="str">
        <x:f>IF(A12="","",COUNTIFS('Gorevler'!$B$7:$B$206,A12,'Gorevler'!$A$7:$A$206,"&lt;&gt;",'Gorevler'!$I$7:$I$206,"&lt;1",'Gorevler'!$G$7:$G$206,"&lt;"&amp;'Panel'!$N$5,'Gorevler'!$G$7:$G$206,"&gt;0"))</x:f>
      </x:c>
      <x:c r="U12" s="2" t="str">
        <x:f>IF(A12="","",COUNTIFS('Gorevler'!$B$7:$B$206,A12,'Gorevler'!$A$7:$A$206,"&lt;&gt;"))</x:f>
      </x:c>
      <x:c r="V12" s="2" t="str">
        <x:f>IF(A12="","",IF(NOT(ISNUMBER(F12)),"Eksik veri",IF(K12="Eksik bitiş","Eksik bitiş",IF(OR(K12&gt;0,F12&lt;-10),"Gecikiyor",IF(F12&lt;-5,"Dikkat","Planında")))))</x:f>
      </x:c>
      <x:c r="W12" s="14" t="str">
        <x:f>IF(A12="","",IF(COUNTIFS('Efor'!$B$7:$B$606,A12,'Efor'!$H$7:$H$606,"Eksik efor")&gt;0,"Eksik efor",SUMIFS('Efor'!$H$7:$H$606,'Efor'!$B$7:$B$606,A12,'Efor'!$A$7:$A$606,"&lt;="&amp;'Panel'!$N$5)))</x:f>
      </x:c>
      <x:c r="X12" s="14" t="str">
        <x:f>IF(A12="","",IF(COUNTIFS('Maliyetler'!$B$7:$B$206,A12,'Maliyetler'!$I$7:$I$206,"Eksik maliyet",'Maliyetler'!$E$7:$E$206,"Gerçekleşen")&gt;0,"Eksik maliyet",SUMIFS('Maliyetler'!$I$7:$I$206,'Maliyetler'!$B$7:$B$206,A12,'Maliyetler'!$E$7:$E$206,"Gerçekleşen",'Maliyetler'!$F$7:$F$206,"&lt;="&amp;'Panel'!$N$5)))</x:f>
      </x:c>
      <x:c r="Y12" s="14" t="str">
        <x:f>IF(A12="","",'Projeler'!I12)</x:f>
      </x:c>
      <x:c r="Z12" s="14" t="str">
        <x:f>IF(A12="","",IF(COUNTIFS('Maliyetler'!$B$7:$B$206,A12,'Maliyetler'!$I$7:$I$206,"Eksik maliyet",'Maliyetler'!$E$7:$E$206,"Kalan tahmin")&gt;0,"Eksik tahmin",SUMIFS('Maliyetler'!$I$7:$I$206,'Maliyetler'!$B$7:$B$206,A12,'Maliyetler'!$E$7:$E$206,"Kalan tahmin")))</x:f>
      </x:c>
      <x:c r="AA12" s="2" t="str">
        <x:f>IF(A12="","",SUMIFS('Gorevler'!$H$7:$H$206,'Gorevler'!$B$7:$B$206,A12))</x:f>
      </x:c>
      <x:c r="AB12" s="2" t="str">
        <x:f>IF(A12="","",SUMIFS('Gorevler'!$O$7:$O$206,'Gorevler'!$B$7:$B$206,A12))</x:f>
      </x:c>
      <x:c r="AC12" s="2" t="str">
        <x:f>IF(A12="","",SUMIFS('Gorevler'!$P$7:$P$206,'Gorevler'!$B$7:$B$206,A12))</x:f>
      </x:c>
      <x:c r="AD12" s="5" t="str">
        <x:f>IF(A12="","",IF(OR(U12=0,COUNTIFS('Gorevler'!$B$7:$B$206,A12,'Gorevler'!$Q$7:$Q$206,"Eksik bitiş")&gt;0),"Eksik bitiş",_xlfn.MAXIFS('Gorevler'!$J$7:$J$206,'Gorevler'!$B$7:$B$206,A12)))</x:f>
      </x:c>
      <x:c r="AE12" s="5" t="str">
        <x:f>IF(A12="","",IF('Projeler'!E12="","Eksik bitiş",'Projeler'!E12))</x:f>
      </x:c>
    </x:row>
    <x:row r="13" ht="28" customHeight="1">
      <x:c r="A13" s="2" t="str">
        <x:f>IF('Projeler'!A13="","",'Projeler'!A13)</x:f>
      </x:c>
      <x:c r="B13" s="2" t="str">
        <x:f>IF(A13="","",'Projeler'!B13)</x:f>
      </x:c>
      <x:c r="C13" s="2" t="str">
        <x:f>IF(A13="","",'Projeler'!C13)</x:f>
      </x:c>
      <x:c r="D13" s="16" t="str">
        <x:f>IF(A13="","",IF(OR(AA13=0,COUNTIFS('Gorevler'!$B$7:$B$206,A13,'Gorevler'!$O$7:$O$206,"Eksik ilerleme")&gt;0),"Eksik görev",AB13/AA13))</x:f>
      </x:c>
      <x:c r="E13" s="16" t="str">
        <x:f>IF(A13="","",IF(OR(AA13=0,COUNTIFS('Gorevler'!$B$7:$B$206,A13,'Gorevler'!$P$7:$P$206,"Eksik plan")&gt;0),"Eksik plan",AC13/AA13))</x:f>
      </x:c>
      <x:c r="F13" s="18" t="str">
        <x:f>IF(A13="","",IF(AND(ISNUMBER(D13),ISNUMBER(E13)),100*(D13-E13),"Eksik ilerleme"))</x:f>
      </x:c>
      <x:c r="G13" s="14" t="str">
        <x:f>IF(A13="","",IF(NOT(ISNUMBER('Projeler'!F13)),"Eksik bütçe",'Projeler'!F13))</x:f>
      </x:c>
      <x:c r="H13" s="14" t="str">
        <x:f>IF(A13="","",IF(AND(ISNUMBER(W13),ISNUMBER(X13)),W13+X13,"Eksik maliyet"))</x:f>
      </x:c>
      <x:c r="I13" s="14" t="str">
        <x:f>IF(A13="","",IF(AND(ISNUMBER(H13),ISNUMBER(Y13),ISNUMBER(Z13)),SUM(H13,Y13,Z13),"Eksik tahmin"))</x:f>
      </x:c>
      <x:c r="J13" s="14" t="str">
        <x:f>IF(A13="","",IF(AND(ISNUMBER(G13),ISNUMBER(I13)),G13-I13,"Eksik bütçe"))</x:f>
      </x:c>
      <x:c r="K13" s="2" t="str">
        <x:f>IF(A13="","",IF(AND(ISNUMBER(AD13),ISNUMBER(AE13)),MAX(0,AD13-AE13),"Eksik bitiş"))</x:f>
      </x:c>
      <x:c r="L13" s="2" t="str">
        <x:f>IF(A13="","",SUMIFS('Efor'!$F$7:$F$606,'Efor'!$B$7:$B$606,A13,'Efor'!$A$7:$A$606,"&lt;="&amp;'Panel'!$N$5))</x:f>
      </x:c>
      <x:c r="M13" s="2" t="str">
        <x:f>IF(A13="","",SUMIFS('Efor'!$I$7:$I$606,'Efor'!$B$7:$B$606,A13))</x:f>
      </x:c>
      <x:c r="N13" s="2" t="str">
        <x:f>IF(A13="","",SUMIFS('Efor'!$F$7:$F$606,'Efor'!$B$7:$B$606,A13,'Efor'!$A$7:$A$606,"&gt;="&amp;('Panel'!$N$5-WEEKDAY('Panel'!$N$5,2)+1),'Efor'!$A$7:$A$606,"&lt;="&amp;'Panel'!$N$5))</x:f>
      </x:c>
      <x:c r="O13" s="2" t="str">
        <x:f>IF(A13="","",SUMIFS('Efor'!$J$7:$J$606,'Efor'!$B$7:$B$606,A13))</x:f>
      </x:c>
      <x:c r="P13" s="2" t="str">
        <x:f>IF(A13="","",IF(COUNTIFS('Riskler'!$B$7:$B$126,A13,'Riskler'!$F$7:$F$126,"Eksik puan",'Riskler'!$K$7:$K$126,"&lt;&gt;Kapalı")&gt;0,"Eksik risk",COUNTIFS('Riskler'!$B$7:$B$126,A13,'Riskler'!$F$7:$F$126,"&gt;=10",'Riskler'!$K$7:$K$126,"&lt;&gt;Kapalı",'Riskler'!$L$7:$L$126,"&lt;="&amp;'Panel'!$N$5)))</x:f>
      </x:c>
      <x:c r="Q13" s="2" t="str">
        <x:f>IF(A13="","",COUNTIFS('Riskler'!$B$7:$B$126,A13,'Riskler'!$A$7:$A$126,"&lt;&gt;",'Riskler'!$K$7:$K$126,"&lt;&gt;Kapalı",'Riskler'!$L$7:$L$126,"&lt;="&amp;'Panel'!$N$5))</x:f>
      </x:c>
      <x:c r="R13" s="2" t="str">
        <x:f>IF(A13="","",COUNTIFS('Aksiyonlar'!$B$7:$B$206,A13,'Aksiyonlar'!$A$7:$A$206,"&lt;&gt;",'Aksiyonlar'!$G$7:$G$206,"&lt;&gt;Tamamlandı",'Aksiyonlar'!$F$7:$F$206,"&lt;"&amp;'Panel'!$N$5,'Aksiyonlar'!$F$7:$F$206,"&gt;0",'Aksiyonlar'!$E$7:$E$206,"&lt;="&amp;'Panel'!$N$5))</x:f>
      </x:c>
      <x:c r="S13" s="2" t="str">
        <x:f>IF(A13="","",COUNTIFS('Aksiyonlar'!$B$7:$B$206,A13,'Aksiyonlar'!$A$7:$A$206,"&lt;&gt;",'Aksiyonlar'!$G$7:$G$206,"&lt;&gt;Tamamlandı",'Aksiyonlar'!$E$7:$E$206,"&lt;="&amp;'Panel'!$N$5))</x:f>
      </x:c>
      <x:c r="T13" s="2" t="str">
        <x:f>IF(A13="","",COUNTIFS('Gorevler'!$B$7:$B$206,A13,'Gorevler'!$A$7:$A$206,"&lt;&gt;",'Gorevler'!$I$7:$I$206,"&lt;1",'Gorevler'!$G$7:$G$206,"&lt;"&amp;'Panel'!$N$5,'Gorevler'!$G$7:$G$206,"&gt;0"))</x:f>
      </x:c>
      <x:c r="U13" s="2" t="str">
        <x:f>IF(A13="","",COUNTIFS('Gorevler'!$B$7:$B$206,A13,'Gorevler'!$A$7:$A$206,"&lt;&gt;"))</x:f>
      </x:c>
      <x:c r="V13" s="2" t="str">
        <x:f>IF(A13="","",IF(NOT(ISNUMBER(F13)),"Eksik veri",IF(K13="Eksik bitiş","Eksik bitiş",IF(OR(K13&gt;0,F13&lt;-10),"Gecikiyor",IF(F13&lt;-5,"Dikkat","Planında")))))</x:f>
      </x:c>
      <x:c r="W13" s="14" t="str">
        <x:f>IF(A13="","",IF(COUNTIFS('Efor'!$B$7:$B$606,A13,'Efor'!$H$7:$H$606,"Eksik efor")&gt;0,"Eksik efor",SUMIFS('Efor'!$H$7:$H$606,'Efor'!$B$7:$B$606,A13,'Efor'!$A$7:$A$606,"&lt;="&amp;'Panel'!$N$5)))</x:f>
      </x:c>
      <x:c r="X13" s="14" t="str">
        <x:f>IF(A13="","",IF(COUNTIFS('Maliyetler'!$B$7:$B$206,A13,'Maliyetler'!$I$7:$I$206,"Eksik maliyet",'Maliyetler'!$E$7:$E$206,"Gerçekleşen")&gt;0,"Eksik maliyet",SUMIFS('Maliyetler'!$I$7:$I$206,'Maliyetler'!$B$7:$B$206,A13,'Maliyetler'!$E$7:$E$206,"Gerçekleşen",'Maliyetler'!$F$7:$F$206,"&lt;="&amp;'Panel'!$N$5)))</x:f>
      </x:c>
      <x:c r="Y13" s="14" t="str">
        <x:f>IF(A13="","",'Projeler'!I13)</x:f>
      </x:c>
      <x:c r="Z13" s="14" t="str">
        <x:f>IF(A13="","",IF(COUNTIFS('Maliyetler'!$B$7:$B$206,A13,'Maliyetler'!$I$7:$I$206,"Eksik maliyet",'Maliyetler'!$E$7:$E$206,"Kalan tahmin")&gt;0,"Eksik tahmin",SUMIFS('Maliyetler'!$I$7:$I$206,'Maliyetler'!$B$7:$B$206,A13,'Maliyetler'!$E$7:$E$206,"Kalan tahmin")))</x:f>
      </x:c>
      <x:c r="AA13" s="2" t="str">
        <x:f>IF(A13="","",SUMIFS('Gorevler'!$H$7:$H$206,'Gorevler'!$B$7:$B$206,A13))</x:f>
      </x:c>
      <x:c r="AB13" s="2" t="str">
        <x:f>IF(A13="","",SUMIFS('Gorevler'!$O$7:$O$206,'Gorevler'!$B$7:$B$206,A13))</x:f>
      </x:c>
      <x:c r="AC13" s="2" t="str">
        <x:f>IF(A13="","",SUMIFS('Gorevler'!$P$7:$P$206,'Gorevler'!$B$7:$B$206,A13))</x:f>
      </x:c>
      <x:c r="AD13" s="5" t="str">
        <x:f>IF(A13="","",IF(OR(U13=0,COUNTIFS('Gorevler'!$B$7:$B$206,A13,'Gorevler'!$Q$7:$Q$206,"Eksik bitiş")&gt;0),"Eksik bitiş",_xlfn.MAXIFS('Gorevler'!$J$7:$J$206,'Gorevler'!$B$7:$B$206,A13)))</x:f>
      </x:c>
      <x:c r="AE13" s="5" t="str">
        <x:f>IF(A13="","",IF('Projeler'!E13="","Eksik bitiş",'Projeler'!E13))</x:f>
      </x:c>
    </x:row>
    <x:row r="14" ht="28" customHeight="1">
      <x:c r="A14" s="2" t="str">
        <x:f>IF('Projeler'!A14="","",'Projeler'!A14)</x:f>
      </x:c>
      <x:c r="B14" s="2" t="str">
        <x:f>IF(A14="","",'Projeler'!B14)</x:f>
      </x:c>
      <x:c r="C14" s="2" t="str">
        <x:f>IF(A14="","",'Projeler'!C14)</x:f>
      </x:c>
      <x:c r="D14" s="16" t="str">
        <x:f>IF(A14="","",IF(OR(AA14=0,COUNTIFS('Gorevler'!$B$7:$B$206,A14,'Gorevler'!$O$7:$O$206,"Eksik ilerleme")&gt;0),"Eksik görev",AB14/AA14))</x:f>
      </x:c>
      <x:c r="E14" s="16" t="str">
        <x:f>IF(A14="","",IF(OR(AA14=0,COUNTIFS('Gorevler'!$B$7:$B$206,A14,'Gorevler'!$P$7:$P$206,"Eksik plan")&gt;0),"Eksik plan",AC14/AA14))</x:f>
      </x:c>
      <x:c r="F14" s="18" t="str">
        <x:f>IF(A14="","",IF(AND(ISNUMBER(D14),ISNUMBER(E14)),100*(D14-E14),"Eksik ilerleme"))</x:f>
      </x:c>
      <x:c r="G14" s="14" t="str">
        <x:f>IF(A14="","",IF(NOT(ISNUMBER('Projeler'!F14)),"Eksik bütçe",'Projeler'!F14))</x:f>
      </x:c>
      <x:c r="H14" s="14" t="str">
        <x:f>IF(A14="","",IF(AND(ISNUMBER(W14),ISNUMBER(X14)),W14+X14,"Eksik maliyet"))</x:f>
      </x:c>
      <x:c r="I14" s="14" t="str">
        <x:f>IF(A14="","",IF(AND(ISNUMBER(H14),ISNUMBER(Y14),ISNUMBER(Z14)),SUM(H14,Y14,Z14),"Eksik tahmin"))</x:f>
      </x:c>
      <x:c r="J14" s="14" t="str">
        <x:f>IF(A14="","",IF(AND(ISNUMBER(G14),ISNUMBER(I14)),G14-I14,"Eksik bütçe"))</x:f>
      </x:c>
      <x:c r="K14" s="2" t="str">
        <x:f>IF(A14="","",IF(AND(ISNUMBER(AD14),ISNUMBER(AE14)),MAX(0,AD14-AE14),"Eksik bitiş"))</x:f>
      </x:c>
      <x:c r="L14" s="2" t="str">
        <x:f>IF(A14="","",SUMIFS('Efor'!$F$7:$F$606,'Efor'!$B$7:$B$606,A14,'Efor'!$A$7:$A$606,"&lt;="&amp;'Panel'!$N$5))</x:f>
      </x:c>
      <x:c r="M14" s="2" t="str">
        <x:f>IF(A14="","",SUMIFS('Efor'!$I$7:$I$606,'Efor'!$B$7:$B$606,A14))</x:f>
      </x:c>
      <x:c r="N14" s="2" t="str">
        <x:f>IF(A14="","",SUMIFS('Efor'!$F$7:$F$606,'Efor'!$B$7:$B$606,A14,'Efor'!$A$7:$A$606,"&gt;="&amp;('Panel'!$N$5-WEEKDAY('Panel'!$N$5,2)+1),'Efor'!$A$7:$A$606,"&lt;="&amp;'Panel'!$N$5))</x:f>
      </x:c>
      <x:c r="O14" s="2" t="str">
        <x:f>IF(A14="","",SUMIFS('Efor'!$J$7:$J$606,'Efor'!$B$7:$B$606,A14))</x:f>
      </x:c>
      <x:c r="P14" s="2" t="str">
        <x:f>IF(A14="","",IF(COUNTIFS('Riskler'!$B$7:$B$126,A14,'Riskler'!$F$7:$F$126,"Eksik puan",'Riskler'!$K$7:$K$126,"&lt;&gt;Kapalı")&gt;0,"Eksik risk",COUNTIFS('Riskler'!$B$7:$B$126,A14,'Riskler'!$F$7:$F$126,"&gt;=10",'Riskler'!$K$7:$K$126,"&lt;&gt;Kapalı",'Riskler'!$L$7:$L$126,"&lt;="&amp;'Panel'!$N$5)))</x:f>
      </x:c>
      <x:c r="Q14" s="2" t="str">
        <x:f>IF(A14="","",COUNTIFS('Riskler'!$B$7:$B$126,A14,'Riskler'!$A$7:$A$126,"&lt;&gt;",'Riskler'!$K$7:$K$126,"&lt;&gt;Kapalı",'Riskler'!$L$7:$L$126,"&lt;="&amp;'Panel'!$N$5))</x:f>
      </x:c>
      <x:c r="R14" s="2" t="str">
        <x:f>IF(A14="","",COUNTIFS('Aksiyonlar'!$B$7:$B$206,A14,'Aksiyonlar'!$A$7:$A$206,"&lt;&gt;",'Aksiyonlar'!$G$7:$G$206,"&lt;&gt;Tamamlandı",'Aksiyonlar'!$F$7:$F$206,"&lt;"&amp;'Panel'!$N$5,'Aksiyonlar'!$F$7:$F$206,"&gt;0",'Aksiyonlar'!$E$7:$E$206,"&lt;="&amp;'Panel'!$N$5))</x:f>
      </x:c>
      <x:c r="S14" s="2" t="str">
        <x:f>IF(A14="","",COUNTIFS('Aksiyonlar'!$B$7:$B$206,A14,'Aksiyonlar'!$A$7:$A$206,"&lt;&gt;",'Aksiyonlar'!$G$7:$G$206,"&lt;&gt;Tamamlandı",'Aksiyonlar'!$E$7:$E$206,"&lt;="&amp;'Panel'!$N$5))</x:f>
      </x:c>
      <x:c r="T14" s="2" t="str">
        <x:f>IF(A14="","",COUNTIFS('Gorevler'!$B$7:$B$206,A14,'Gorevler'!$A$7:$A$206,"&lt;&gt;",'Gorevler'!$I$7:$I$206,"&lt;1",'Gorevler'!$G$7:$G$206,"&lt;"&amp;'Panel'!$N$5,'Gorevler'!$G$7:$G$206,"&gt;0"))</x:f>
      </x:c>
      <x:c r="U14" s="2" t="str">
        <x:f>IF(A14="","",COUNTIFS('Gorevler'!$B$7:$B$206,A14,'Gorevler'!$A$7:$A$206,"&lt;&gt;"))</x:f>
      </x:c>
      <x:c r="V14" s="2" t="str">
        <x:f>IF(A14="","",IF(NOT(ISNUMBER(F14)),"Eksik veri",IF(K14="Eksik bitiş","Eksik bitiş",IF(OR(K14&gt;0,F14&lt;-10),"Gecikiyor",IF(F14&lt;-5,"Dikkat","Planında")))))</x:f>
      </x:c>
      <x:c r="W14" s="14" t="str">
        <x:f>IF(A14="","",IF(COUNTIFS('Efor'!$B$7:$B$606,A14,'Efor'!$H$7:$H$606,"Eksik efor")&gt;0,"Eksik efor",SUMIFS('Efor'!$H$7:$H$606,'Efor'!$B$7:$B$606,A14,'Efor'!$A$7:$A$606,"&lt;="&amp;'Panel'!$N$5)))</x:f>
      </x:c>
      <x:c r="X14" s="14" t="str">
        <x:f>IF(A14="","",IF(COUNTIFS('Maliyetler'!$B$7:$B$206,A14,'Maliyetler'!$I$7:$I$206,"Eksik maliyet",'Maliyetler'!$E$7:$E$206,"Gerçekleşen")&gt;0,"Eksik maliyet",SUMIFS('Maliyetler'!$I$7:$I$206,'Maliyetler'!$B$7:$B$206,A14,'Maliyetler'!$E$7:$E$206,"Gerçekleşen",'Maliyetler'!$F$7:$F$206,"&lt;="&amp;'Panel'!$N$5)))</x:f>
      </x:c>
      <x:c r="Y14" s="14" t="str">
        <x:f>IF(A14="","",'Projeler'!I14)</x:f>
      </x:c>
      <x:c r="Z14" s="14" t="str">
        <x:f>IF(A14="","",IF(COUNTIFS('Maliyetler'!$B$7:$B$206,A14,'Maliyetler'!$I$7:$I$206,"Eksik maliyet",'Maliyetler'!$E$7:$E$206,"Kalan tahmin")&gt;0,"Eksik tahmin",SUMIFS('Maliyetler'!$I$7:$I$206,'Maliyetler'!$B$7:$B$206,A14,'Maliyetler'!$E$7:$E$206,"Kalan tahmin")))</x:f>
      </x:c>
      <x:c r="AA14" s="2" t="str">
        <x:f>IF(A14="","",SUMIFS('Gorevler'!$H$7:$H$206,'Gorevler'!$B$7:$B$206,A14))</x:f>
      </x:c>
      <x:c r="AB14" s="2" t="str">
        <x:f>IF(A14="","",SUMIFS('Gorevler'!$O$7:$O$206,'Gorevler'!$B$7:$B$206,A14))</x:f>
      </x:c>
      <x:c r="AC14" s="2" t="str">
        <x:f>IF(A14="","",SUMIFS('Gorevler'!$P$7:$P$206,'Gorevler'!$B$7:$B$206,A14))</x:f>
      </x:c>
      <x:c r="AD14" s="5" t="str">
        <x:f>IF(A14="","",IF(OR(U14=0,COUNTIFS('Gorevler'!$B$7:$B$206,A14,'Gorevler'!$Q$7:$Q$206,"Eksik bitiş")&gt;0),"Eksik bitiş",_xlfn.MAXIFS('Gorevler'!$J$7:$J$206,'Gorevler'!$B$7:$B$206,A14)))</x:f>
      </x:c>
      <x:c r="AE14" s="5" t="str">
        <x:f>IF(A14="","",IF('Projeler'!E14="","Eksik bitiş",'Projeler'!E14))</x:f>
      </x:c>
    </x:row>
    <x:row r="15" ht="28" customHeight="1">
      <x:c r="A15" s="2" t="str">
        <x:f>IF('Projeler'!A15="","",'Projeler'!A15)</x:f>
      </x:c>
      <x:c r="B15" s="2" t="str">
        <x:f>IF(A15="","",'Projeler'!B15)</x:f>
      </x:c>
      <x:c r="C15" s="2" t="str">
        <x:f>IF(A15="","",'Projeler'!C15)</x:f>
      </x:c>
      <x:c r="D15" s="16" t="str">
        <x:f>IF(A15="","",IF(OR(AA15=0,COUNTIFS('Gorevler'!$B$7:$B$206,A15,'Gorevler'!$O$7:$O$206,"Eksik ilerleme")&gt;0),"Eksik görev",AB15/AA15))</x:f>
      </x:c>
      <x:c r="E15" s="16" t="str">
        <x:f>IF(A15="","",IF(OR(AA15=0,COUNTIFS('Gorevler'!$B$7:$B$206,A15,'Gorevler'!$P$7:$P$206,"Eksik plan")&gt;0),"Eksik plan",AC15/AA15))</x:f>
      </x:c>
      <x:c r="F15" s="18" t="str">
        <x:f>IF(A15="","",IF(AND(ISNUMBER(D15),ISNUMBER(E15)),100*(D15-E15),"Eksik ilerleme"))</x:f>
      </x:c>
      <x:c r="G15" s="14" t="str">
        <x:f>IF(A15="","",IF(NOT(ISNUMBER('Projeler'!F15)),"Eksik bütçe",'Projeler'!F15))</x:f>
      </x:c>
      <x:c r="H15" s="14" t="str">
        <x:f>IF(A15="","",IF(AND(ISNUMBER(W15),ISNUMBER(X15)),W15+X15,"Eksik maliyet"))</x:f>
      </x:c>
      <x:c r="I15" s="14" t="str">
        <x:f>IF(A15="","",IF(AND(ISNUMBER(H15),ISNUMBER(Y15),ISNUMBER(Z15)),SUM(H15,Y15,Z15),"Eksik tahmin"))</x:f>
      </x:c>
      <x:c r="J15" s="14" t="str">
        <x:f>IF(A15="","",IF(AND(ISNUMBER(G15),ISNUMBER(I15)),G15-I15,"Eksik bütçe"))</x:f>
      </x:c>
      <x:c r="K15" s="2" t="str">
        <x:f>IF(A15="","",IF(AND(ISNUMBER(AD15),ISNUMBER(AE15)),MAX(0,AD15-AE15),"Eksik bitiş"))</x:f>
      </x:c>
      <x:c r="L15" s="2" t="str">
        <x:f>IF(A15="","",SUMIFS('Efor'!$F$7:$F$606,'Efor'!$B$7:$B$606,A15,'Efor'!$A$7:$A$606,"&lt;="&amp;'Panel'!$N$5))</x:f>
      </x:c>
      <x:c r="M15" s="2" t="str">
        <x:f>IF(A15="","",SUMIFS('Efor'!$I$7:$I$606,'Efor'!$B$7:$B$606,A15))</x:f>
      </x:c>
      <x:c r="N15" s="2" t="str">
        <x:f>IF(A15="","",SUMIFS('Efor'!$F$7:$F$606,'Efor'!$B$7:$B$606,A15,'Efor'!$A$7:$A$606,"&gt;="&amp;('Panel'!$N$5-WEEKDAY('Panel'!$N$5,2)+1),'Efor'!$A$7:$A$606,"&lt;="&amp;'Panel'!$N$5))</x:f>
      </x:c>
      <x:c r="O15" s="2" t="str">
        <x:f>IF(A15="","",SUMIFS('Efor'!$J$7:$J$606,'Efor'!$B$7:$B$606,A15))</x:f>
      </x:c>
      <x:c r="P15" s="2" t="str">
        <x:f>IF(A15="","",IF(COUNTIFS('Riskler'!$B$7:$B$126,A15,'Riskler'!$F$7:$F$126,"Eksik puan",'Riskler'!$K$7:$K$126,"&lt;&gt;Kapalı")&gt;0,"Eksik risk",COUNTIFS('Riskler'!$B$7:$B$126,A15,'Riskler'!$F$7:$F$126,"&gt;=10",'Riskler'!$K$7:$K$126,"&lt;&gt;Kapalı",'Riskler'!$L$7:$L$126,"&lt;="&amp;'Panel'!$N$5)))</x:f>
      </x:c>
      <x:c r="Q15" s="2" t="str">
        <x:f>IF(A15="","",COUNTIFS('Riskler'!$B$7:$B$126,A15,'Riskler'!$A$7:$A$126,"&lt;&gt;",'Riskler'!$K$7:$K$126,"&lt;&gt;Kapalı",'Riskler'!$L$7:$L$126,"&lt;="&amp;'Panel'!$N$5))</x:f>
      </x:c>
      <x:c r="R15" s="2" t="str">
        <x:f>IF(A15="","",COUNTIFS('Aksiyonlar'!$B$7:$B$206,A15,'Aksiyonlar'!$A$7:$A$206,"&lt;&gt;",'Aksiyonlar'!$G$7:$G$206,"&lt;&gt;Tamamlandı",'Aksiyonlar'!$F$7:$F$206,"&lt;"&amp;'Panel'!$N$5,'Aksiyonlar'!$F$7:$F$206,"&gt;0",'Aksiyonlar'!$E$7:$E$206,"&lt;="&amp;'Panel'!$N$5))</x:f>
      </x:c>
      <x:c r="S15" s="2" t="str">
        <x:f>IF(A15="","",COUNTIFS('Aksiyonlar'!$B$7:$B$206,A15,'Aksiyonlar'!$A$7:$A$206,"&lt;&gt;",'Aksiyonlar'!$G$7:$G$206,"&lt;&gt;Tamamlandı",'Aksiyonlar'!$E$7:$E$206,"&lt;="&amp;'Panel'!$N$5))</x:f>
      </x:c>
      <x:c r="T15" s="2" t="str">
        <x:f>IF(A15="","",COUNTIFS('Gorevler'!$B$7:$B$206,A15,'Gorevler'!$A$7:$A$206,"&lt;&gt;",'Gorevler'!$I$7:$I$206,"&lt;1",'Gorevler'!$G$7:$G$206,"&lt;"&amp;'Panel'!$N$5,'Gorevler'!$G$7:$G$206,"&gt;0"))</x:f>
      </x:c>
      <x:c r="U15" s="2" t="str">
        <x:f>IF(A15="","",COUNTIFS('Gorevler'!$B$7:$B$206,A15,'Gorevler'!$A$7:$A$206,"&lt;&gt;"))</x:f>
      </x:c>
      <x:c r="V15" s="2" t="str">
        <x:f>IF(A15="","",IF(NOT(ISNUMBER(F15)),"Eksik veri",IF(K15="Eksik bitiş","Eksik bitiş",IF(OR(K15&gt;0,F15&lt;-10),"Gecikiyor",IF(F15&lt;-5,"Dikkat","Planında")))))</x:f>
      </x:c>
      <x:c r="W15" s="14" t="str">
        <x:f>IF(A15="","",IF(COUNTIFS('Efor'!$B$7:$B$606,A15,'Efor'!$H$7:$H$606,"Eksik efor")&gt;0,"Eksik efor",SUMIFS('Efor'!$H$7:$H$606,'Efor'!$B$7:$B$606,A15,'Efor'!$A$7:$A$606,"&lt;="&amp;'Panel'!$N$5)))</x:f>
      </x:c>
      <x:c r="X15" s="14" t="str">
        <x:f>IF(A15="","",IF(COUNTIFS('Maliyetler'!$B$7:$B$206,A15,'Maliyetler'!$I$7:$I$206,"Eksik maliyet",'Maliyetler'!$E$7:$E$206,"Gerçekleşen")&gt;0,"Eksik maliyet",SUMIFS('Maliyetler'!$I$7:$I$206,'Maliyetler'!$B$7:$B$206,A15,'Maliyetler'!$E$7:$E$206,"Gerçekleşen",'Maliyetler'!$F$7:$F$206,"&lt;="&amp;'Panel'!$N$5)))</x:f>
      </x:c>
      <x:c r="Y15" s="14" t="str">
        <x:f>IF(A15="","",'Projeler'!I15)</x:f>
      </x:c>
      <x:c r="Z15" s="14" t="str">
        <x:f>IF(A15="","",IF(COUNTIFS('Maliyetler'!$B$7:$B$206,A15,'Maliyetler'!$I$7:$I$206,"Eksik maliyet",'Maliyetler'!$E$7:$E$206,"Kalan tahmin")&gt;0,"Eksik tahmin",SUMIFS('Maliyetler'!$I$7:$I$206,'Maliyetler'!$B$7:$B$206,A15,'Maliyetler'!$E$7:$E$206,"Kalan tahmin")))</x:f>
      </x:c>
      <x:c r="AA15" s="2" t="str">
        <x:f>IF(A15="","",SUMIFS('Gorevler'!$H$7:$H$206,'Gorevler'!$B$7:$B$206,A15))</x:f>
      </x:c>
      <x:c r="AB15" s="2" t="str">
        <x:f>IF(A15="","",SUMIFS('Gorevler'!$O$7:$O$206,'Gorevler'!$B$7:$B$206,A15))</x:f>
      </x:c>
      <x:c r="AC15" s="2" t="str">
        <x:f>IF(A15="","",SUMIFS('Gorevler'!$P$7:$P$206,'Gorevler'!$B$7:$B$206,A15))</x:f>
      </x:c>
      <x:c r="AD15" s="5" t="str">
        <x:f>IF(A15="","",IF(OR(U15=0,COUNTIFS('Gorevler'!$B$7:$B$206,A15,'Gorevler'!$Q$7:$Q$206,"Eksik bitiş")&gt;0),"Eksik bitiş",_xlfn.MAXIFS('Gorevler'!$J$7:$J$206,'Gorevler'!$B$7:$B$206,A15)))</x:f>
      </x:c>
      <x:c r="AE15" s="5" t="str">
        <x:f>IF(A15="","",IF('Projeler'!E15="","Eksik bitiş",'Projeler'!E15))</x:f>
      </x:c>
    </x:row>
    <x:row r="16" ht="28" customHeight="1">
      <x:c r="A16" s="2" t="str">
        <x:f>IF('Projeler'!A16="","",'Projeler'!A16)</x:f>
      </x:c>
      <x:c r="B16" s="2" t="str">
        <x:f>IF(A16="","",'Projeler'!B16)</x:f>
      </x:c>
      <x:c r="C16" s="2" t="str">
        <x:f>IF(A16="","",'Projeler'!C16)</x:f>
      </x:c>
      <x:c r="D16" s="16" t="str">
        <x:f>IF(A16="","",IF(OR(AA16=0,COUNTIFS('Gorevler'!$B$7:$B$206,A16,'Gorevler'!$O$7:$O$206,"Eksik ilerleme")&gt;0),"Eksik görev",AB16/AA16))</x:f>
      </x:c>
      <x:c r="E16" s="16" t="str">
        <x:f>IF(A16="","",IF(OR(AA16=0,COUNTIFS('Gorevler'!$B$7:$B$206,A16,'Gorevler'!$P$7:$P$206,"Eksik plan")&gt;0),"Eksik plan",AC16/AA16))</x:f>
      </x:c>
      <x:c r="F16" s="18" t="str">
        <x:f>IF(A16="","",IF(AND(ISNUMBER(D16),ISNUMBER(E16)),100*(D16-E16),"Eksik ilerleme"))</x:f>
      </x:c>
      <x:c r="G16" s="14" t="str">
        <x:f>IF(A16="","",IF(NOT(ISNUMBER('Projeler'!F16)),"Eksik bütçe",'Projeler'!F16))</x:f>
      </x:c>
      <x:c r="H16" s="14" t="str">
        <x:f>IF(A16="","",IF(AND(ISNUMBER(W16),ISNUMBER(X16)),W16+X16,"Eksik maliyet"))</x:f>
      </x:c>
      <x:c r="I16" s="14" t="str">
        <x:f>IF(A16="","",IF(AND(ISNUMBER(H16),ISNUMBER(Y16),ISNUMBER(Z16)),SUM(H16,Y16,Z16),"Eksik tahmin"))</x:f>
      </x:c>
      <x:c r="J16" s="14" t="str">
        <x:f>IF(A16="","",IF(AND(ISNUMBER(G16),ISNUMBER(I16)),G16-I16,"Eksik bütçe"))</x:f>
      </x:c>
      <x:c r="K16" s="2" t="str">
        <x:f>IF(A16="","",IF(AND(ISNUMBER(AD16),ISNUMBER(AE16)),MAX(0,AD16-AE16),"Eksik bitiş"))</x:f>
      </x:c>
      <x:c r="L16" s="2" t="str">
        <x:f>IF(A16="","",SUMIFS('Efor'!$F$7:$F$606,'Efor'!$B$7:$B$606,A16,'Efor'!$A$7:$A$606,"&lt;="&amp;'Panel'!$N$5))</x:f>
      </x:c>
      <x:c r="M16" s="2" t="str">
        <x:f>IF(A16="","",SUMIFS('Efor'!$I$7:$I$606,'Efor'!$B$7:$B$606,A16))</x:f>
      </x:c>
      <x:c r="N16" s="2" t="str">
        <x:f>IF(A16="","",SUMIFS('Efor'!$F$7:$F$606,'Efor'!$B$7:$B$606,A16,'Efor'!$A$7:$A$606,"&gt;="&amp;('Panel'!$N$5-WEEKDAY('Panel'!$N$5,2)+1),'Efor'!$A$7:$A$606,"&lt;="&amp;'Panel'!$N$5))</x:f>
      </x:c>
      <x:c r="O16" s="2" t="str">
        <x:f>IF(A16="","",SUMIFS('Efor'!$J$7:$J$606,'Efor'!$B$7:$B$606,A16))</x:f>
      </x:c>
      <x:c r="P16" s="2" t="str">
        <x:f>IF(A16="","",IF(COUNTIFS('Riskler'!$B$7:$B$126,A16,'Riskler'!$F$7:$F$126,"Eksik puan",'Riskler'!$K$7:$K$126,"&lt;&gt;Kapalı")&gt;0,"Eksik risk",COUNTIFS('Riskler'!$B$7:$B$126,A16,'Riskler'!$F$7:$F$126,"&gt;=10",'Riskler'!$K$7:$K$126,"&lt;&gt;Kapalı",'Riskler'!$L$7:$L$126,"&lt;="&amp;'Panel'!$N$5)))</x:f>
      </x:c>
      <x:c r="Q16" s="2" t="str">
        <x:f>IF(A16="","",COUNTIFS('Riskler'!$B$7:$B$126,A16,'Riskler'!$A$7:$A$126,"&lt;&gt;",'Riskler'!$K$7:$K$126,"&lt;&gt;Kapalı",'Riskler'!$L$7:$L$126,"&lt;="&amp;'Panel'!$N$5))</x:f>
      </x:c>
      <x:c r="R16" s="2" t="str">
        <x:f>IF(A16="","",COUNTIFS('Aksiyonlar'!$B$7:$B$206,A16,'Aksiyonlar'!$A$7:$A$206,"&lt;&gt;",'Aksiyonlar'!$G$7:$G$206,"&lt;&gt;Tamamlandı",'Aksiyonlar'!$F$7:$F$206,"&lt;"&amp;'Panel'!$N$5,'Aksiyonlar'!$F$7:$F$206,"&gt;0",'Aksiyonlar'!$E$7:$E$206,"&lt;="&amp;'Panel'!$N$5))</x:f>
      </x:c>
      <x:c r="S16" s="2" t="str">
        <x:f>IF(A16="","",COUNTIFS('Aksiyonlar'!$B$7:$B$206,A16,'Aksiyonlar'!$A$7:$A$206,"&lt;&gt;",'Aksiyonlar'!$G$7:$G$206,"&lt;&gt;Tamamlandı",'Aksiyonlar'!$E$7:$E$206,"&lt;="&amp;'Panel'!$N$5))</x:f>
      </x:c>
      <x:c r="T16" s="2" t="str">
        <x:f>IF(A16="","",COUNTIFS('Gorevler'!$B$7:$B$206,A16,'Gorevler'!$A$7:$A$206,"&lt;&gt;",'Gorevler'!$I$7:$I$206,"&lt;1",'Gorevler'!$G$7:$G$206,"&lt;"&amp;'Panel'!$N$5,'Gorevler'!$G$7:$G$206,"&gt;0"))</x:f>
      </x:c>
      <x:c r="U16" s="2" t="str">
        <x:f>IF(A16="","",COUNTIFS('Gorevler'!$B$7:$B$206,A16,'Gorevler'!$A$7:$A$206,"&lt;&gt;"))</x:f>
      </x:c>
      <x:c r="V16" s="2" t="str">
        <x:f>IF(A16="","",IF(NOT(ISNUMBER(F16)),"Eksik veri",IF(K16="Eksik bitiş","Eksik bitiş",IF(OR(K16&gt;0,F16&lt;-10),"Gecikiyor",IF(F16&lt;-5,"Dikkat","Planında")))))</x:f>
      </x:c>
      <x:c r="W16" s="14" t="str">
        <x:f>IF(A16="","",IF(COUNTIFS('Efor'!$B$7:$B$606,A16,'Efor'!$H$7:$H$606,"Eksik efor")&gt;0,"Eksik efor",SUMIFS('Efor'!$H$7:$H$606,'Efor'!$B$7:$B$606,A16,'Efor'!$A$7:$A$606,"&lt;="&amp;'Panel'!$N$5)))</x:f>
      </x:c>
      <x:c r="X16" s="14" t="str">
        <x:f>IF(A16="","",IF(COUNTIFS('Maliyetler'!$B$7:$B$206,A16,'Maliyetler'!$I$7:$I$206,"Eksik maliyet",'Maliyetler'!$E$7:$E$206,"Gerçekleşen")&gt;0,"Eksik maliyet",SUMIFS('Maliyetler'!$I$7:$I$206,'Maliyetler'!$B$7:$B$206,A16,'Maliyetler'!$E$7:$E$206,"Gerçekleşen",'Maliyetler'!$F$7:$F$206,"&lt;="&amp;'Panel'!$N$5)))</x:f>
      </x:c>
      <x:c r="Y16" s="14" t="str">
        <x:f>IF(A16="","",'Projeler'!I16)</x:f>
      </x:c>
      <x:c r="Z16" s="14" t="str">
        <x:f>IF(A16="","",IF(COUNTIFS('Maliyetler'!$B$7:$B$206,A16,'Maliyetler'!$I$7:$I$206,"Eksik maliyet",'Maliyetler'!$E$7:$E$206,"Kalan tahmin")&gt;0,"Eksik tahmin",SUMIFS('Maliyetler'!$I$7:$I$206,'Maliyetler'!$B$7:$B$206,A16,'Maliyetler'!$E$7:$E$206,"Kalan tahmin")))</x:f>
      </x:c>
      <x:c r="AA16" s="2" t="str">
        <x:f>IF(A16="","",SUMIFS('Gorevler'!$H$7:$H$206,'Gorevler'!$B$7:$B$206,A16))</x:f>
      </x:c>
      <x:c r="AB16" s="2" t="str">
        <x:f>IF(A16="","",SUMIFS('Gorevler'!$O$7:$O$206,'Gorevler'!$B$7:$B$206,A16))</x:f>
      </x:c>
      <x:c r="AC16" s="2" t="str">
        <x:f>IF(A16="","",SUMIFS('Gorevler'!$P$7:$P$206,'Gorevler'!$B$7:$B$206,A16))</x:f>
      </x:c>
      <x:c r="AD16" s="5" t="str">
        <x:f>IF(A16="","",IF(OR(U16=0,COUNTIFS('Gorevler'!$B$7:$B$206,A16,'Gorevler'!$Q$7:$Q$206,"Eksik bitiş")&gt;0),"Eksik bitiş",_xlfn.MAXIFS('Gorevler'!$J$7:$J$206,'Gorevler'!$B$7:$B$206,A16)))</x:f>
      </x:c>
      <x:c r="AE16" s="5" t="str">
        <x:f>IF(A16="","",IF('Projeler'!E16="","Eksik bitiş",'Projeler'!E16))</x:f>
      </x:c>
    </x:row>
    <x:row r="17" ht="28" customHeight="1">
      <x:c r="A17" s="2" t="str">
        <x:f>IF('Projeler'!A17="","",'Projeler'!A17)</x:f>
      </x:c>
      <x:c r="B17" s="2" t="str">
        <x:f>IF(A17="","",'Projeler'!B17)</x:f>
      </x:c>
      <x:c r="C17" s="2" t="str">
        <x:f>IF(A17="","",'Projeler'!C17)</x:f>
      </x:c>
      <x:c r="D17" s="16" t="str">
        <x:f>IF(A17="","",IF(OR(AA17=0,COUNTIFS('Gorevler'!$B$7:$B$206,A17,'Gorevler'!$O$7:$O$206,"Eksik ilerleme")&gt;0),"Eksik görev",AB17/AA17))</x:f>
      </x:c>
      <x:c r="E17" s="16" t="str">
        <x:f>IF(A17="","",IF(OR(AA17=0,COUNTIFS('Gorevler'!$B$7:$B$206,A17,'Gorevler'!$P$7:$P$206,"Eksik plan")&gt;0),"Eksik plan",AC17/AA17))</x:f>
      </x:c>
      <x:c r="F17" s="18" t="str">
        <x:f>IF(A17="","",IF(AND(ISNUMBER(D17),ISNUMBER(E17)),100*(D17-E17),"Eksik ilerleme"))</x:f>
      </x:c>
      <x:c r="G17" s="14" t="str">
        <x:f>IF(A17="","",IF(NOT(ISNUMBER('Projeler'!F17)),"Eksik bütçe",'Projeler'!F17))</x:f>
      </x:c>
      <x:c r="H17" s="14" t="str">
        <x:f>IF(A17="","",IF(AND(ISNUMBER(W17),ISNUMBER(X17)),W17+X17,"Eksik maliyet"))</x:f>
      </x:c>
      <x:c r="I17" s="14" t="str">
        <x:f>IF(A17="","",IF(AND(ISNUMBER(H17),ISNUMBER(Y17),ISNUMBER(Z17)),SUM(H17,Y17,Z17),"Eksik tahmin"))</x:f>
      </x:c>
      <x:c r="J17" s="14" t="str">
        <x:f>IF(A17="","",IF(AND(ISNUMBER(G17),ISNUMBER(I17)),G17-I17,"Eksik bütçe"))</x:f>
      </x:c>
      <x:c r="K17" s="2" t="str">
        <x:f>IF(A17="","",IF(AND(ISNUMBER(AD17),ISNUMBER(AE17)),MAX(0,AD17-AE17),"Eksik bitiş"))</x:f>
      </x:c>
      <x:c r="L17" s="2" t="str">
        <x:f>IF(A17="","",SUMIFS('Efor'!$F$7:$F$606,'Efor'!$B$7:$B$606,A17,'Efor'!$A$7:$A$606,"&lt;="&amp;'Panel'!$N$5))</x:f>
      </x:c>
      <x:c r="M17" s="2" t="str">
        <x:f>IF(A17="","",SUMIFS('Efor'!$I$7:$I$606,'Efor'!$B$7:$B$606,A17))</x:f>
      </x:c>
      <x:c r="N17" s="2" t="str">
        <x:f>IF(A17="","",SUMIFS('Efor'!$F$7:$F$606,'Efor'!$B$7:$B$606,A17,'Efor'!$A$7:$A$606,"&gt;="&amp;('Panel'!$N$5-WEEKDAY('Panel'!$N$5,2)+1),'Efor'!$A$7:$A$606,"&lt;="&amp;'Panel'!$N$5))</x:f>
      </x:c>
      <x:c r="O17" s="2" t="str">
        <x:f>IF(A17="","",SUMIFS('Efor'!$J$7:$J$606,'Efor'!$B$7:$B$606,A17))</x:f>
      </x:c>
      <x:c r="P17" s="2" t="str">
        <x:f>IF(A17="","",IF(COUNTIFS('Riskler'!$B$7:$B$126,A17,'Riskler'!$F$7:$F$126,"Eksik puan",'Riskler'!$K$7:$K$126,"&lt;&gt;Kapalı")&gt;0,"Eksik risk",COUNTIFS('Riskler'!$B$7:$B$126,A17,'Riskler'!$F$7:$F$126,"&gt;=10",'Riskler'!$K$7:$K$126,"&lt;&gt;Kapalı",'Riskler'!$L$7:$L$126,"&lt;="&amp;'Panel'!$N$5)))</x:f>
      </x:c>
      <x:c r="Q17" s="2" t="str">
        <x:f>IF(A17="","",COUNTIFS('Riskler'!$B$7:$B$126,A17,'Riskler'!$A$7:$A$126,"&lt;&gt;",'Riskler'!$K$7:$K$126,"&lt;&gt;Kapalı",'Riskler'!$L$7:$L$126,"&lt;="&amp;'Panel'!$N$5))</x:f>
      </x:c>
      <x:c r="R17" s="2" t="str">
        <x:f>IF(A17="","",COUNTIFS('Aksiyonlar'!$B$7:$B$206,A17,'Aksiyonlar'!$A$7:$A$206,"&lt;&gt;",'Aksiyonlar'!$G$7:$G$206,"&lt;&gt;Tamamlandı",'Aksiyonlar'!$F$7:$F$206,"&lt;"&amp;'Panel'!$N$5,'Aksiyonlar'!$F$7:$F$206,"&gt;0",'Aksiyonlar'!$E$7:$E$206,"&lt;="&amp;'Panel'!$N$5))</x:f>
      </x:c>
      <x:c r="S17" s="2" t="str">
        <x:f>IF(A17="","",COUNTIFS('Aksiyonlar'!$B$7:$B$206,A17,'Aksiyonlar'!$A$7:$A$206,"&lt;&gt;",'Aksiyonlar'!$G$7:$G$206,"&lt;&gt;Tamamlandı",'Aksiyonlar'!$E$7:$E$206,"&lt;="&amp;'Panel'!$N$5))</x:f>
      </x:c>
      <x:c r="T17" s="2" t="str">
        <x:f>IF(A17="","",COUNTIFS('Gorevler'!$B$7:$B$206,A17,'Gorevler'!$A$7:$A$206,"&lt;&gt;",'Gorevler'!$I$7:$I$206,"&lt;1",'Gorevler'!$G$7:$G$206,"&lt;"&amp;'Panel'!$N$5,'Gorevler'!$G$7:$G$206,"&gt;0"))</x:f>
      </x:c>
      <x:c r="U17" s="2" t="str">
        <x:f>IF(A17="","",COUNTIFS('Gorevler'!$B$7:$B$206,A17,'Gorevler'!$A$7:$A$206,"&lt;&gt;"))</x:f>
      </x:c>
      <x:c r="V17" s="2" t="str">
        <x:f>IF(A17="","",IF(NOT(ISNUMBER(F17)),"Eksik veri",IF(K17="Eksik bitiş","Eksik bitiş",IF(OR(K17&gt;0,F17&lt;-10),"Gecikiyor",IF(F17&lt;-5,"Dikkat","Planında")))))</x:f>
      </x:c>
      <x:c r="W17" s="14" t="str">
        <x:f>IF(A17="","",IF(COUNTIFS('Efor'!$B$7:$B$606,A17,'Efor'!$H$7:$H$606,"Eksik efor")&gt;0,"Eksik efor",SUMIFS('Efor'!$H$7:$H$606,'Efor'!$B$7:$B$606,A17,'Efor'!$A$7:$A$606,"&lt;="&amp;'Panel'!$N$5)))</x:f>
      </x:c>
      <x:c r="X17" s="14" t="str">
        <x:f>IF(A17="","",IF(COUNTIFS('Maliyetler'!$B$7:$B$206,A17,'Maliyetler'!$I$7:$I$206,"Eksik maliyet",'Maliyetler'!$E$7:$E$206,"Gerçekleşen")&gt;0,"Eksik maliyet",SUMIFS('Maliyetler'!$I$7:$I$206,'Maliyetler'!$B$7:$B$206,A17,'Maliyetler'!$E$7:$E$206,"Gerçekleşen",'Maliyetler'!$F$7:$F$206,"&lt;="&amp;'Panel'!$N$5)))</x:f>
      </x:c>
      <x:c r="Y17" s="14" t="str">
        <x:f>IF(A17="","",'Projeler'!I17)</x:f>
      </x:c>
      <x:c r="Z17" s="14" t="str">
        <x:f>IF(A17="","",IF(COUNTIFS('Maliyetler'!$B$7:$B$206,A17,'Maliyetler'!$I$7:$I$206,"Eksik maliyet",'Maliyetler'!$E$7:$E$206,"Kalan tahmin")&gt;0,"Eksik tahmin",SUMIFS('Maliyetler'!$I$7:$I$206,'Maliyetler'!$B$7:$B$206,A17,'Maliyetler'!$E$7:$E$206,"Kalan tahmin")))</x:f>
      </x:c>
      <x:c r="AA17" s="2" t="str">
        <x:f>IF(A17="","",SUMIFS('Gorevler'!$H$7:$H$206,'Gorevler'!$B$7:$B$206,A17))</x:f>
      </x:c>
      <x:c r="AB17" s="2" t="str">
        <x:f>IF(A17="","",SUMIFS('Gorevler'!$O$7:$O$206,'Gorevler'!$B$7:$B$206,A17))</x:f>
      </x:c>
      <x:c r="AC17" s="2" t="str">
        <x:f>IF(A17="","",SUMIFS('Gorevler'!$P$7:$P$206,'Gorevler'!$B$7:$B$206,A17))</x:f>
      </x:c>
      <x:c r="AD17" s="5" t="str">
        <x:f>IF(A17="","",IF(OR(U17=0,COUNTIFS('Gorevler'!$B$7:$B$206,A17,'Gorevler'!$Q$7:$Q$206,"Eksik bitiş")&gt;0),"Eksik bitiş",_xlfn.MAXIFS('Gorevler'!$J$7:$J$206,'Gorevler'!$B$7:$B$206,A17)))</x:f>
      </x:c>
      <x:c r="AE17" s="5" t="str">
        <x:f>IF(A17="","",IF('Projeler'!E17="","Eksik bitiş",'Projeler'!E17))</x:f>
      </x:c>
    </x:row>
    <x:row r="18" ht="28" customHeight="1">
      <x:c r="A18" s="2" t="str">
        <x:f>IF('Projeler'!A18="","",'Projeler'!A18)</x:f>
      </x:c>
      <x:c r="B18" s="2" t="str">
        <x:f>IF(A18="","",'Projeler'!B18)</x:f>
      </x:c>
      <x:c r="C18" s="2" t="str">
        <x:f>IF(A18="","",'Projeler'!C18)</x:f>
      </x:c>
      <x:c r="D18" s="16" t="str">
        <x:f>IF(A18="","",IF(OR(AA18=0,COUNTIFS('Gorevler'!$B$7:$B$206,A18,'Gorevler'!$O$7:$O$206,"Eksik ilerleme")&gt;0),"Eksik görev",AB18/AA18))</x:f>
      </x:c>
      <x:c r="E18" s="16" t="str">
        <x:f>IF(A18="","",IF(OR(AA18=0,COUNTIFS('Gorevler'!$B$7:$B$206,A18,'Gorevler'!$P$7:$P$206,"Eksik plan")&gt;0),"Eksik plan",AC18/AA18))</x:f>
      </x:c>
      <x:c r="F18" s="18" t="str">
        <x:f>IF(A18="","",IF(AND(ISNUMBER(D18),ISNUMBER(E18)),100*(D18-E18),"Eksik ilerleme"))</x:f>
      </x:c>
      <x:c r="G18" s="14" t="str">
        <x:f>IF(A18="","",IF(NOT(ISNUMBER('Projeler'!F18)),"Eksik bütçe",'Projeler'!F18))</x:f>
      </x:c>
      <x:c r="H18" s="14" t="str">
        <x:f>IF(A18="","",IF(AND(ISNUMBER(W18),ISNUMBER(X18)),W18+X18,"Eksik maliyet"))</x:f>
      </x:c>
      <x:c r="I18" s="14" t="str">
        <x:f>IF(A18="","",IF(AND(ISNUMBER(H18),ISNUMBER(Y18),ISNUMBER(Z18)),SUM(H18,Y18,Z18),"Eksik tahmin"))</x:f>
      </x:c>
      <x:c r="J18" s="14" t="str">
        <x:f>IF(A18="","",IF(AND(ISNUMBER(G18),ISNUMBER(I18)),G18-I18,"Eksik bütçe"))</x:f>
      </x:c>
      <x:c r="K18" s="2" t="str">
        <x:f>IF(A18="","",IF(AND(ISNUMBER(AD18),ISNUMBER(AE18)),MAX(0,AD18-AE18),"Eksik bitiş"))</x:f>
      </x:c>
      <x:c r="L18" s="2" t="str">
        <x:f>IF(A18="","",SUMIFS('Efor'!$F$7:$F$606,'Efor'!$B$7:$B$606,A18,'Efor'!$A$7:$A$606,"&lt;="&amp;'Panel'!$N$5))</x:f>
      </x:c>
      <x:c r="M18" s="2" t="str">
        <x:f>IF(A18="","",SUMIFS('Efor'!$I$7:$I$606,'Efor'!$B$7:$B$606,A18))</x:f>
      </x:c>
      <x:c r="N18" s="2" t="str">
        <x:f>IF(A18="","",SUMIFS('Efor'!$F$7:$F$606,'Efor'!$B$7:$B$606,A18,'Efor'!$A$7:$A$606,"&gt;="&amp;('Panel'!$N$5-WEEKDAY('Panel'!$N$5,2)+1),'Efor'!$A$7:$A$606,"&lt;="&amp;'Panel'!$N$5))</x:f>
      </x:c>
      <x:c r="O18" s="2" t="str">
        <x:f>IF(A18="","",SUMIFS('Efor'!$J$7:$J$606,'Efor'!$B$7:$B$606,A18))</x:f>
      </x:c>
      <x:c r="P18" s="2" t="str">
        <x:f>IF(A18="","",IF(COUNTIFS('Riskler'!$B$7:$B$126,A18,'Riskler'!$F$7:$F$126,"Eksik puan",'Riskler'!$K$7:$K$126,"&lt;&gt;Kapalı")&gt;0,"Eksik risk",COUNTIFS('Riskler'!$B$7:$B$126,A18,'Riskler'!$F$7:$F$126,"&gt;=10",'Riskler'!$K$7:$K$126,"&lt;&gt;Kapalı",'Riskler'!$L$7:$L$126,"&lt;="&amp;'Panel'!$N$5)))</x:f>
      </x:c>
      <x:c r="Q18" s="2" t="str">
        <x:f>IF(A18="","",COUNTIFS('Riskler'!$B$7:$B$126,A18,'Riskler'!$A$7:$A$126,"&lt;&gt;",'Riskler'!$K$7:$K$126,"&lt;&gt;Kapalı",'Riskler'!$L$7:$L$126,"&lt;="&amp;'Panel'!$N$5))</x:f>
      </x:c>
      <x:c r="R18" s="2" t="str">
        <x:f>IF(A18="","",COUNTIFS('Aksiyonlar'!$B$7:$B$206,A18,'Aksiyonlar'!$A$7:$A$206,"&lt;&gt;",'Aksiyonlar'!$G$7:$G$206,"&lt;&gt;Tamamlandı",'Aksiyonlar'!$F$7:$F$206,"&lt;"&amp;'Panel'!$N$5,'Aksiyonlar'!$F$7:$F$206,"&gt;0",'Aksiyonlar'!$E$7:$E$206,"&lt;="&amp;'Panel'!$N$5))</x:f>
      </x:c>
      <x:c r="S18" s="2" t="str">
        <x:f>IF(A18="","",COUNTIFS('Aksiyonlar'!$B$7:$B$206,A18,'Aksiyonlar'!$A$7:$A$206,"&lt;&gt;",'Aksiyonlar'!$G$7:$G$206,"&lt;&gt;Tamamlandı",'Aksiyonlar'!$E$7:$E$206,"&lt;="&amp;'Panel'!$N$5))</x:f>
      </x:c>
      <x:c r="T18" s="2" t="str">
        <x:f>IF(A18="","",COUNTIFS('Gorevler'!$B$7:$B$206,A18,'Gorevler'!$A$7:$A$206,"&lt;&gt;",'Gorevler'!$I$7:$I$206,"&lt;1",'Gorevler'!$G$7:$G$206,"&lt;"&amp;'Panel'!$N$5,'Gorevler'!$G$7:$G$206,"&gt;0"))</x:f>
      </x:c>
      <x:c r="U18" s="2" t="str">
        <x:f>IF(A18="","",COUNTIFS('Gorevler'!$B$7:$B$206,A18,'Gorevler'!$A$7:$A$206,"&lt;&gt;"))</x:f>
      </x:c>
      <x:c r="V18" s="2" t="str">
        <x:f>IF(A18="","",IF(NOT(ISNUMBER(F18)),"Eksik veri",IF(K18="Eksik bitiş","Eksik bitiş",IF(OR(K18&gt;0,F18&lt;-10),"Gecikiyor",IF(F18&lt;-5,"Dikkat","Planında")))))</x:f>
      </x:c>
      <x:c r="W18" s="14" t="str">
        <x:f>IF(A18="","",IF(COUNTIFS('Efor'!$B$7:$B$606,A18,'Efor'!$H$7:$H$606,"Eksik efor")&gt;0,"Eksik efor",SUMIFS('Efor'!$H$7:$H$606,'Efor'!$B$7:$B$606,A18,'Efor'!$A$7:$A$606,"&lt;="&amp;'Panel'!$N$5)))</x:f>
      </x:c>
      <x:c r="X18" s="14" t="str">
        <x:f>IF(A18="","",IF(COUNTIFS('Maliyetler'!$B$7:$B$206,A18,'Maliyetler'!$I$7:$I$206,"Eksik maliyet",'Maliyetler'!$E$7:$E$206,"Gerçekleşen")&gt;0,"Eksik maliyet",SUMIFS('Maliyetler'!$I$7:$I$206,'Maliyetler'!$B$7:$B$206,A18,'Maliyetler'!$E$7:$E$206,"Gerçekleşen",'Maliyetler'!$F$7:$F$206,"&lt;="&amp;'Panel'!$N$5)))</x:f>
      </x:c>
      <x:c r="Y18" s="14" t="str">
        <x:f>IF(A18="","",'Projeler'!I18)</x:f>
      </x:c>
      <x:c r="Z18" s="14" t="str">
        <x:f>IF(A18="","",IF(COUNTIFS('Maliyetler'!$B$7:$B$206,A18,'Maliyetler'!$I$7:$I$206,"Eksik maliyet",'Maliyetler'!$E$7:$E$206,"Kalan tahmin")&gt;0,"Eksik tahmin",SUMIFS('Maliyetler'!$I$7:$I$206,'Maliyetler'!$B$7:$B$206,A18,'Maliyetler'!$E$7:$E$206,"Kalan tahmin")))</x:f>
      </x:c>
      <x:c r="AA18" s="2" t="str">
        <x:f>IF(A18="","",SUMIFS('Gorevler'!$H$7:$H$206,'Gorevler'!$B$7:$B$206,A18))</x:f>
      </x:c>
      <x:c r="AB18" s="2" t="str">
        <x:f>IF(A18="","",SUMIFS('Gorevler'!$O$7:$O$206,'Gorevler'!$B$7:$B$206,A18))</x:f>
      </x:c>
      <x:c r="AC18" s="2" t="str">
        <x:f>IF(A18="","",SUMIFS('Gorevler'!$P$7:$P$206,'Gorevler'!$B$7:$B$206,A18))</x:f>
      </x:c>
      <x:c r="AD18" s="5" t="str">
        <x:f>IF(A18="","",IF(OR(U18=0,COUNTIFS('Gorevler'!$B$7:$B$206,A18,'Gorevler'!$Q$7:$Q$206,"Eksik bitiş")&gt;0),"Eksik bitiş",_xlfn.MAXIFS('Gorevler'!$J$7:$J$206,'Gorevler'!$B$7:$B$206,A18)))</x:f>
      </x:c>
      <x:c r="AE18" s="5" t="str">
        <x:f>IF(A18="","",IF('Projeler'!E18="","Eksik bitiş",'Projeler'!E18))</x:f>
      </x:c>
    </x:row>
    <x:row r="19" ht="28" customHeight="1">
      <x:c r="A19" s="2" t="str">
        <x:f>IF('Projeler'!A19="","",'Projeler'!A19)</x:f>
      </x:c>
      <x:c r="B19" s="2" t="str">
        <x:f>IF(A19="","",'Projeler'!B19)</x:f>
      </x:c>
      <x:c r="C19" s="2" t="str">
        <x:f>IF(A19="","",'Projeler'!C19)</x:f>
      </x:c>
      <x:c r="D19" s="16" t="str">
        <x:f>IF(A19="","",IF(OR(AA19=0,COUNTIFS('Gorevler'!$B$7:$B$206,A19,'Gorevler'!$O$7:$O$206,"Eksik ilerleme")&gt;0),"Eksik görev",AB19/AA19))</x:f>
      </x:c>
      <x:c r="E19" s="16" t="str">
        <x:f>IF(A19="","",IF(OR(AA19=0,COUNTIFS('Gorevler'!$B$7:$B$206,A19,'Gorevler'!$P$7:$P$206,"Eksik plan")&gt;0),"Eksik plan",AC19/AA19))</x:f>
      </x:c>
      <x:c r="F19" s="18" t="str">
        <x:f>IF(A19="","",IF(AND(ISNUMBER(D19),ISNUMBER(E19)),100*(D19-E19),"Eksik ilerleme"))</x:f>
      </x:c>
      <x:c r="G19" s="14" t="str">
        <x:f>IF(A19="","",IF(NOT(ISNUMBER('Projeler'!F19)),"Eksik bütçe",'Projeler'!F19))</x:f>
      </x:c>
      <x:c r="H19" s="14" t="str">
        <x:f>IF(A19="","",IF(AND(ISNUMBER(W19),ISNUMBER(X19)),W19+X19,"Eksik maliyet"))</x:f>
      </x:c>
      <x:c r="I19" s="14" t="str">
        <x:f>IF(A19="","",IF(AND(ISNUMBER(H19),ISNUMBER(Y19),ISNUMBER(Z19)),SUM(H19,Y19,Z19),"Eksik tahmin"))</x:f>
      </x:c>
      <x:c r="J19" s="14" t="str">
        <x:f>IF(A19="","",IF(AND(ISNUMBER(G19),ISNUMBER(I19)),G19-I19,"Eksik bütçe"))</x:f>
      </x:c>
      <x:c r="K19" s="2" t="str">
        <x:f>IF(A19="","",IF(AND(ISNUMBER(AD19),ISNUMBER(AE19)),MAX(0,AD19-AE19),"Eksik bitiş"))</x:f>
      </x:c>
      <x:c r="L19" s="2" t="str">
        <x:f>IF(A19="","",SUMIFS('Efor'!$F$7:$F$606,'Efor'!$B$7:$B$606,A19,'Efor'!$A$7:$A$606,"&lt;="&amp;'Panel'!$N$5))</x:f>
      </x:c>
      <x:c r="M19" s="2" t="str">
        <x:f>IF(A19="","",SUMIFS('Efor'!$I$7:$I$606,'Efor'!$B$7:$B$606,A19))</x:f>
      </x:c>
      <x:c r="N19" s="2" t="str">
        <x:f>IF(A19="","",SUMIFS('Efor'!$F$7:$F$606,'Efor'!$B$7:$B$606,A19,'Efor'!$A$7:$A$606,"&gt;="&amp;('Panel'!$N$5-WEEKDAY('Panel'!$N$5,2)+1),'Efor'!$A$7:$A$606,"&lt;="&amp;'Panel'!$N$5))</x:f>
      </x:c>
      <x:c r="O19" s="2" t="str">
        <x:f>IF(A19="","",SUMIFS('Efor'!$J$7:$J$606,'Efor'!$B$7:$B$606,A19))</x:f>
      </x:c>
      <x:c r="P19" s="2" t="str">
        <x:f>IF(A19="","",IF(COUNTIFS('Riskler'!$B$7:$B$126,A19,'Riskler'!$F$7:$F$126,"Eksik puan",'Riskler'!$K$7:$K$126,"&lt;&gt;Kapalı")&gt;0,"Eksik risk",COUNTIFS('Riskler'!$B$7:$B$126,A19,'Riskler'!$F$7:$F$126,"&gt;=10",'Riskler'!$K$7:$K$126,"&lt;&gt;Kapalı",'Riskler'!$L$7:$L$126,"&lt;="&amp;'Panel'!$N$5)))</x:f>
      </x:c>
      <x:c r="Q19" s="2" t="str">
        <x:f>IF(A19="","",COUNTIFS('Riskler'!$B$7:$B$126,A19,'Riskler'!$A$7:$A$126,"&lt;&gt;",'Riskler'!$K$7:$K$126,"&lt;&gt;Kapalı",'Riskler'!$L$7:$L$126,"&lt;="&amp;'Panel'!$N$5))</x:f>
      </x:c>
      <x:c r="R19" s="2" t="str">
        <x:f>IF(A19="","",COUNTIFS('Aksiyonlar'!$B$7:$B$206,A19,'Aksiyonlar'!$A$7:$A$206,"&lt;&gt;",'Aksiyonlar'!$G$7:$G$206,"&lt;&gt;Tamamlandı",'Aksiyonlar'!$F$7:$F$206,"&lt;"&amp;'Panel'!$N$5,'Aksiyonlar'!$F$7:$F$206,"&gt;0",'Aksiyonlar'!$E$7:$E$206,"&lt;="&amp;'Panel'!$N$5))</x:f>
      </x:c>
      <x:c r="S19" s="2" t="str">
        <x:f>IF(A19="","",COUNTIFS('Aksiyonlar'!$B$7:$B$206,A19,'Aksiyonlar'!$A$7:$A$206,"&lt;&gt;",'Aksiyonlar'!$G$7:$G$206,"&lt;&gt;Tamamlandı",'Aksiyonlar'!$E$7:$E$206,"&lt;="&amp;'Panel'!$N$5))</x:f>
      </x:c>
      <x:c r="T19" s="2" t="str">
        <x:f>IF(A19="","",COUNTIFS('Gorevler'!$B$7:$B$206,A19,'Gorevler'!$A$7:$A$206,"&lt;&gt;",'Gorevler'!$I$7:$I$206,"&lt;1",'Gorevler'!$G$7:$G$206,"&lt;"&amp;'Panel'!$N$5,'Gorevler'!$G$7:$G$206,"&gt;0"))</x:f>
      </x:c>
      <x:c r="U19" s="2" t="str">
        <x:f>IF(A19="","",COUNTIFS('Gorevler'!$B$7:$B$206,A19,'Gorevler'!$A$7:$A$206,"&lt;&gt;"))</x:f>
      </x:c>
      <x:c r="V19" s="2" t="str">
        <x:f>IF(A19="","",IF(NOT(ISNUMBER(F19)),"Eksik veri",IF(K19="Eksik bitiş","Eksik bitiş",IF(OR(K19&gt;0,F19&lt;-10),"Gecikiyor",IF(F19&lt;-5,"Dikkat","Planında")))))</x:f>
      </x:c>
      <x:c r="W19" s="14" t="str">
        <x:f>IF(A19="","",IF(COUNTIFS('Efor'!$B$7:$B$606,A19,'Efor'!$H$7:$H$606,"Eksik efor")&gt;0,"Eksik efor",SUMIFS('Efor'!$H$7:$H$606,'Efor'!$B$7:$B$606,A19,'Efor'!$A$7:$A$606,"&lt;="&amp;'Panel'!$N$5)))</x:f>
      </x:c>
      <x:c r="X19" s="14" t="str">
        <x:f>IF(A19="","",IF(COUNTIFS('Maliyetler'!$B$7:$B$206,A19,'Maliyetler'!$I$7:$I$206,"Eksik maliyet",'Maliyetler'!$E$7:$E$206,"Gerçekleşen")&gt;0,"Eksik maliyet",SUMIFS('Maliyetler'!$I$7:$I$206,'Maliyetler'!$B$7:$B$206,A19,'Maliyetler'!$E$7:$E$206,"Gerçekleşen",'Maliyetler'!$F$7:$F$206,"&lt;="&amp;'Panel'!$N$5)))</x:f>
      </x:c>
      <x:c r="Y19" s="14" t="str">
        <x:f>IF(A19="","",'Projeler'!I19)</x:f>
      </x:c>
      <x:c r="Z19" s="14" t="str">
        <x:f>IF(A19="","",IF(COUNTIFS('Maliyetler'!$B$7:$B$206,A19,'Maliyetler'!$I$7:$I$206,"Eksik maliyet",'Maliyetler'!$E$7:$E$206,"Kalan tahmin")&gt;0,"Eksik tahmin",SUMIFS('Maliyetler'!$I$7:$I$206,'Maliyetler'!$B$7:$B$206,A19,'Maliyetler'!$E$7:$E$206,"Kalan tahmin")))</x:f>
      </x:c>
      <x:c r="AA19" s="2" t="str">
        <x:f>IF(A19="","",SUMIFS('Gorevler'!$H$7:$H$206,'Gorevler'!$B$7:$B$206,A19))</x:f>
      </x:c>
      <x:c r="AB19" s="2" t="str">
        <x:f>IF(A19="","",SUMIFS('Gorevler'!$O$7:$O$206,'Gorevler'!$B$7:$B$206,A19))</x:f>
      </x:c>
      <x:c r="AC19" s="2" t="str">
        <x:f>IF(A19="","",SUMIFS('Gorevler'!$P$7:$P$206,'Gorevler'!$B$7:$B$206,A19))</x:f>
      </x:c>
      <x:c r="AD19" s="5" t="str">
        <x:f>IF(A19="","",IF(OR(U19=0,COUNTIFS('Gorevler'!$B$7:$B$206,A19,'Gorevler'!$Q$7:$Q$206,"Eksik bitiş")&gt;0),"Eksik bitiş",_xlfn.MAXIFS('Gorevler'!$J$7:$J$206,'Gorevler'!$B$7:$B$206,A19)))</x:f>
      </x:c>
      <x:c r="AE19" s="5" t="str">
        <x:f>IF(A19="","",IF('Projeler'!E19="","Eksik bitiş",'Projeler'!E19))</x:f>
      </x:c>
    </x:row>
    <x:row r="20" ht="28" customHeight="1">
      <x:c r="A20" s="2" t="str">
        <x:f>IF('Projeler'!A20="","",'Projeler'!A20)</x:f>
      </x:c>
      <x:c r="B20" s="2" t="str">
        <x:f>IF(A20="","",'Projeler'!B20)</x:f>
      </x:c>
      <x:c r="C20" s="2" t="str">
        <x:f>IF(A20="","",'Projeler'!C20)</x:f>
      </x:c>
      <x:c r="D20" s="16" t="str">
        <x:f>IF(A20="","",IF(OR(AA20=0,COUNTIFS('Gorevler'!$B$7:$B$206,A20,'Gorevler'!$O$7:$O$206,"Eksik ilerleme")&gt;0),"Eksik görev",AB20/AA20))</x:f>
      </x:c>
      <x:c r="E20" s="16" t="str">
        <x:f>IF(A20="","",IF(OR(AA20=0,COUNTIFS('Gorevler'!$B$7:$B$206,A20,'Gorevler'!$P$7:$P$206,"Eksik plan")&gt;0),"Eksik plan",AC20/AA20))</x:f>
      </x:c>
      <x:c r="F20" s="18" t="str">
        <x:f>IF(A20="","",IF(AND(ISNUMBER(D20),ISNUMBER(E20)),100*(D20-E20),"Eksik ilerleme"))</x:f>
      </x:c>
      <x:c r="G20" s="14" t="str">
        <x:f>IF(A20="","",IF(NOT(ISNUMBER('Projeler'!F20)),"Eksik bütçe",'Projeler'!F20))</x:f>
      </x:c>
      <x:c r="H20" s="14" t="str">
        <x:f>IF(A20="","",IF(AND(ISNUMBER(W20),ISNUMBER(X20)),W20+X20,"Eksik maliyet"))</x:f>
      </x:c>
      <x:c r="I20" s="14" t="str">
        <x:f>IF(A20="","",IF(AND(ISNUMBER(H20),ISNUMBER(Y20),ISNUMBER(Z20)),SUM(H20,Y20,Z20),"Eksik tahmin"))</x:f>
      </x:c>
      <x:c r="J20" s="14" t="str">
        <x:f>IF(A20="","",IF(AND(ISNUMBER(G20),ISNUMBER(I20)),G20-I20,"Eksik bütçe"))</x:f>
      </x:c>
      <x:c r="K20" s="2" t="str">
        <x:f>IF(A20="","",IF(AND(ISNUMBER(AD20),ISNUMBER(AE20)),MAX(0,AD20-AE20),"Eksik bitiş"))</x:f>
      </x:c>
      <x:c r="L20" s="2" t="str">
        <x:f>IF(A20="","",SUMIFS('Efor'!$F$7:$F$606,'Efor'!$B$7:$B$606,A20,'Efor'!$A$7:$A$606,"&lt;="&amp;'Panel'!$N$5))</x:f>
      </x:c>
      <x:c r="M20" s="2" t="str">
        <x:f>IF(A20="","",SUMIFS('Efor'!$I$7:$I$606,'Efor'!$B$7:$B$606,A20))</x:f>
      </x:c>
      <x:c r="N20" s="2" t="str">
        <x:f>IF(A20="","",SUMIFS('Efor'!$F$7:$F$606,'Efor'!$B$7:$B$606,A20,'Efor'!$A$7:$A$606,"&gt;="&amp;('Panel'!$N$5-WEEKDAY('Panel'!$N$5,2)+1),'Efor'!$A$7:$A$606,"&lt;="&amp;'Panel'!$N$5))</x:f>
      </x:c>
      <x:c r="O20" s="2" t="str">
        <x:f>IF(A20="","",SUMIFS('Efor'!$J$7:$J$606,'Efor'!$B$7:$B$606,A20))</x:f>
      </x:c>
      <x:c r="P20" s="2" t="str">
        <x:f>IF(A20="","",IF(COUNTIFS('Riskler'!$B$7:$B$126,A20,'Riskler'!$F$7:$F$126,"Eksik puan",'Riskler'!$K$7:$K$126,"&lt;&gt;Kapalı")&gt;0,"Eksik risk",COUNTIFS('Riskler'!$B$7:$B$126,A20,'Riskler'!$F$7:$F$126,"&gt;=10",'Riskler'!$K$7:$K$126,"&lt;&gt;Kapalı",'Riskler'!$L$7:$L$126,"&lt;="&amp;'Panel'!$N$5)))</x:f>
      </x:c>
      <x:c r="Q20" s="2" t="str">
        <x:f>IF(A20="","",COUNTIFS('Riskler'!$B$7:$B$126,A20,'Riskler'!$A$7:$A$126,"&lt;&gt;",'Riskler'!$K$7:$K$126,"&lt;&gt;Kapalı",'Riskler'!$L$7:$L$126,"&lt;="&amp;'Panel'!$N$5))</x:f>
      </x:c>
      <x:c r="R20" s="2" t="str">
        <x:f>IF(A20="","",COUNTIFS('Aksiyonlar'!$B$7:$B$206,A20,'Aksiyonlar'!$A$7:$A$206,"&lt;&gt;",'Aksiyonlar'!$G$7:$G$206,"&lt;&gt;Tamamlandı",'Aksiyonlar'!$F$7:$F$206,"&lt;"&amp;'Panel'!$N$5,'Aksiyonlar'!$F$7:$F$206,"&gt;0",'Aksiyonlar'!$E$7:$E$206,"&lt;="&amp;'Panel'!$N$5))</x:f>
      </x:c>
      <x:c r="S20" s="2" t="str">
        <x:f>IF(A20="","",COUNTIFS('Aksiyonlar'!$B$7:$B$206,A20,'Aksiyonlar'!$A$7:$A$206,"&lt;&gt;",'Aksiyonlar'!$G$7:$G$206,"&lt;&gt;Tamamlandı",'Aksiyonlar'!$E$7:$E$206,"&lt;="&amp;'Panel'!$N$5))</x:f>
      </x:c>
      <x:c r="T20" s="2" t="str">
        <x:f>IF(A20="","",COUNTIFS('Gorevler'!$B$7:$B$206,A20,'Gorevler'!$A$7:$A$206,"&lt;&gt;",'Gorevler'!$I$7:$I$206,"&lt;1",'Gorevler'!$G$7:$G$206,"&lt;"&amp;'Panel'!$N$5,'Gorevler'!$G$7:$G$206,"&gt;0"))</x:f>
      </x:c>
      <x:c r="U20" s="2" t="str">
        <x:f>IF(A20="","",COUNTIFS('Gorevler'!$B$7:$B$206,A20,'Gorevler'!$A$7:$A$206,"&lt;&gt;"))</x:f>
      </x:c>
      <x:c r="V20" s="2" t="str">
        <x:f>IF(A20="","",IF(NOT(ISNUMBER(F20)),"Eksik veri",IF(K20="Eksik bitiş","Eksik bitiş",IF(OR(K20&gt;0,F20&lt;-10),"Gecikiyor",IF(F20&lt;-5,"Dikkat","Planında")))))</x:f>
      </x:c>
      <x:c r="W20" s="14" t="str">
        <x:f>IF(A20="","",IF(COUNTIFS('Efor'!$B$7:$B$606,A20,'Efor'!$H$7:$H$606,"Eksik efor")&gt;0,"Eksik efor",SUMIFS('Efor'!$H$7:$H$606,'Efor'!$B$7:$B$606,A20,'Efor'!$A$7:$A$606,"&lt;="&amp;'Panel'!$N$5)))</x:f>
      </x:c>
      <x:c r="X20" s="14" t="str">
        <x:f>IF(A20="","",IF(COUNTIFS('Maliyetler'!$B$7:$B$206,A20,'Maliyetler'!$I$7:$I$206,"Eksik maliyet",'Maliyetler'!$E$7:$E$206,"Gerçekleşen")&gt;0,"Eksik maliyet",SUMIFS('Maliyetler'!$I$7:$I$206,'Maliyetler'!$B$7:$B$206,A20,'Maliyetler'!$E$7:$E$206,"Gerçekleşen",'Maliyetler'!$F$7:$F$206,"&lt;="&amp;'Panel'!$N$5)))</x:f>
      </x:c>
      <x:c r="Y20" s="14" t="str">
        <x:f>IF(A20="","",'Projeler'!I20)</x:f>
      </x:c>
      <x:c r="Z20" s="14" t="str">
        <x:f>IF(A20="","",IF(COUNTIFS('Maliyetler'!$B$7:$B$206,A20,'Maliyetler'!$I$7:$I$206,"Eksik maliyet",'Maliyetler'!$E$7:$E$206,"Kalan tahmin")&gt;0,"Eksik tahmin",SUMIFS('Maliyetler'!$I$7:$I$206,'Maliyetler'!$B$7:$B$206,A20,'Maliyetler'!$E$7:$E$206,"Kalan tahmin")))</x:f>
      </x:c>
      <x:c r="AA20" s="2" t="str">
        <x:f>IF(A20="","",SUMIFS('Gorevler'!$H$7:$H$206,'Gorevler'!$B$7:$B$206,A20))</x:f>
      </x:c>
      <x:c r="AB20" s="2" t="str">
        <x:f>IF(A20="","",SUMIFS('Gorevler'!$O$7:$O$206,'Gorevler'!$B$7:$B$206,A20))</x:f>
      </x:c>
      <x:c r="AC20" s="2" t="str">
        <x:f>IF(A20="","",SUMIFS('Gorevler'!$P$7:$P$206,'Gorevler'!$B$7:$B$206,A20))</x:f>
      </x:c>
      <x:c r="AD20" s="5" t="str">
        <x:f>IF(A20="","",IF(OR(U20=0,COUNTIFS('Gorevler'!$B$7:$B$206,A20,'Gorevler'!$Q$7:$Q$206,"Eksik bitiş")&gt;0),"Eksik bitiş",_xlfn.MAXIFS('Gorevler'!$J$7:$J$206,'Gorevler'!$B$7:$B$206,A20)))</x:f>
      </x:c>
      <x:c r="AE20" s="5" t="str">
        <x:f>IF(A20="","",IF('Projeler'!E20="","Eksik bitiş",'Projeler'!E20))</x:f>
      </x:c>
    </x:row>
    <x:row r="21" ht="28" customHeight="1">
      <x:c r="A21" s="2" t="str">
        <x:f>IF('Projeler'!A21="","",'Projeler'!A21)</x:f>
      </x:c>
      <x:c r="B21" s="2" t="str">
        <x:f>IF(A21="","",'Projeler'!B21)</x:f>
      </x:c>
      <x:c r="C21" s="2" t="str">
        <x:f>IF(A21="","",'Projeler'!C21)</x:f>
      </x:c>
      <x:c r="D21" s="16" t="str">
        <x:f>IF(A21="","",IF(OR(AA21=0,COUNTIFS('Gorevler'!$B$7:$B$206,A21,'Gorevler'!$O$7:$O$206,"Eksik ilerleme")&gt;0),"Eksik görev",AB21/AA21))</x:f>
      </x:c>
      <x:c r="E21" s="16" t="str">
        <x:f>IF(A21="","",IF(OR(AA21=0,COUNTIFS('Gorevler'!$B$7:$B$206,A21,'Gorevler'!$P$7:$P$206,"Eksik plan")&gt;0),"Eksik plan",AC21/AA21))</x:f>
      </x:c>
      <x:c r="F21" s="18" t="str">
        <x:f>IF(A21="","",IF(AND(ISNUMBER(D21),ISNUMBER(E21)),100*(D21-E21),"Eksik ilerleme"))</x:f>
      </x:c>
      <x:c r="G21" s="14" t="str">
        <x:f>IF(A21="","",IF(NOT(ISNUMBER('Projeler'!F21)),"Eksik bütçe",'Projeler'!F21))</x:f>
      </x:c>
      <x:c r="H21" s="14" t="str">
        <x:f>IF(A21="","",IF(AND(ISNUMBER(W21),ISNUMBER(X21)),W21+X21,"Eksik maliyet"))</x:f>
      </x:c>
      <x:c r="I21" s="14" t="str">
        <x:f>IF(A21="","",IF(AND(ISNUMBER(H21),ISNUMBER(Y21),ISNUMBER(Z21)),SUM(H21,Y21,Z21),"Eksik tahmin"))</x:f>
      </x:c>
      <x:c r="J21" s="14" t="str">
        <x:f>IF(A21="","",IF(AND(ISNUMBER(G21),ISNUMBER(I21)),G21-I21,"Eksik bütçe"))</x:f>
      </x:c>
      <x:c r="K21" s="2" t="str">
        <x:f>IF(A21="","",IF(AND(ISNUMBER(AD21),ISNUMBER(AE21)),MAX(0,AD21-AE21),"Eksik bitiş"))</x:f>
      </x:c>
      <x:c r="L21" s="2" t="str">
        <x:f>IF(A21="","",SUMIFS('Efor'!$F$7:$F$606,'Efor'!$B$7:$B$606,A21,'Efor'!$A$7:$A$606,"&lt;="&amp;'Panel'!$N$5))</x:f>
      </x:c>
      <x:c r="M21" s="2" t="str">
        <x:f>IF(A21="","",SUMIFS('Efor'!$I$7:$I$606,'Efor'!$B$7:$B$606,A21))</x:f>
      </x:c>
      <x:c r="N21" s="2" t="str">
        <x:f>IF(A21="","",SUMIFS('Efor'!$F$7:$F$606,'Efor'!$B$7:$B$606,A21,'Efor'!$A$7:$A$606,"&gt;="&amp;('Panel'!$N$5-WEEKDAY('Panel'!$N$5,2)+1),'Efor'!$A$7:$A$606,"&lt;="&amp;'Panel'!$N$5))</x:f>
      </x:c>
      <x:c r="O21" s="2" t="str">
        <x:f>IF(A21="","",SUMIFS('Efor'!$J$7:$J$606,'Efor'!$B$7:$B$606,A21))</x:f>
      </x:c>
      <x:c r="P21" s="2" t="str">
        <x:f>IF(A21="","",IF(COUNTIFS('Riskler'!$B$7:$B$126,A21,'Riskler'!$F$7:$F$126,"Eksik puan",'Riskler'!$K$7:$K$126,"&lt;&gt;Kapalı")&gt;0,"Eksik risk",COUNTIFS('Riskler'!$B$7:$B$126,A21,'Riskler'!$F$7:$F$126,"&gt;=10",'Riskler'!$K$7:$K$126,"&lt;&gt;Kapalı",'Riskler'!$L$7:$L$126,"&lt;="&amp;'Panel'!$N$5)))</x:f>
      </x:c>
      <x:c r="Q21" s="2" t="str">
        <x:f>IF(A21="","",COUNTIFS('Riskler'!$B$7:$B$126,A21,'Riskler'!$A$7:$A$126,"&lt;&gt;",'Riskler'!$K$7:$K$126,"&lt;&gt;Kapalı",'Riskler'!$L$7:$L$126,"&lt;="&amp;'Panel'!$N$5))</x:f>
      </x:c>
      <x:c r="R21" s="2" t="str">
        <x:f>IF(A21="","",COUNTIFS('Aksiyonlar'!$B$7:$B$206,A21,'Aksiyonlar'!$A$7:$A$206,"&lt;&gt;",'Aksiyonlar'!$G$7:$G$206,"&lt;&gt;Tamamlandı",'Aksiyonlar'!$F$7:$F$206,"&lt;"&amp;'Panel'!$N$5,'Aksiyonlar'!$F$7:$F$206,"&gt;0",'Aksiyonlar'!$E$7:$E$206,"&lt;="&amp;'Panel'!$N$5))</x:f>
      </x:c>
      <x:c r="S21" s="2" t="str">
        <x:f>IF(A21="","",COUNTIFS('Aksiyonlar'!$B$7:$B$206,A21,'Aksiyonlar'!$A$7:$A$206,"&lt;&gt;",'Aksiyonlar'!$G$7:$G$206,"&lt;&gt;Tamamlandı",'Aksiyonlar'!$E$7:$E$206,"&lt;="&amp;'Panel'!$N$5))</x:f>
      </x:c>
      <x:c r="T21" s="2" t="str">
        <x:f>IF(A21="","",COUNTIFS('Gorevler'!$B$7:$B$206,A21,'Gorevler'!$A$7:$A$206,"&lt;&gt;",'Gorevler'!$I$7:$I$206,"&lt;1",'Gorevler'!$G$7:$G$206,"&lt;"&amp;'Panel'!$N$5,'Gorevler'!$G$7:$G$206,"&gt;0"))</x:f>
      </x:c>
      <x:c r="U21" s="2" t="str">
        <x:f>IF(A21="","",COUNTIFS('Gorevler'!$B$7:$B$206,A21,'Gorevler'!$A$7:$A$206,"&lt;&gt;"))</x:f>
      </x:c>
      <x:c r="V21" s="2" t="str">
        <x:f>IF(A21="","",IF(NOT(ISNUMBER(F21)),"Eksik veri",IF(K21="Eksik bitiş","Eksik bitiş",IF(OR(K21&gt;0,F21&lt;-10),"Gecikiyor",IF(F21&lt;-5,"Dikkat","Planında")))))</x:f>
      </x:c>
      <x:c r="W21" s="14" t="str">
        <x:f>IF(A21="","",IF(COUNTIFS('Efor'!$B$7:$B$606,A21,'Efor'!$H$7:$H$606,"Eksik efor")&gt;0,"Eksik efor",SUMIFS('Efor'!$H$7:$H$606,'Efor'!$B$7:$B$606,A21,'Efor'!$A$7:$A$606,"&lt;="&amp;'Panel'!$N$5)))</x:f>
      </x:c>
      <x:c r="X21" s="14" t="str">
        <x:f>IF(A21="","",IF(COUNTIFS('Maliyetler'!$B$7:$B$206,A21,'Maliyetler'!$I$7:$I$206,"Eksik maliyet",'Maliyetler'!$E$7:$E$206,"Gerçekleşen")&gt;0,"Eksik maliyet",SUMIFS('Maliyetler'!$I$7:$I$206,'Maliyetler'!$B$7:$B$206,A21,'Maliyetler'!$E$7:$E$206,"Gerçekleşen",'Maliyetler'!$F$7:$F$206,"&lt;="&amp;'Panel'!$N$5)))</x:f>
      </x:c>
      <x:c r="Y21" s="14" t="str">
        <x:f>IF(A21="","",'Projeler'!I21)</x:f>
      </x:c>
      <x:c r="Z21" s="14" t="str">
        <x:f>IF(A21="","",IF(COUNTIFS('Maliyetler'!$B$7:$B$206,A21,'Maliyetler'!$I$7:$I$206,"Eksik maliyet",'Maliyetler'!$E$7:$E$206,"Kalan tahmin")&gt;0,"Eksik tahmin",SUMIFS('Maliyetler'!$I$7:$I$206,'Maliyetler'!$B$7:$B$206,A21,'Maliyetler'!$E$7:$E$206,"Kalan tahmin")))</x:f>
      </x:c>
      <x:c r="AA21" s="2" t="str">
        <x:f>IF(A21="","",SUMIFS('Gorevler'!$H$7:$H$206,'Gorevler'!$B$7:$B$206,A21))</x:f>
      </x:c>
      <x:c r="AB21" s="2" t="str">
        <x:f>IF(A21="","",SUMIFS('Gorevler'!$O$7:$O$206,'Gorevler'!$B$7:$B$206,A21))</x:f>
      </x:c>
      <x:c r="AC21" s="2" t="str">
        <x:f>IF(A21="","",SUMIFS('Gorevler'!$P$7:$P$206,'Gorevler'!$B$7:$B$206,A21))</x:f>
      </x:c>
      <x:c r="AD21" s="5" t="str">
        <x:f>IF(A21="","",IF(OR(U21=0,COUNTIFS('Gorevler'!$B$7:$B$206,A21,'Gorevler'!$Q$7:$Q$206,"Eksik bitiş")&gt;0),"Eksik bitiş",_xlfn.MAXIFS('Gorevler'!$J$7:$J$206,'Gorevler'!$B$7:$B$206,A21)))</x:f>
      </x:c>
      <x:c r="AE21" s="5" t="str">
        <x:f>IF(A21="","",IF('Projeler'!E21="","Eksik bitiş",'Projeler'!E21))</x:f>
      </x:c>
    </x:row>
    <x:row r="22" ht="28" customHeight="1">
      <x:c r="A22" s="2" t="str">
        <x:f>IF('Projeler'!A22="","",'Projeler'!A22)</x:f>
      </x:c>
      <x:c r="B22" s="2" t="str">
        <x:f>IF(A22="","",'Projeler'!B22)</x:f>
      </x:c>
      <x:c r="C22" s="2" t="str">
        <x:f>IF(A22="","",'Projeler'!C22)</x:f>
      </x:c>
      <x:c r="D22" s="16" t="str">
        <x:f>IF(A22="","",IF(OR(AA22=0,COUNTIFS('Gorevler'!$B$7:$B$206,A22,'Gorevler'!$O$7:$O$206,"Eksik ilerleme")&gt;0),"Eksik görev",AB22/AA22))</x:f>
      </x:c>
      <x:c r="E22" s="16" t="str">
        <x:f>IF(A22="","",IF(OR(AA22=0,COUNTIFS('Gorevler'!$B$7:$B$206,A22,'Gorevler'!$P$7:$P$206,"Eksik plan")&gt;0),"Eksik plan",AC22/AA22))</x:f>
      </x:c>
      <x:c r="F22" s="18" t="str">
        <x:f>IF(A22="","",IF(AND(ISNUMBER(D22),ISNUMBER(E22)),100*(D22-E22),"Eksik ilerleme"))</x:f>
      </x:c>
      <x:c r="G22" s="14" t="str">
        <x:f>IF(A22="","",IF(NOT(ISNUMBER('Projeler'!F22)),"Eksik bütçe",'Projeler'!F22))</x:f>
      </x:c>
      <x:c r="H22" s="14" t="str">
        <x:f>IF(A22="","",IF(AND(ISNUMBER(W22),ISNUMBER(X22)),W22+X22,"Eksik maliyet"))</x:f>
      </x:c>
      <x:c r="I22" s="14" t="str">
        <x:f>IF(A22="","",IF(AND(ISNUMBER(H22),ISNUMBER(Y22),ISNUMBER(Z22)),SUM(H22,Y22,Z22),"Eksik tahmin"))</x:f>
      </x:c>
      <x:c r="J22" s="14" t="str">
        <x:f>IF(A22="","",IF(AND(ISNUMBER(G22),ISNUMBER(I22)),G22-I22,"Eksik bütçe"))</x:f>
      </x:c>
      <x:c r="K22" s="2" t="str">
        <x:f>IF(A22="","",IF(AND(ISNUMBER(AD22),ISNUMBER(AE22)),MAX(0,AD22-AE22),"Eksik bitiş"))</x:f>
      </x:c>
      <x:c r="L22" s="2" t="str">
        <x:f>IF(A22="","",SUMIFS('Efor'!$F$7:$F$606,'Efor'!$B$7:$B$606,A22,'Efor'!$A$7:$A$606,"&lt;="&amp;'Panel'!$N$5))</x:f>
      </x:c>
      <x:c r="M22" s="2" t="str">
        <x:f>IF(A22="","",SUMIFS('Efor'!$I$7:$I$606,'Efor'!$B$7:$B$606,A22))</x:f>
      </x:c>
      <x:c r="N22" s="2" t="str">
        <x:f>IF(A22="","",SUMIFS('Efor'!$F$7:$F$606,'Efor'!$B$7:$B$606,A22,'Efor'!$A$7:$A$606,"&gt;="&amp;('Panel'!$N$5-WEEKDAY('Panel'!$N$5,2)+1),'Efor'!$A$7:$A$606,"&lt;="&amp;'Panel'!$N$5))</x:f>
      </x:c>
      <x:c r="O22" s="2" t="str">
        <x:f>IF(A22="","",SUMIFS('Efor'!$J$7:$J$606,'Efor'!$B$7:$B$606,A22))</x:f>
      </x:c>
      <x:c r="P22" s="2" t="str">
        <x:f>IF(A22="","",IF(COUNTIFS('Riskler'!$B$7:$B$126,A22,'Riskler'!$F$7:$F$126,"Eksik puan",'Riskler'!$K$7:$K$126,"&lt;&gt;Kapalı")&gt;0,"Eksik risk",COUNTIFS('Riskler'!$B$7:$B$126,A22,'Riskler'!$F$7:$F$126,"&gt;=10",'Riskler'!$K$7:$K$126,"&lt;&gt;Kapalı",'Riskler'!$L$7:$L$126,"&lt;="&amp;'Panel'!$N$5)))</x:f>
      </x:c>
      <x:c r="Q22" s="2" t="str">
        <x:f>IF(A22="","",COUNTIFS('Riskler'!$B$7:$B$126,A22,'Riskler'!$A$7:$A$126,"&lt;&gt;",'Riskler'!$K$7:$K$126,"&lt;&gt;Kapalı",'Riskler'!$L$7:$L$126,"&lt;="&amp;'Panel'!$N$5))</x:f>
      </x:c>
      <x:c r="R22" s="2" t="str">
        <x:f>IF(A22="","",COUNTIFS('Aksiyonlar'!$B$7:$B$206,A22,'Aksiyonlar'!$A$7:$A$206,"&lt;&gt;",'Aksiyonlar'!$G$7:$G$206,"&lt;&gt;Tamamlandı",'Aksiyonlar'!$F$7:$F$206,"&lt;"&amp;'Panel'!$N$5,'Aksiyonlar'!$F$7:$F$206,"&gt;0",'Aksiyonlar'!$E$7:$E$206,"&lt;="&amp;'Panel'!$N$5))</x:f>
      </x:c>
      <x:c r="S22" s="2" t="str">
        <x:f>IF(A22="","",COUNTIFS('Aksiyonlar'!$B$7:$B$206,A22,'Aksiyonlar'!$A$7:$A$206,"&lt;&gt;",'Aksiyonlar'!$G$7:$G$206,"&lt;&gt;Tamamlandı",'Aksiyonlar'!$E$7:$E$206,"&lt;="&amp;'Panel'!$N$5))</x:f>
      </x:c>
      <x:c r="T22" s="2" t="str">
        <x:f>IF(A22="","",COUNTIFS('Gorevler'!$B$7:$B$206,A22,'Gorevler'!$A$7:$A$206,"&lt;&gt;",'Gorevler'!$I$7:$I$206,"&lt;1",'Gorevler'!$G$7:$G$206,"&lt;"&amp;'Panel'!$N$5,'Gorevler'!$G$7:$G$206,"&gt;0"))</x:f>
      </x:c>
      <x:c r="U22" s="2" t="str">
        <x:f>IF(A22="","",COUNTIFS('Gorevler'!$B$7:$B$206,A22,'Gorevler'!$A$7:$A$206,"&lt;&gt;"))</x:f>
      </x:c>
      <x:c r="V22" s="2" t="str">
        <x:f>IF(A22="","",IF(NOT(ISNUMBER(F22)),"Eksik veri",IF(K22="Eksik bitiş","Eksik bitiş",IF(OR(K22&gt;0,F22&lt;-10),"Gecikiyor",IF(F22&lt;-5,"Dikkat","Planında")))))</x:f>
      </x:c>
      <x:c r="W22" s="14" t="str">
        <x:f>IF(A22="","",IF(COUNTIFS('Efor'!$B$7:$B$606,A22,'Efor'!$H$7:$H$606,"Eksik efor")&gt;0,"Eksik efor",SUMIFS('Efor'!$H$7:$H$606,'Efor'!$B$7:$B$606,A22,'Efor'!$A$7:$A$606,"&lt;="&amp;'Panel'!$N$5)))</x:f>
      </x:c>
      <x:c r="X22" s="14" t="str">
        <x:f>IF(A22="","",IF(COUNTIFS('Maliyetler'!$B$7:$B$206,A22,'Maliyetler'!$I$7:$I$206,"Eksik maliyet",'Maliyetler'!$E$7:$E$206,"Gerçekleşen")&gt;0,"Eksik maliyet",SUMIFS('Maliyetler'!$I$7:$I$206,'Maliyetler'!$B$7:$B$206,A22,'Maliyetler'!$E$7:$E$206,"Gerçekleşen",'Maliyetler'!$F$7:$F$206,"&lt;="&amp;'Panel'!$N$5)))</x:f>
      </x:c>
      <x:c r="Y22" s="14" t="str">
        <x:f>IF(A22="","",'Projeler'!I22)</x:f>
      </x:c>
      <x:c r="Z22" s="14" t="str">
        <x:f>IF(A22="","",IF(COUNTIFS('Maliyetler'!$B$7:$B$206,A22,'Maliyetler'!$I$7:$I$206,"Eksik maliyet",'Maliyetler'!$E$7:$E$206,"Kalan tahmin")&gt;0,"Eksik tahmin",SUMIFS('Maliyetler'!$I$7:$I$206,'Maliyetler'!$B$7:$B$206,A22,'Maliyetler'!$E$7:$E$206,"Kalan tahmin")))</x:f>
      </x:c>
      <x:c r="AA22" s="2" t="str">
        <x:f>IF(A22="","",SUMIFS('Gorevler'!$H$7:$H$206,'Gorevler'!$B$7:$B$206,A22))</x:f>
      </x:c>
      <x:c r="AB22" s="2" t="str">
        <x:f>IF(A22="","",SUMIFS('Gorevler'!$O$7:$O$206,'Gorevler'!$B$7:$B$206,A22))</x:f>
      </x:c>
      <x:c r="AC22" s="2" t="str">
        <x:f>IF(A22="","",SUMIFS('Gorevler'!$P$7:$P$206,'Gorevler'!$B$7:$B$206,A22))</x:f>
      </x:c>
      <x:c r="AD22" s="5" t="str">
        <x:f>IF(A22="","",IF(OR(U22=0,COUNTIFS('Gorevler'!$B$7:$B$206,A22,'Gorevler'!$Q$7:$Q$206,"Eksik bitiş")&gt;0),"Eksik bitiş",_xlfn.MAXIFS('Gorevler'!$J$7:$J$206,'Gorevler'!$B$7:$B$206,A22)))</x:f>
      </x:c>
      <x:c r="AE22" s="5" t="str">
        <x:f>IF(A22="","",IF('Projeler'!E22="","Eksik bitiş",'Projeler'!E22))</x:f>
      </x:c>
    </x:row>
    <x:row r="23" ht="28" customHeight="1">
      <x:c r="A23" s="2" t="str">
        <x:f>IF('Projeler'!A23="","",'Projeler'!A23)</x:f>
      </x:c>
      <x:c r="B23" s="2" t="str">
        <x:f>IF(A23="","",'Projeler'!B23)</x:f>
      </x:c>
      <x:c r="C23" s="2" t="str">
        <x:f>IF(A23="","",'Projeler'!C23)</x:f>
      </x:c>
      <x:c r="D23" s="16" t="str">
        <x:f>IF(A23="","",IF(OR(AA23=0,COUNTIFS('Gorevler'!$B$7:$B$206,A23,'Gorevler'!$O$7:$O$206,"Eksik ilerleme")&gt;0),"Eksik görev",AB23/AA23))</x:f>
      </x:c>
      <x:c r="E23" s="16" t="str">
        <x:f>IF(A23="","",IF(OR(AA23=0,COUNTIFS('Gorevler'!$B$7:$B$206,A23,'Gorevler'!$P$7:$P$206,"Eksik plan")&gt;0),"Eksik plan",AC23/AA23))</x:f>
      </x:c>
      <x:c r="F23" s="18" t="str">
        <x:f>IF(A23="","",IF(AND(ISNUMBER(D23),ISNUMBER(E23)),100*(D23-E23),"Eksik ilerleme"))</x:f>
      </x:c>
      <x:c r="G23" s="14" t="str">
        <x:f>IF(A23="","",IF(NOT(ISNUMBER('Projeler'!F23)),"Eksik bütçe",'Projeler'!F23))</x:f>
      </x:c>
      <x:c r="H23" s="14" t="str">
        <x:f>IF(A23="","",IF(AND(ISNUMBER(W23),ISNUMBER(X23)),W23+X23,"Eksik maliyet"))</x:f>
      </x:c>
      <x:c r="I23" s="14" t="str">
        <x:f>IF(A23="","",IF(AND(ISNUMBER(H23),ISNUMBER(Y23),ISNUMBER(Z23)),SUM(H23,Y23,Z23),"Eksik tahmin"))</x:f>
      </x:c>
      <x:c r="J23" s="14" t="str">
        <x:f>IF(A23="","",IF(AND(ISNUMBER(G23),ISNUMBER(I23)),G23-I23,"Eksik bütçe"))</x:f>
      </x:c>
      <x:c r="K23" s="2" t="str">
        <x:f>IF(A23="","",IF(AND(ISNUMBER(AD23),ISNUMBER(AE23)),MAX(0,AD23-AE23),"Eksik bitiş"))</x:f>
      </x:c>
      <x:c r="L23" s="2" t="str">
        <x:f>IF(A23="","",SUMIFS('Efor'!$F$7:$F$606,'Efor'!$B$7:$B$606,A23,'Efor'!$A$7:$A$606,"&lt;="&amp;'Panel'!$N$5))</x:f>
      </x:c>
      <x:c r="M23" s="2" t="str">
        <x:f>IF(A23="","",SUMIFS('Efor'!$I$7:$I$606,'Efor'!$B$7:$B$606,A23))</x:f>
      </x:c>
      <x:c r="N23" s="2" t="str">
        <x:f>IF(A23="","",SUMIFS('Efor'!$F$7:$F$606,'Efor'!$B$7:$B$606,A23,'Efor'!$A$7:$A$606,"&gt;="&amp;('Panel'!$N$5-WEEKDAY('Panel'!$N$5,2)+1),'Efor'!$A$7:$A$606,"&lt;="&amp;'Panel'!$N$5))</x:f>
      </x:c>
      <x:c r="O23" s="2" t="str">
        <x:f>IF(A23="","",SUMIFS('Efor'!$J$7:$J$606,'Efor'!$B$7:$B$606,A23))</x:f>
      </x:c>
      <x:c r="P23" s="2" t="str">
        <x:f>IF(A23="","",IF(COUNTIFS('Riskler'!$B$7:$B$126,A23,'Riskler'!$F$7:$F$126,"Eksik puan",'Riskler'!$K$7:$K$126,"&lt;&gt;Kapalı")&gt;0,"Eksik risk",COUNTIFS('Riskler'!$B$7:$B$126,A23,'Riskler'!$F$7:$F$126,"&gt;=10",'Riskler'!$K$7:$K$126,"&lt;&gt;Kapalı",'Riskler'!$L$7:$L$126,"&lt;="&amp;'Panel'!$N$5)))</x:f>
      </x:c>
      <x:c r="Q23" s="2" t="str">
        <x:f>IF(A23="","",COUNTIFS('Riskler'!$B$7:$B$126,A23,'Riskler'!$A$7:$A$126,"&lt;&gt;",'Riskler'!$K$7:$K$126,"&lt;&gt;Kapalı",'Riskler'!$L$7:$L$126,"&lt;="&amp;'Panel'!$N$5))</x:f>
      </x:c>
      <x:c r="R23" s="2" t="str">
        <x:f>IF(A23="","",COUNTIFS('Aksiyonlar'!$B$7:$B$206,A23,'Aksiyonlar'!$A$7:$A$206,"&lt;&gt;",'Aksiyonlar'!$G$7:$G$206,"&lt;&gt;Tamamlandı",'Aksiyonlar'!$F$7:$F$206,"&lt;"&amp;'Panel'!$N$5,'Aksiyonlar'!$F$7:$F$206,"&gt;0",'Aksiyonlar'!$E$7:$E$206,"&lt;="&amp;'Panel'!$N$5))</x:f>
      </x:c>
      <x:c r="S23" s="2" t="str">
        <x:f>IF(A23="","",COUNTIFS('Aksiyonlar'!$B$7:$B$206,A23,'Aksiyonlar'!$A$7:$A$206,"&lt;&gt;",'Aksiyonlar'!$G$7:$G$206,"&lt;&gt;Tamamlandı",'Aksiyonlar'!$E$7:$E$206,"&lt;="&amp;'Panel'!$N$5))</x:f>
      </x:c>
      <x:c r="T23" s="2" t="str">
        <x:f>IF(A23="","",COUNTIFS('Gorevler'!$B$7:$B$206,A23,'Gorevler'!$A$7:$A$206,"&lt;&gt;",'Gorevler'!$I$7:$I$206,"&lt;1",'Gorevler'!$G$7:$G$206,"&lt;"&amp;'Panel'!$N$5,'Gorevler'!$G$7:$G$206,"&gt;0"))</x:f>
      </x:c>
      <x:c r="U23" s="2" t="str">
        <x:f>IF(A23="","",COUNTIFS('Gorevler'!$B$7:$B$206,A23,'Gorevler'!$A$7:$A$206,"&lt;&gt;"))</x:f>
      </x:c>
      <x:c r="V23" s="2" t="str">
        <x:f>IF(A23="","",IF(NOT(ISNUMBER(F23)),"Eksik veri",IF(K23="Eksik bitiş","Eksik bitiş",IF(OR(K23&gt;0,F23&lt;-10),"Gecikiyor",IF(F23&lt;-5,"Dikkat","Planında")))))</x:f>
      </x:c>
      <x:c r="W23" s="14" t="str">
        <x:f>IF(A23="","",IF(COUNTIFS('Efor'!$B$7:$B$606,A23,'Efor'!$H$7:$H$606,"Eksik efor")&gt;0,"Eksik efor",SUMIFS('Efor'!$H$7:$H$606,'Efor'!$B$7:$B$606,A23,'Efor'!$A$7:$A$606,"&lt;="&amp;'Panel'!$N$5)))</x:f>
      </x:c>
      <x:c r="X23" s="14" t="str">
        <x:f>IF(A23="","",IF(COUNTIFS('Maliyetler'!$B$7:$B$206,A23,'Maliyetler'!$I$7:$I$206,"Eksik maliyet",'Maliyetler'!$E$7:$E$206,"Gerçekleşen")&gt;0,"Eksik maliyet",SUMIFS('Maliyetler'!$I$7:$I$206,'Maliyetler'!$B$7:$B$206,A23,'Maliyetler'!$E$7:$E$206,"Gerçekleşen",'Maliyetler'!$F$7:$F$206,"&lt;="&amp;'Panel'!$N$5)))</x:f>
      </x:c>
      <x:c r="Y23" s="14" t="str">
        <x:f>IF(A23="","",'Projeler'!I23)</x:f>
      </x:c>
      <x:c r="Z23" s="14" t="str">
        <x:f>IF(A23="","",IF(COUNTIFS('Maliyetler'!$B$7:$B$206,A23,'Maliyetler'!$I$7:$I$206,"Eksik maliyet",'Maliyetler'!$E$7:$E$206,"Kalan tahmin")&gt;0,"Eksik tahmin",SUMIFS('Maliyetler'!$I$7:$I$206,'Maliyetler'!$B$7:$B$206,A23,'Maliyetler'!$E$7:$E$206,"Kalan tahmin")))</x:f>
      </x:c>
      <x:c r="AA23" s="2" t="str">
        <x:f>IF(A23="","",SUMIFS('Gorevler'!$H$7:$H$206,'Gorevler'!$B$7:$B$206,A23))</x:f>
      </x:c>
      <x:c r="AB23" s="2" t="str">
        <x:f>IF(A23="","",SUMIFS('Gorevler'!$O$7:$O$206,'Gorevler'!$B$7:$B$206,A23))</x:f>
      </x:c>
      <x:c r="AC23" s="2" t="str">
        <x:f>IF(A23="","",SUMIFS('Gorevler'!$P$7:$P$206,'Gorevler'!$B$7:$B$206,A23))</x:f>
      </x:c>
      <x:c r="AD23" s="5" t="str">
        <x:f>IF(A23="","",IF(OR(U23=0,COUNTIFS('Gorevler'!$B$7:$B$206,A23,'Gorevler'!$Q$7:$Q$206,"Eksik bitiş")&gt;0),"Eksik bitiş",_xlfn.MAXIFS('Gorevler'!$J$7:$J$206,'Gorevler'!$B$7:$B$206,A23)))</x:f>
      </x:c>
      <x:c r="AE23" s="5" t="str">
        <x:f>IF(A23="","",IF('Projeler'!E23="","Eksik bitiş",'Projeler'!E23))</x:f>
      </x:c>
    </x:row>
    <x:row r="24" ht="28" customHeight="1">
      <x:c r="A24" s="2" t="str">
        <x:f>IF('Projeler'!A24="","",'Projeler'!A24)</x:f>
      </x:c>
      <x:c r="B24" s="2" t="str">
        <x:f>IF(A24="","",'Projeler'!B24)</x:f>
      </x:c>
      <x:c r="C24" s="2" t="str">
        <x:f>IF(A24="","",'Projeler'!C24)</x:f>
      </x:c>
      <x:c r="D24" s="16" t="str">
        <x:f>IF(A24="","",IF(OR(AA24=0,COUNTIFS('Gorevler'!$B$7:$B$206,A24,'Gorevler'!$O$7:$O$206,"Eksik ilerleme")&gt;0),"Eksik görev",AB24/AA24))</x:f>
      </x:c>
      <x:c r="E24" s="16" t="str">
        <x:f>IF(A24="","",IF(OR(AA24=0,COUNTIFS('Gorevler'!$B$7:$B$206,A24,'Gorevler'!$P$7:$P$206,"Eksik plan")&gt;0),"Eksik plan",AC24/AA24))</x:f>
      </x:c>
      <x:c r="F24" s="18" t="str">
        <x:f>IF(A24="","",IF(AND(ISNUMBER(D24),ISNUMBER(E24)),100*(D24-E24),"Eksik ilerleme"))</x:f>
      </x:c>
      <x:c r="G24" s="14" t="str">
        <x:f>IF(A24="","",IF(NOT(ISNUMBER('Projeler'!F24)),"Eksik bütçe",'Projeler'!F24))</x:f>
      </x:c>
      <x:c r="H24" s="14" t="str">
        <x:f>IF(A24="","",IF(AND(ISNUMBER(W24),ISNUMBER(X24)),W24+X24,"Eksik maliyet"))</x:f>
      </x:c>
      <x:c r="I24" s="14" t="str">
        <x:f>IF(A24="","",IF(AND(ISNUMBER(H24),ISNUMBER(Y24),ISNUMBER(Z24)),SUM(H24,Y24,Z24),"Eksik tahmin"))</x:f>
      </x:c>
      <x:c r="J24" s="14" t="str">
        <x:f>IF(A24="","",IF(AND(ISNUMBER(G24),ISNUMBER(I24)),G24-I24,"Eksik bütçe"))</x:f>
      </x:c>
      <x:c r="K24" s="2" t="str">
        <x:f>IF(A24="","",IF(AND(ISNUMBER(AD24),ISNUMBER(AE24)),MAX(0,AD24-AE24),"Eksik bitiş"))</x:f>
      </x:c>
      <x:c r="L24" s="2" t="str">
        <x:f>IF(A24="","",SUMIFS('Efor'!$F$7:$F$606,'Efor'!$B$7:$B$606,A24,'Efor'!$A$7:$A$606,"&lt;="&amp;'Panel'!$N$5))</x:f>
      </x:c>
      <x:c r="M24" s="2" t="str">
        <x:f>IF(A24="","",SUMIFS('Efor'!$I$7:$I$606,'Efor'!$B$7:$B$606,A24))</x:f>
      </x:c>
      <x:c r="N24" s="2" t="str">
        <x:f>IF(A24="","",SUMIFS('Efor'!$F$7:$F$606,'Efor'!$B$7:$B$606,A24,'Efor'!$A$7:$A$606,"&gt;="&amp;('Panel'!$N$5-WEEKDAY('Panel'!$N$5,2)+1),'Efor'!$A$7:$A$606,"&lt;="&amp;'Panel'!$N$5))</x:f>
      </x:c>
      <x:c r="O24" s="2" t="str">
        <x:f>IF(A24="","",SUMIFS('Efor'!$J$7:$J$606,'Efor'!$B$7:$B$606,A24))</x:f>
      </x:c>
      <x:c r="P24" s="2" t="str">
        <x:f>IF(A24="","",IF(COUNTIFS('Riskler'!$B$7:$B$126,A24,'Riskler'!$F$7:$F$126,"Eksik puan",'Riskler'!$K$7:$K$126,"&lt;&gt;Kapalı")&gt;0,"Eksik risk",COUNTIFS('Riskler'!$B$7:$B$126,A24,'Riskler'!$F$7:$F$126,"&gt;=10",'Riskler'!$K$7:$K$126,"&lt;&gt;Kapalı",'Riskler'!$L$7:$L$126,"&lt;="&amp;'Panel'!$N$5)))</x:f>
      </x:c>
      <x:c r="Q24" s="2" t="str">
        <x:f>IF(A24="","",COUNTIFS('Riskler'!$B$7:$B$126,A24,'Riskler'!$A$7:$A$126,"&lt;&gt;",'Riskler'!$K$7:$K$126,"&lt;&gt;Kapalı",'Riskler'!$L$7:$L$126,"&lt;="&amp;'Panel'!$N$5))</x:f>
      </x:c>
      <x:c r="R24" s="2" t="str">
        <x:f>IF(A24="","",COUNTIFS('Aksiyonlar'!$B$7:$B$206,A24,'Aksiyonlar'!$A$7:$A$206,"&lt;&gt;",'Aksiyonlar'!$G$7:$G$206,"&lt;&gt;Tamamlandı",'Aksiyonlar'!$F$7:$F$206,"&lt;"&amp;'Panel'!$N$5,'Aksiyonlar'!$F$7:$F$206,"&gt;0",'Aksiyonlar'!$E$7:$E$206,"&lt;="&amp;'Panel'!$N$5))</x:f>
      </x:c>
      <x:c r="S24" s="2" t="str">
        <x:f>IF(A24="","",COUNTIFS('Aksiyonlar'!$B$7:$B$206,A24,'Aksiyonlar'!$A$7:$A$206,"&lt;&gt;",'Aksiyonlar'!$G$7:$G$206,"&lt;&gt;Tamamlandı",'Aksiyonlar'!$E$7:$E$206,"&lt;="&amp;'Panel'!$N$5))</x:f>
      </x:c>
      <x:c r="T24" s="2" t="str">
        <x:f>IF(A24="","",COUNTIFS('Gorevler'!$B$7:$B$206,A24,'Gorevler'!$A$7:$A$206,"&lt;&gt;",'Gorevler'!$I$7:$I$206,"&lt;1",'Gorevler'!$G$7:$G$206,"&lt;"&amp;'Panel'!$N$5,'Gorevler'!$G$7:$G$206,"&gt;0"))</x:f>
      </x:c>
      <x:c r="U24" s="2" t="str">
        <x:f>IF(A24="","",COUNTIFS('Gorevler'!$B$7:$B$206,A24,'Gorevler'!$A$7:$A$206,"&lt;&gt;"))</x:f>
      </x:c>
      <x:c r="V24" s="2" t="str">
        <x:f>IF(A24="","",IF(NOT(ISNUMBER(F24)),"Eksik veri",IF(K24="Eksik bitiş","Eksik bitiş",IF(OR(K24&gt;0,F24&lt;-10),"Gecikiyor",IF(F24&lt;-5,"Dikkat","Planında")))))</x:f>
      </x:c>
      <x:c r="W24" s="14" t="str">
        <x:f>IF(A24="","",IF(COUNTIFS('Efor'!$B$7:$B$606,A24,'Efor'!$H$7:$H$606,"Eksik efor")&gt;0,"Eksik efor",SUMIFS('Efor'!$H$7:$H$606,'Efor'!$B$7:$B$606,A24,'Efor'!$A$7:$A$606,"&lt;="&amp;'Panel'!$N$5)))</x:f>
      </x:c>
      <x:c r="X24" s="14" t="str">
        <x:f>IF(A24="","",IF(COUNTIFS('Maliyetler'!$B$7:$B$206,A24,'Maliyetler'!$I$7:$I$206,"Eksik maliyet",'Maliyetler'!$E$7:$E$206,"Gerçekleşen")&gt;0,"Eksik maliyet",SUMIFS('Maliyetler'!$I$7:$I$206,'Maliyetler'!$B$7:$B$206,A24,'Maliyetler'!$E$7:$E$206,"Gerçekleşen",'Maliyetler'!$F$7:$F$206,"&lt;="&amp;'Panel'!$N$5)))</x:f>
      </x:c>
      <x:c r="Y24" s="14" t="str">
        <x:f>IF(A24="","",'Projeler'!I24)</x:f>
      </x:c>
      <x:c r="Z24" s="14" t="str">
        <x:f>IF(A24="","",IF(COUNTIFS('Maliyetler'!$B$7:$B$206,A24,'Maliyetler'!$I$7:$I$206,"Eksik maliyet",'Maliyetler'!$E$7:$E$206,"Kalan tahmin")&gt;0,"Eksik tahmin",SUMIFS('Maliyetler'!$I$7:$I$206,'Maliyetler'!$B$7:$B$206,A24,'Maliyetler'!$E$7:$E$206,"Kalan tahmin")))</x:f>
      </x:c>
      <x:c r="AA24" s="2" t="str">
        <x:f>IF(A24="","",SUMIFS('Gorevler'!$H$7:$H$206,'Gorevler'!$B$7:$B$206,A24))</x:f>
      </x:c>
      <x:c r="AB24" s="2" t="str">
        <x:f>IF(A24="","",SUMIFS('Gorevler'!$O$7:$O$206,'Gorevler'!$B$7:$B$206,A24))</x:f>
      </x:c>
      <x:c r="AC24" s="2" t="str">
        <x:f>IF(A24="","",SUMIFS('Gorevler'!$P$7:$P$206,'Gorevler'!$B$7:$B$206,A24))</x:f>
      </x:c>
      <x:c r="AD24" s="5" t="str">
        <x:f>IF(A24="","",IF(OR(U24=0,COUNTIFS('Gorevler'!$B$7:$B$206,A24,'Gorevler'!$Q$7:$Q$206,"Eksik bitiş")&gt;0),"Eksik bitiş",_xlfn.MAXIFS('Gorevler'!$J$7:$J$206,'Gorevler'!$B$7:$B$206,A24)))</x:f>
      </x:c>
      <x:c r="AE24" s="5" t="str">
        <x:f>IF(A24="","",IF('Projeler'!E24="","Eksik bitiş",'Projeler'!E24))</x:f>
      </x:c>
    </x:row>
    <x:row r="25" ht="28" customHeight="1">
      <x:c r="A25" s="2" t="str">
        <x:f>IF('Projeler'!A25="","",'Projeler'!A25)</x:f>
      </x:c>
      <x:c r="B25" s="2" t="str">
        <x:f>IF(A25="","",'Projeler'!B25)</x:f>
      </x:c>
      <x:c r="C25" s="2" t="str">
        <x:f>IF(A25="","",'Projeler'!C25)</x:f>
      </x:c>
      <x:c r="D25" s="16" t="str">
        <x:f>IF(A25="","",IF(OR(AA25=0,COUNTIFS('Gorevler'!$B$7:$B$206,A25,'Gorevler'!$O$7:$O$206,"Eksik ilerleme")&gt;0),"Eksik görev",AB25/AA25))</x:f>
      </x:c>
      <x:c r="E25" s="16" t="str">
        <x:f>IF(A25="","",IF(OR(AA25=0,COUNTIFS('Gorevler'!$B$7:$B$206,A25,'Gorevler'!$P$7:$P$206,"Eksik plan")&gt;0),"Eksik plan",AC25/AA25))</x:f>
      </x:c>
      <x:c r="F25" s="18" t="str">
        <x:f>IF(A25="","",IF(AND(ISNUMBER(D25),ISNUMBER(E25)),100*(D25-E25),"Eksik ilerleme"))</x:f>
      </x:c>
      <x:c r="G25" s="14" t="str">
        <x:f>IF(A25="","",IF(NOT(ISNUMBER('Projeler'!F25)),"Eksik bütçe",'Projeler'!F25))</x:f>
      </x:c>
      <x:c r="H25" s="14" t="str">
        <x:f>IF(A25="","",IF(AND(ISNUMBER(W25),ISNUMBER(X25)),W25+X25,"Eksik maliyet"))</x:f>
      </x:c>
      <x:c r="I25" s="14" t="str">
        <x:f>IF(A25="","",IF(AND(ISNUMBER(H25),ISNUMBER(Y25),ISNUMBER(Z25)),SUM(H25,Y25,Z25),"Eksik tahmin"))</x:f>
      </x:c>
      <x:c r="J25" s="14" t="str">
        <x:f>IF(A25="","",IF(AND(ISNUMBER(G25),ISNUMBER(I25)),G25-I25,"Eksik bütçe"))</x:f>
      </x:c>
      <x:c r="K25" s="2" t="str">
        <x:f>IF(A25="","",IF(AND(ISNUMBER(AD25),ISNUMBER(AE25)),MAX(0,AD25-AE25),"Eksik bitiş"))</x:f>
      </x:c>
      <x:c r="L25" s="2" t="str">
        <x:f>IF(A25="","",SUMIFS('Efor'!$F$7:$F$606,'Efor'!$B$7:$B$606,A25,'Efor'!$A$7:$A$606,"&lt;="&amp;'Panel'!$N$5))</x:f>
      </x:c>
      <x:c r="M25" s="2" t="str">
        <x:f>IF(A25="","",SUMIFS('Efor'!$I$7:$I$606,'Efor'!$B$7:$B$606,A25))</x:f>
      </x:c>
      <x:c r="N25" s="2" t="str">
        <x:f>IF(A25="","",SUMIFS('Efor'!$F$7:$F$606,'Efor'!$B$7:$B$606,A25,'Efor'!$A$7:$A$606,"&gt;="&amp;('Panel'!$N$5-WEEKDAY('Panel'!$N$5,2)+1),'Efor'!$A$7:$A$606,"&lt;="&amp;'Panel'!$N$5))</x:f>
      </x:c>
      <x:c r="O25" s="2" t="str">
        <x:f>IF(A25="","",SUMIFS('Efor'!$J$7:$J$606,'Efor'!$B$7:$B$606,A25))</x:f>
      </x:c>
      <x:c r="P25" s="2" t="str">
        <x:f>IF(A25="","",IF(COUNTIFS('Riskler'!$B$7:$B$126,A25,'Riskler'!$F$7:$F$126,"Eksik puan",'Riskler'!$K$7:$K$126,"&lt;&gt;Kapalı")&gt;0,"Eksik risk",COUNTIFS('Riskler'!$B$7:$B$126,A25,'Riskler'!$F$7:$F$126,"&gt;=10",'Riskler'!$K$7:$K$126,"&lt;&gt;Kapalı",'Riskler'!$L$7:$L$126,"&lt;="&amp;'Panel'!$N$5)))</x:f>
      </x:c>
      <x:c r="Q25" s="2" t="str">
        <x:f>IF(A25="","",COUNTIFS('Riskler'!$B$7:$B$126,A25,'Riskler'!$A$7:$A$126,"&lt;&gt;",'Riskler'!$K$7:$K$126,"&lt;&gt;Kapalı",'Riskler'!$L$7:$L$126,"&lt;="&amp;'Panel'!$N$5))</x:f>
      </x:c>
      <x:c r="R25" s="2" t="str">
        <x:f>IF(A25="","",COUNTIFS('Aksiyonlar'!$B$7:$B$206,A25,'Aksiyonlar'!$A$7:$A$206,"&lt;&gt;",'Aksiyonlar'!$G$7:$G$206,"&lt;&gt;Tamamlandı",'Aksiyonlar'!$F$7:$F$206,"&lt;"&amp;'Panel'!$N$5,'Aksiyonlar'!$F$7:$F$206,"&gt;0",'Aksiyonlar'!$E$7:$E$206,"&lt;="&amp;'Panel'!$N$5))</x:f>
      </x:c>
      <x:c r="S25" s="2" t="str">
        <x:f>IF(A25="","",COUNTIFS('Aksiyonlar'!$B$7:$B$206,A25,'Aksiyonlar'!$A$7:$A$206,"&lt;&gt;",'Aksiyonlar'!$G$7:$G$206,"&lt;&gt;Tamamlandı",'Aksiyonlar'!$E$7:$E$206,"&lt;="&amp;'Panel'!$N$5))</x:f>
      </x:c>
      <x:c r="T25" s="2" t="str">
        <x:f>IF(A25="","",COUNTIFS('Gorevler'!$B$7:$B$206,A25,'Gorevler'!$A$7:$A$206,"&lt;&gt;",'Gorevler'!$I$7:$I$206,"&lt;1",'Gorevler'!$G$7:$G$206,"&lt;"&amp;'Panel'!$N$5,'Gorevler'!$G$7:$G$206,"&gt;0"))</x:f>
      </x:c>
      <x:c r="U25" s="2" t="str">
        <x:f>IF(A25="","",COUNTIFS('Gorevler'!$B$7:$B$206,A25,'Gorevler'!$A$7:$A$206,"&lt;&gt;"))</x:f>
      </x:c>
      <x:c r="V25" s="2" t="str">
        <x:f>IF(A25="","",IF(NOT(ISNUMBER(F25)),"Eksik veri",IF(K25="Eksik bitiş","Eksik bitiş",IF(OR(K25&gt;0,F25&lt;-10),"Gecikiyor",IF(F25&lt;-5,"Dikkat","Planında")))))</x:f>
      </x:c>
      <x:c r="W25" s="14" t="str">
        <x:f>IF(A25="","",IF(COUNTIFS('Efor'!$B$7:$B$606,A25,'Efor'!$H$7:$H$606,"Eksik efor")&gt;0,"Eksik efor",SUMIFS('Efor'!$H$7:$H$606,'Efor'!$B$7:$B$606,A25,'Efor'!$A$7:$A$606,"&lt;="&amp;'Panel'!$N$5)))</x:f>
      </x:c>
      <x:c r="X25" s="14" t="str">
        <x:f>IF(A25="","",IF(COUNTIFS('Maliyetler'!$B$7:$B$206,A25,'Maliyetler'!$I$7:$I$206,"Eksik maliyet",'Maliyetler'!$E$7:$E$206,"Gerçekleşen")&gt;0,"Eksik maliyet",SUMIFS('Maliyetler'!$I$7:$I$206,'Maliyetler'!$B$7:$B$206,A25,'Maliyetler'!$E$7:$E$206,"Gerçekleşen",'Maliyetler'!$F$7:$F$206,"&lt;="&amp;'Panel'!$N$5)))</x:f>
      </x:c>
      <x:c r="Y25" s="14" t="str">
        <x:f>IF(A25="","",'Projeler'!I25)</x:f>
      </x:c>
      <x:c r="Z25" s="14" t="str">
        <x:f>IF(A25="","",IF(COUNTIFS('Maliyetler'!$B$7:$B$206,A25,'Maliyetler'!$I$7:$I$206,"Eksik maliyet",'Maliyetler'!$E$7:$E$206,"Kalan tahmin")&gt;0,"Eksik tahmin",SUMIFS('Maliyetler'!$I$7:$I$206,'Maliyetler'!$B$7:$B$206,A25,'Maliyetler'!$E$7:$E$206,"Kalan tahmin")))</x:f>
      </x:c>
      <x:c r="AA25" s="2" t="str">
        <x:f>IF(A25="","",SUMIFS('Gorevler'!$H$7:$H$206,'Gorevler'!$B$7:$B$206,A25))</x:f>
      </x:c>
      <x:c r="AB25" s="2" t="str">
        <x:f>IF(A25="","",SUMIFS('Gorevler'!$O$7:$O$206,'Gorevler'!$B$7:$B$206,A25))</x:f>
      </x:c>
      <x:c r="AC25" s="2" t="str">
        <x:f>IF(A25="","",SUMIFS('Gorevler'!$P$7:$P$206,'Gorevler'!$B$7:$B$206,A25))</x:f>
      </x:c>
      <x:c r="AD25" s="5" t="str">
        <x:f>IF(A25="","",IF(OR(U25=0,COUNTIFS('Gorevler'!$B$7:$B$206,A25,'Gorevler'!$Q$7:$Q$206,"Eksik bitiş")&gt;0),"Eksik bitiş",_xlfn.MAXIFS('Gorevler'!$J$7:$J$206,'Gorevler'!$B$7:$B$206,A25)))</x:f>
      </x:c>
      <x:c r="AE25" s="5" t="str">
        <x:f>IF(A25="","",IF('Projeler'!E25="","Eksik bitiş",'Projeler'!E25))</x:f>
      </x:c>
    </x:row>
    <x:row r="26" ht="28" customHeight="1">
      <x:c r="A26" s="2" t="str">
        <x:f>IF('Projeler'!A26="","",'Projeler'!A26)</x:f>
      </x:c>
      <x:c r="B26" s="2" t="str">
        <x:f>IF(A26="","",'Projeler'!B26)</x:f>
      </x:c>
      <x:c r="C26" s="2" t="str">
        <x:f>IF(A26="","",'Projeler'!C26)</x:f>
      </x:c>
      <x:c r="D26" s="16" t="str">
        <x:f>IF(A26="","",IF(OR(AA26=0,COUNTIFS('Gorevler'!$B$7:$B$206,A26,'Gorevler'!$O$7:$O$206,"Eksik ilerleme")&gt;0),"Eksik görev",AB26/AA26))</x:f>
      </x:c>
      <x:c r="E26" s="16" t="str">
        <x:f>IF(A26="","",IF(OR(AA26=0,COUNTIFS('Gorevler'!$B$7:$B$206,A26,'Gorevler'!$P$7:$P$206,"Eksik plan")&gt;0),"Eksik plan",AC26/AA26))</x:f>
      </x:c>
      <x:c r="F26" s="18" t="str">
        <x:f>IF(A26="","",IF(AND(ISNUMBER(D26),ISNUMBER(E26)),100*(D26-E26),"Eksik ilerleme"))</x:f>
      </x:c>
      <x:c r="G26" s="14" t="str">
        <x:f>IF(A26="","",IF(NOT(ISNUMBER('Projeler'!F26)),"Eksik bütçe",'Projeler'!F26))</x:f>
      </x:c>
      <x:c r="H26" s="14" t="str">
        <x:f>IF(A26="","",IF(AND(ISNUMBER(W26),ISNUMBER(X26)),W26+X26,"Eksik maliyet"))</x:f>
      </x:c>
      <x:c r="I26" s="14" t="str">
        <x:f>IF(A26="","",IF(AND(ISNUMBER(H26),ISNUMBER(Y26),ISNUMBER(Z26)),SUM(H26,Y26,Z26),"Eksik tahmin"))</x:f>
      </x:c>
      <x:c r="J26" s="14" t="str">
        <x:f>IF(A26="","",IF(AND(ISNUMBER(G26),ISNUMBER(I26)),G26-I26,"Eksik bütçe"))</x:f>
      </x:c>
      <x:c r="K26" s="2" t="str">
        <x:f>IF(A26="","",IF(AND(ISNUMBER(AD26),ISNUMBER(AE26)),MAX(0,AD26-AE26),"Eksik bitiş"))</x:f>
      </x:c>
      <x:c r="L26" s="2" t="str">
        <x:f>IF(A26="","",SUMIFS('Efor'!$F$7:$F$606,'Efor'!$B$7:$B$606,A26,'Efor'!$A$7:$A$606,"&lt;="&amp;'Panel'!$N$5))</x:f>
      </x:c>
      <x:c r="M26" s="2" t="str">
        <x:f>IF(A26="","",SUMIFS('Efor'!$I$7:$I$606,'Efor'!$B$7:$B$606,A26))</x:f>
      </x:c>
      <x:c r="N26" s="2" t="str">
        <x:f>IF(A26="","",SUMIFS('Efor'!$F$7:$F$606,'Efor'!$B$7:$B$606,A26,'Efor'!$A$7:$A$606,"&gt;="&amp;('Panel'!$N$5-WEEKDAY('Panel'!$N$5,2)+1),'Efor'!$A$7:$A$606,"&lt;="&amp;'Panel'!$N$5))</x:f>
      </x:c>
      <x:c r="O26" s="2" t="str">
        <x:f>IF(A26="","",SUMIFS('Efor'!$J$7:$J$606,'Efor'!$B$7:$B$606,A26))</x:f>
      </x:c>
      <x:c r="P26" s="2" t="str">
        <x:f>IF(A26="","",IF(COUNTIFS('Riskler'!$B$7:$B$126,A26,'Riskler'!$F$7:$F$126,"Eksik puan",'Riskler'!$K$7:$K$126,"&lt;&gt;Kapalı")&gt;0,"Eksik risk",COUNTIFS('Riskler'!$B$7:$B$126,A26,'Riskler'!$F$7:$F$126,"&gt;=10",'Riskler'!$K$7:$K$126,"&lt;&gt;Kapalı",'Riskler'!$L$7:$L$126,"&lt;="&amp;'Panel'!$N$5)))</x:f>
      </x:c>
      <x:c r="Q26" s="2" t="str">
        <x:f>IF(A26="","",COUNTIFS('Riskler'!$B$7:$B$126,A26,'Riskler'!$A$7:$A$126,"&lt;&gt;",'Riskler'!$K$7:$K$126,"&lt;&gt;Kapalı",'Riskler'!$L$7:$L$126,"&lt;="&amp;'Panel'!$N$5))</x:f>
      </x:c>
      <x:c r="R26" s="2" t="str">
        <x:f>IF(A26="","",COUNTIFS('Aksiyonlar'!$B$7:$B$206,A26,'Aksiyonlar'!$A$7:$A$206,"&lt;&gt;",'Aksiyonlar'!$G$7:$G$206,"&lt;&gt;Tamamlandı",'Aksiyonlar'!$F$7:$F$206,"&lt;"&amp;'Panel'!$N$5,'Aksiyonlar'!$F$7:$F$206,"&gt;0",'Aksiyonlar'!$E$7:$E$206,"&lt;="&amp;'Panel'!$N$5))</x:f>
      </x:c>
      <x:c r="S26" s="2" t="str">
        <x:f>IF(A26="","",COUNTIFS('Aksiyonlar'!$B$7:$B$206,A26,'Aksiyonlar'!$A$7:$A$206,"&lt;&gt;",'Aksiyonlar'!$G$7:$G$206,"&lt;&gt;Tamamlandı",'Aksiyonlar'!$E$7:$E$206,"&lt;="&amp;'Panel'!$N$5))</x:f>
      </x:c>
      <x:c r="T26" s="2" t="str">
        <x:f>IF(A26="","",COUNTIFS('Gorevler'!$B$7:$B$206,A26,'Gorevler'!$A$7:$A$206,"&lt;&gt;",'Gorevler'!$I$7:$I$206,"&lt;1",'Gorevler'!$G$7:$G$206,"&lt;"&amp;'Panel'!$N$5,'Gorevler'!$G$7:$G$206,"&gt;0"))</x:f>
      </x:c>
      <x:c r="U26" s="2" t="str">
        <x:f>IF(A26="","",COUNTIFS('Gorevler'!$B$7:$B$206,A26,'Gorevler'!$A$7:$A$206,"&lt;&gt;"))</x:f>
      </x:c>
      <x:c r="V26" s="2" t="str">
        <x:f>IF(A26="","",IF(NOT(ISNUMBER(F26)),"Eksik veri",IF(K26="Eksik bitiş","Eksik bitiş",IF(OR(K26&gt;0,F26&lt;-10),"Gecikiyor",IF(F26&lt;-5,"Dikkat","Planında")))))</x:f>
      </x:c>
      <x:c r="W26" s="14" t="str">
        <x:f>IF(A26="","",IF(COUNTIFS('Efor'!$B$7:$B$606,A26,'Efor'!$H$7:$H$606,"Eksik efor")&gt;0,"Eksik efor",SUMIFS('Efor'!$H$7:$H$606,'Efor'!$B$7:$B$606,A26,'Efor'!$A$7:$A$606,"&lt;="&amp;'Panel'!$N$5)))</x:f>
      </x:c>
      <x:c r="X26" s="14" t="str">
        <x:f>IF(A26="","",IF(COUNTIFS('Maliyetler'!$B$7:$B$206,A26,'Maliyetler'!$I$7:$I$206,"Eksik maliyet",'Maliyetler'!$E$7:$E$206,"Gerçekleşen")&gt;0,"Eksik maliyet",SUMIFS('Maliyetler'!$I$7:$I$206,'Maliyetler'!$B$7:$B$206,A26,'Maliyetler'!$E$7:$E$206,"Gerçekleşen",'Maliyetler'!$F$7:$F$206,"&lt;="&amp;'Panel'!$N$5)))</x:f>
      </x:c>
      <x:c r="Y26" s="14" t="str">
        <x:f>IF(A26="","",'Projeler'!I26)</x:f>
      </x:c>
      <x:c r="Z26" s="14" t="str">
        <x:f>IF(A26="","",IF(COUNTIFS('Maliyetler'!$B$7:$B$206,A26,'Maliyetler'!$I$7:$I$206,"Eksik maliyet",'Maliyetler'!$E$7:$E$206,"Kalan tahmin")&gt;0,"Eksik tahmin",SUMIFS('Maliyetler'!$I$7:$I$206,'Maliyetler'!$B$7:$B$206,A26,'Maliyetler'!$E$7:$E$206,"Kalan tahmin")))</x:f>
      </x:c>
      <x:c r="AA26" s="2" t="str">
        <x:f>IF(A26="","",SUMIFS('Gorevler'!$H$7:$H$206,'Gorevler'!$B$7:$B$206,A26))</x:f>
      </x:c>
      <x:c r="AB26" s="2" t="str">
        <x:f>IF(A26="","",SUMIFS('Gorevler'!$O$7:$O$206,'Gorevler'!$B$7:$B$206,A26))</x:f>
      </x:c>
      <x:c r="AC26" s="2" t="str">
        <x:f>IF(A26="","",SUMIFS('Gorevler'!$P$7:$P$206,'Gorevler'!$B$7:$B$206,A26))</x:f>
      </x:c>
      <x:c r="AD26" s="5" t="str">
        <x:f>IF(A26="","",IF(OR(U26=0,COUNTIFS('Gorevler'!$B$7:$B$206,A26,'Gorevler'!$Q$7:$Q$206,"Eksik bitiş")&gt;0),"Eksik bitiş",_xlfn.MAXIFS('Gorevler'!$J$7:$J$206,'Gorevler'!$B$7:$B$206,A26)))</x:f>
      </x:c>
      <x:c r="AE26" s="5" t="str">
        <x:f>IF(A26="","",IF('Projeler'!E26="","Eksik bitiş",'Projeler'!E26))</x:f>
      </x:c>
    </x:row>
    <x:row r="27" ht="22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</x:row>
  </x:sheetData>
  <x:conditionalFormatting sqref="F7:F26">
    <x:cfRule type="cellIs" dxfId="10" priority="1" operator="lessThan">
      <x:formula>-5</x:formula>
    </x:cfRule>
  </x:conditionalFormatting>
  <x:conditionalFormatting sqref="J7:J26">
    <x:cfRule type="cellIs" dxfId="11" priority="2" operator="lessThan">
      <x:formula>0</x:formula>
    </x:cfRule>
  </x:conditionalFormatting>
  <x:conditionalFormatting sqref="V7:V26">
    <x:cfRule type="expression" dxfId="12" priority="3">
      <x:formula>V7="Gecikiyor"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3" hidden="0" customWidth="1"/>
    <x:col min="2" max="2" width="6" hidden="0" customWidth="1"/>
    <x:col min="3" max="3" width="13" hidden="0" customWidth="1"/>
    <x:col min="4" max="4" width="34" hidden="0" customWidth="1"/>
    <x:col min="5" max="5" width="23" hidden="0" customWidth="1"/>
    <x:col min="6" max="6" width="10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7" hidden="0" customWidth="1"/>
    <x:col min="13" max="13" width="7" hidden="0" customWidth="1"/>
    <x:col min="14" max="14" width="7" hidden="0" customWidth="1"/>
    <x:col min="15" max="15" width="7" hidden="0" customWidth="1"/>
    <x:col min="16" max="16" width="7" hidden="0" customWidth="1"/>
    <x:col min="17" max="17" width="7" hidden="0" customWidth="1"/>
    <x:col min="18" max="18" width="7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  <x:col min="27" max="27" width="7" hidden="0" customWidth="1"/>
    <x:col min="28" max="28" width="7" hidden="0" customWidth="1"/>
    <x:col min="29" max="29" width="7" hidden="0" customWidth="1"/>
    <x:col min="30" max="30" width="7" hidden="0" customWidth="1"/>
    <x:col min="31" max="31" width="7" hidden="0" customWidth="1"/>
    <x:col min="32" max="32" width="7" hidden="0" customWidth="1"/>
    <x:col min="33" max="33" width="7" hidden="0" customWidth="1"/>
    <x:col min="34" max="34" width="7" hidden="0" customWidth="1"/>
    <x:col min="35" max="35" width="7" hidden="0" customWidth="1"/>
    <x:col min="36" max="36" width="7" hidden="0" customWidth="1"/>
    <x:col min="37" max="37" width="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</x:row>
    <x:row r="2" ht="32" customHeight="1">
      <x:c r="A2" s="2"/>
      <x:c r="B2" s="3" t="str">
        <x:v>Haftalık proje takvimi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</x:row>
    <x:row r="3" ht="22" customHeight="1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</x:row>
    <x:row r="4" ht="22" customHeight="1">
      <x:c r="A4" s="2"/>
      <x:c r="B4" s="2" t="str">
        <x:v>Seçili proje</x:v>
      </x:c>
      <x:c r="C4" s="2"/>
      <x:c r="D4" s="2" t="str">
        <x:f>'Panel'!C5</x:f>
        <x:v>PRJ-001</x:v>
      </x:c>
      <x:c r="E4" s="2"/>
      <x:c r="F4" s="2" t="str">
        <x:v>İlk hafta</x:v>
      </x:c>
      <x:c r="G4" s="2"/>
      <x:c r="H4" s="5" t="n">
        <x:f>INDEX('Projeler'!$D$7:$D$26,MATCH('Panel'!$C$5,'Projeler'!$A$7:$A$26,0))-WEEKDAY(INDEX('Projeler'!$D$7:$D$26,MATCH('Panel'!$C$5,'Projeler'!$A$7:$A$26,0)),2)+1</x:f>
        <x:v>46272</x:v>
      </x:c>
      <x:c r="I4" s="2"/>
      <x:c r="J4" s="2"/>
      <x:c r="K4" s="2"/>
      <x:c r="L4" s="34" t="str">
        <x:v>Mavi: plan</x:v>
      </x:c>
      <x:c r="M4" s="2"/>
      <x:c r="N4" s="2"/>
      <x:c r="O4" s="2"/>
      <x:c r="P4" s="35" t="str">
        <x:v>Yeşil: ilerleme</x:v>
      </x:c>
      <x:c r="Q4" s="2"/>
      <x:c r="R4" s="2"/>
      <x:c r="S4" s="2"/>
      <x:c r="T4" s="2"/>
      <x:c r="U4" s="36" t="str">
        <x:v>Kırmızı: bitiş sapması</x:v>
      </x:c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 t="str">
        <x:v>Hafta (gün/ay)</x:v>
      </x:c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</x:row>
    <x:row r="6" ht="34" customHeight="1">
      <x:c r="A6" s="2"/>
      <x:c r="B6" s="12" t="str">
        <x:v>Sıra</x:v>
      </x:c>
      <x:c r="C6" s="12" t="str">
        <x:v>Görev ID</x:v>
      </x:c>
      <x:c r="D6" s="12" t="str">
        <x:v>Görev / iş paketi</x:v>
      </x:c>
      <x:c r="E6" s="12" t="str">
        <x:v>Sorumlu</x:v>
      </x:c>
      <x:c r="F6" s="12" t="str">
        <x:v>Kritik</x:v>
      </x:c>
      <x:c r="G6" s="12" t="str">
        <x:v>Plan baş.</x:v>
      </x:c>
      <x:c r="H6" s="12" t="str">
        <x:v>Plan bit.</x:v>
      </x:c>
      <x:c r="I6" s="12" t="str">
        <x:v>Tamamlanma</x:v>
      </x:c>
      <x:c r="J6" s="12" t="str">
        <x:v>Güncel bitiş</x:v>
      </x:c>
      <x:c r="K6" s="2"/>
      <x:c r="L6" s="42" t="n">
        <x:f>$H$4+0</x:f>
        <x:v>46272</x:v>
      </x:c>
      <x:c r="M6" s="42" t="n">
        <x:f>$H$4+7</x:f>
        <x:v>46279</x:v>
      </x:c>
      <x:c r="N6" s="42" t="n">
        <x:f>$H$4+14</x:f>
        <x:v>46286</x:v>
      </x:c>
      <x:c r="O6" s="42" t="n">
        <x:f>$H$4+21</x:f>
        <x:v>46293</x:v>
      </x:c>
      <x:c r="P6" s="42" t="n">
        <x:f>$H$4+28</x:f>
        <x:v>46300</x:v>
      </x:c>
      <x:c r="Q6" s="42" t="n">
        <x:f>$H$4+35</x:f>
        <x:v>46307</x:v>
      </x:c>
      <x:c r="R6" s="42" t="n">
        <x:f>$H$4+42</x:f>
        <x:v>46314</x:v>
      </x:c>
      <x:c r="S6" s="42" t="n">
        <x:f>$H$4+49</x:f>
        <x:v>46321</x:v>
      </x:c>
      <x:c r="T6" s="42" t="n">
        <x:f>$H$4+56</x:f>
        <x:v>46328</x:v>
      </x:c>
      <x:c r="U6" s="42" t="n">
        <x:f>$H$4+63</x:f>
        <x:v>46335</x:v>
      </x:c>
      <x:c r="V6" s="42" t="n">
        <x:f>$H$4+70</x:f>
        <x:v>46342</x:v>
      </x:c>
      <x:c r="W6" s="42" t="n">
        <x:f>$H$4+77</x:f>
        <x:v>46349</x:v>
      </x:c>
      <x:c r="X6" s="42" t="n">
        <x:f>$H$4+84</x:f>
        <x:v>46356</x:v>
      </x:c>
      <x:c r="Y6" s="42" t="n">
        <x:f>$H$4+91</x:f>
        <x:v>46363</x:v>
      </x:c>
      <x:c r="Z6" s="42" t="n">
        <x:f>$H$4+98</x:f>
        <x:v>46370</x:v>
      </x:c>
      <x:c r="AA6" s="42" t="n">
        <x:f>$H$4+105</x:f>
        <x:v>46377</x:v>
      </x:c>
      <x:c r="AB6" s="42" t="n">
        <x:f>$H$4+112</x:f>
        <x:v>46384</x:v>
      </x:c>
      <x:c r="AC6" s="42" t="n">
        <x:f>$H$4+119</x:f>
        <x:v>46391</x:v>
      </x:c>
      <x:c r="AD6" s="42" t="n">
        <x:f>$H$4+126</x:f>
        <x:v>46398</x:v>
      </x:c>
      <x:c r="AE6" s="42" t="n">
        <x:f>$H$4+133</x:f>
        <x:v>46405</x:v>
      </x:c>
      <x:c r="AF6" s="42" t="n">
        <x:f>$H$4+140</x:f>
        <x:v>46412</x:v>
      </x:c>
      <x:c r="AG6" s="42" t="n">
        <x:f>$H$4+147</x:f>
        <x:v>46419</x:v>
      </x:c>
      <x:c r="AH6" s="42" t="n">
        <x:f>$H$4+154</x:f>
        <x:v>46426</x:v>
      </x:c>
      <x:c r="AI6" s="42" t="n">
        <x:f>$H$4+161</x:f>
        <x:v>46433</x:v>
      </x:c>
      <x:c r="AJ6" s="42" t="n">
        <x:f>$H$4+168</x:f>
        <x:v>46440</x:v>
      </x:c>
      <x:c r="AK6" s="42" t="n">
        <x:f>$H$4+175</x:f>
        <x:v>46447</x:v>
      </x:c>
    </x:row>
    <x:row r="7" ht="22" customHeight="1">
      <x:c r="A7" s="2"/>
      <x:c r="B7" s="2" t="n">
        <x:v>1</x:v>
      </x:c>
      <x:c r="C7" s="2" t="str">
        <x:f>IF($B7&gt;INDEX('Portfoy'!$U$7:$U$26,MATCH('Panel'!$C$5,'Portfoy'!$A$7:$A$26,0)),"",INDEX('Gorevler'!$A$7:$A$206,MATCH($B7,'Gorevler'!$S$7:$S$206,0)))</x:f>
        <x:v>G1-01</x:v>
      </x:c>
      <x:c r="D7" s="2" t="str">
        <x:f>IF($B7&gt;INDEX('Portfoy'!$U$7:$U$26,MATCH('Panel'!$C$5,'Portfoy'!$A$7:$A$26,0)),"",INDEX('Gorevler'!$C$7:$C$206,MATCH($B7,'Gorevler'!$S$7:$S$206,0)))</x:f>
        <x:v>Kapsam ve keşif</x:v>
      </x:c>
      <x:c r="E7" s="2" t="str">
        <x:f>IF($B7&gt;INDEX('Portfoy'!$U$7:$U$26,MATCH('Panel'!$C$5,'Portfoy'!$A$7:$A$26,0)),"",INDEX('Gorevler'!$D$7:$D$206,MATCH($B7,'Gorevler'!$S$7:$S$206,0)))</x:f>
        <x:v>Ayşe Yılmaz</x:v>
      </x:c>
      <x:c r="F7" s="2" t="str">
        <x:f>IF($B7&gt;INDEX('Portfoy'!$U$7:$U$26,MATCH('Panel'!$C$5,'Portfoy'!$A$7:$A$26,0)),"",INDEX('Gorevler'!$K$7:$K$206,MATCH($B7,'Gorevler'!$S$7:$S$206,0)))</x:f>
        <x:v>Hayır</x:v>
      </x:c>
      <x:c r="G7" s="5" t="n">
        <x:f>IF($B7&gt;INDEX('Portfoy'!$U$7:$U$26,MATCH('Panel'!$C$5,'Portfoy'!$A$7:$A$26,0)),"",INDEX('Gorevler'!$F$7:$F$206,MATCH($B7,'Gorevler'!$S$7:$S$206,0)))</x:f>
        <x:v>46272</x:v>
      </x:c>
      <x:c r="H7" s="5" t="n">
        <x:f>IF($B7&gt;INDEX('Portfoy'!$U$7:$U$26,MATCH('Panel'!$C$5,'Portfoy'!$A$7:$A$26,0)),"",INDEX('Gorevler'!$G$7:$G$206,MATCH($B7,'Gorevler'!$S$7:$S$206,0)))</x:f>
        <x:v>46276</x:v>
      </x:c>
      <x:c r="I7" s="37" t="n">
        <x:f>IF($B7&gt;INDEX('Portfoy'!$U$7:$U$26,MATCH('Panel'!$C$5,'Portfoy'!$A$7:$A$26,0)),"",INDEX('Gorevler'!$I$7:$I$206,MATCH($B7,'Gorevler'!$S$7:$S$206,0)))</x:f>
        <x:v>1</x:v>
      </x:c>
      <x:c r="J7" s="5" t="n">
        <x:f>IF($B7&gt;INDEX('Portfoy'!$U$7:$U$26,MATCH('Panel'!$C$5,'Portfoy'!$A$7:$A$26,0)),"",INDEX('Gorevler'!$J$7:$J$206,MATCH($B7,'Gorevler'!$S$7:$S$206,0)))</x:f>
        <x:v>46276</x:v>
      </x:c>
      <x:c r="K7" s="2"/>
      <x:c r="L7" s="43" t="n">
        <x:f>IF($C7="","",IF(AND($I7&lt;1,L$6&lt;=$J7,L$6+6&gt;$H7,$J7&gt;$H7),3,IF(AND($I7&gt;0,L$6&lt;=$G7+($H7-$G7+1)*$I7-1,L$6+6&gt;=$G7),2,IF(AND(L$6&lt;=$H7,L$6+6&gt;=$G7),1,0))))</x:f>
        <x:v>2</x:v>
      </x:c>
      <x:c r="M7" s="43" t="n">
        <x:f>IF($C7="","",IF(AND($I7&lt;1,M$6&lt;=$J7,M$6+6&gt;$H7,$J7&gt;$H7),3,IF(AND($I7&gt;0,M$6&lt;=$G7+($H7-$G7+1)*$I7-1,M$6+6&gt;=$G7),2,IF(AND(M$6&lt;=$H7,M$6+6&gt;=$G7),1,0))))</x:f>
        <x:v>0</x:v>
      </x:c>
      <x:c r="N7" s="43" t="n">
        <x:f>IF($C7="","",IF(AND($I7&lt;1,N$6&lt;=$J7,N$6+6&gt;$H7,$J7&gt;$H7),3,IF(AND($I7&gt;0,N$6&lt;=$G7+($H7-$G7+1)*$I7-1,N$6+6&gt;=$G7),2,IF(AND(N$6&lt;=$H7,N$6+6&gt;=$G7),1,0))))</x:f>
        <x:v>0</x:v>
      </x:c>
      <x:c r="O7" s="43" t="n">
        <x:f>IF($C7="","",IF(AND($I7&lt;1,O$6&lt;=$J7,O$6+6&gt;$H7,$J7&gt;$H7),3,IF(AND($I7&gt;0,O$6&lt;=$G7+($H7-$G7+1)*$I7-1,O$6+6&gt;=$G7),2,IF(AND(O$6&lt;=$H7,O$6+6&gt;=$G7),1,0))))</x:f>
        <x:v>0</x:v>
      </x:c>
      <x:c r="P7" s="43" t="n">
        <x:f>IF($C7="","",IF(AND($I7&lt;1,P$6&lt;=$J7,P$6+6&gt;$H7,$J7&gt;$H7),3,IF(AND($I7&gt;0,P$6&lt;=$G7+($H7-$G7+1)*$I7-1,P$6+6&gt;=$G7),2,IF(AND(P$6&lt;=$H7,P$6+6&gt;=$G7),1,0))))</x:f>
        <x:v>0</x:v>
      </x:c>
      <x:c r="Q7" s="43" t="n">
        <x:f>IF($C7="","",IF(AND($I7&lt;1,Q$6&lt;=$J7,Q$6+6&gt;$H7,$J7&gt;$H7),3,IF(AND($I7&gt;0,Q$6&lt;=$G7+($H7-$G7+1)*$I7-1,Q$6+6&gt;=$G7),2,IF(AND(Q$6&lt;=$H7,Q$6+6&gt;=$G7),1,0))))</x:f>
        <x:v>0</x:v>
      </x:c>
      <x:c r="R7" s="43" t="n">
        <x:f>IF($C7="","",IF(AND($I7&lt;1,R$6&lt;=$J7,R$6+6&gt;$H7,$J7&gt;$H7),3,IF(AND($I7&gt;0,R$6&lt;=$G7+($H7-$G7+1)*$I7-1,R$6+6&gt;=$G7),2,IF(AND(R$6&lt;=$H7,R$6+6&gt;=$G7),1,0))))</x:f>
        <x:v>0</x:v>
      </x:c>
      <x:c r="S7" s="43" t="n">
        <x:f>IF($C7="","",IF(AND($I7&lt;1,S$6&lt;=$J7,S$6+6&gt;$H7,$J7&gt;$H7),3,IF(AND($I7&gt;0,S$6&lt;=$G7+($H7-$G7+1)*$I7-1,S$6+6&gt;=$G7),2,IF(AND(S$6&lt;=$H7,S$6+6&gt;=$G7),1,0))))</x:f>
        <x:v>0</x:v>
      </x:c>
      <x:c r="T7" s="43" t="n">
        <x:f>IF($C7="","",IF(AND($I7&lt;1,T$6&lt;=$J7,T$6+6&gt;$H7,$J7&gt;$H7),3,IF(AND($I7&gt;0,T$6&lt;=$G7+($H7-$G7+1)*$I7-1,T$6+6&gt;=$G7),2,IF(AND(T$6&lt;=$H7,T$6+6&gt;=$G7),1,0))))</x:f>
        <x:v>0</x:v>
      </x:c>
      <x:c r="U7" s="43" t="n">
        <x:f>IF($C7="","",IF(AND($I7&lt;1,U$6&lt;=$J7,U$6+6&gt;$H7,$J7&gt;$H7),3,IF(AND($I7&gt;0,U$6&lt;=$G7+($H7-$G7+1)*$I7-1,U$6+6&gt;=$G7),2,IF(AND(U$6&lt;=$H7,U$6+6&gt;=$G7),1,0))))</x:f>
        <x:v>0</x:v>
      </x:c>
      <x:c r="V7" s="43" t="n">
        <x:f>IF($C7="","",IF(AND($I7&lt;1,V$6&lt;=$J7,V$6+6&gt;$H7,$J7&gt;$H7),3,IF(AND($I7&gt;0,V$6&lt;=$G7+($H7-$G7+1)*$I7-1,V$6+6&gt;=$G7),2,IF(AND(V$6&lt;=$H7,V$6+6&gt;=$G7),1,0))))</x:f>
        <x:v>0</x:v>
      </x:c>
      <x:c r="W7" s="43" t="n">
        <x:f>IF($C7="","",IF(AND($I7&lt;1,W$6&lt;=$J7,W$6+6&gt;$H7,$J7&gt;$H7),3,IF(AND($I7&gt;0,W$6&lt;=$G7+($H7-$G7+1)*$I7-1,W$6+6&gt;=$G7),2,IF(AND(W$6&lt;=$H7,W$6+6&gt;=$G7),1,0))))</x:f>
        <x:v>0</x:v>
      </x:c>
      <x:c r="X7" s="43" t="n">
        <x:f>IF($C7="","",IF(AND($I7&lt;1,X$6&lt;=$J7,X$6+6&gt;$H7,$J7&gt;$H7),3,IF(AND($I7&gt;0,X$6&lt;=$G7+($H7-$G7+1)*$I7-1,X$6+6&gt;=$G7),2,IF(AND(X$6&lt;=$H7,X$6+6&gt;=$G7),1,0))))</x:f>
        <x:v>0</x:v>
      </x:c>
      <x:c r="Y7" s="43" t="n">
        <x:f>IF($C7="","",IF(AND($I7&lt;1,Y$6&lt;=$J7,Y$6+6&gt;$H7,$J7&gt;$H7),3,IF(AND($I7&gt;0,Y$6&lt;=$G7+($H7-$G7+1)*$I7-1,Y$6+6&gt;=$G7),2,IF(AND(Y$6&lt;=$H7,Y$6+6&gt;=$G7),1,0))))</x:f>
        <x:v>0</x:v>
      </x:c>
      <x:c r="Z7" s="43" t="n">
        <x:f>IF($C7="","",IF(AND($I7&lt;1,Z$6&lt;=$J7,Z$6+6&gt;$H7,$J7&gt;$H7),3,IF(AND($I7&gt;0,Z$6&lt;=$G7+($H7-$G7+1)*$I7-1,Z$6+6&gt;=$G7),2,IF(AND(Z$6&lt;=$H7,Z$6+6&gt;=$G7),1,0))))</x:f>
        <x:v>0</x:v>
      </x:c>
      <x:c r="AA7" s="43" t="n">
        <x:f>IF($C7="","",IF(AND($I7&lt;1,AA$6&lt;=$J7,AA$6+6&gt;$H7,$J7&gt;$H7),3,IF(AND($I7&gt;0,AA$6&lt;=$G7+($H7-$G7+1)*$I7-1,AA$6+6&gt;=$G7),2,IF(AND(AA$6&lt;=$H7,AA$6+6&gt;=$G7),1,0))))</x:f>
        <x:v>0</x:v>
      </x:c>
      <x:c r="AB7" s="43" t="n">
        <x:f>IF($C7="","",IF(AND($I7&lt;1,AB$6&lt;=$J7,AB$6+6&gt;$H7,$J7&gt;$H7),3,IF(AND($I7&gt;0,AB$6&lt;=$G7+($H7-$G7+1)*$I7-1,AB$6+6&gt;=$G7),2,IF(AND(AB$6&lt;=$H7,AB$6+6&gt;=$G7),1,0))))</x:f>
        <x:v>0</x:v>
      </x:c>
      <x:c r="AC7" s="43" t="n">
        <x:f>IF($C7="","",IF(AND($I7&lt;1,AC$6&lt;=$J7,AC$6+6&gt;$H7,$J7&gt;$H7),3,IF(AND($I7&gt;0,AC$6&lt;=$G7+($H7-$G7+1)*$I7-1,AC$6+6&gt;=$G7),2,IF(AND(AC$6&lt;=$H7,AC$6+6&gt;=$G7),1,0))))</x:f>
        <x:v>0</x:v>
      </x:c>
      <x:c r="AD7" s="43" t="n">
        <x:f>IF($C7="","",IF(AND($I7&lt;1,AD$6&lt;=$J7,AD$6+6&gt;$H7,$J7&gt;$H7),3,IF(AND($I7&gt;0,AD$6&lt;=$G7+($H7-$G7+1)*$I7-1,AD$6+6&gt;=$G7),2,IF(AND(AD$6&lt;=$H7,AD$6+6&gt;=$G7),1,0))))</x:f>
        <x:v>0</x:v>
      </x:c>
      <x:c r="AE7" s="43" t="n">
        <x:f>IF($C7="","",IF(AND($I7&lt;1,AE$6&lt;=$J7,AE$6+6&gt;$H7,$J7&gt;$H7),3,IF(AND($I7&gt;0,AE$6&lt;=$G7+($H7-$G7+1)*$I7-1,AE$6+6&gt;=$G7),2,IF(AND(AE$6&lt;=$H7,AE$6+6&gt;=$G7),1,0))))</x:f>
        <x:v>0</x:v>
      </x:c>
      <x:c r="AF7" s="43" t="n">
        <x:f>IF($C7="","",IF(AND($I7&lt;1,AF$6&lt;=$J7,AF$6+6&gt;$H7,$J7&gt;$H7),3,IF(AND($I7&gt;0,AF$6&lt;=$G7+($H7-$G7+1)*$I7-1,AF$6+6&gt;=$G7),2,IF(AND(AF$6&lt;=$H7,AF$6+6&gt;=$G7),1,0))))</x:f>
        <x:v>0</x:v>
      </x:c>
      <x:c r="AG7" s="43" t="n">
        <x:f>IF($C7="","",IF(AND($I7&lt;1,AG$6&lt;=$J7,AG$6+6&gt;$H7,$J7&gt;$H7),3,IF(AND($I7&gt;0,AG$6&lt;=$G7+($H7-$G7+1)*$I7-1,AG$6+6&gt;=$G7),2,IF(AND(AG$6&lt;=$H7,AG$6+6&gt;=$G7),1,0))))</x:f>
        <x:v>0</x:v>
      </x:c>
      <x:c r="AH7" s="43" t="n">
        <x:f>IF($C7="","",IF(AND($I7&lt;1,AH$6&lt;=$J7,AH$6+6&gt;$H7,$J7&gt;$H7),3,IF(AND($I7&gt;0,AH$6&lt;=$G7+($H7-$G7+1)*$I7-1,AH$6+6&gt;=$G7),2,IF(AND(AH$6&lt;=$H7,AH$6+6&gt;=$G7),1,0))))</x:f>
        <x:v>0</x:v>
      </x:c>
      <x:c r="AI7" s="43" t="n">
        <x:f>IF($C7="","",IF(AND($I7&lt;1,AI$6&lt;=$J7,AI$6+6&gt;$H7,$J7&gt;$H7),3,IF(AND($I7&gt;0,AI$6&lt;=$G7+($H7-$G7+1)*$I7-1,AI$6+6&gt;=$G7),2,IF(AND(AI$6&lt;=$H7,AI$6+6&gt;=$G7),1,0))))</x:f>
        <x:v>0</x:v>
      </x:c>
      <x:c r="AJ7" s="43" t="n">
        <x:f>IF($C7="","",IF(AND($I7&lt;1,AJ$6&lt;=$J7,AJ$6+6&gt;$H7,$J7&gt;$H7),3,IF(AND($I7&gt;0,AJ$6&lt;=$G7+($H7-$G7+1)*$I7-1,AJ$6+6&gt;=$G7),2,IF(AND(AJ$6&lt;=$H7,AJ$6+6&gt;=$G7),1,0))))</x:f>
        <x:v>0</x:v>
      </x:c>
      <x:c r="AK7" s="43" t="n">
        <x:f>IF($C7="","",IF(AND($I7&lt;1,AK$6&lt;=$J7,AK$6+6&gt;$H7,$J7&gt;$H7),3,IF(AND($I7&gt;0,AK$6&lt;=$G7+($H7-$G7+1)*$I7-1,AK$6+6&gt;=$G7),2,IF(AND(AK$6&lt;=$H7,AK$6+6&gt;=$G7),1,0))))</x:f>
        <x:v>0</x:v>
      </x:c>
    </x:row>
    <x:row r="8" ht="22" customHeight="1">
      <x:c r="A8" s="2"/>
      <x:c r="B8" s="2" t="n">
        <x:v>2</x:v>
      </x:c>
      <x:c r="C8" s="2" t="str">
        <x:f>IF($B8&gt;INDEX('Portfoy'!$U$7:$U$26,MATCH('Panel'!$C$5,'Portfoy'!$A$7:$A$26,0)),"",INDEX('Gorevler'!$A$7:$A$206,MATCH($B8,'Gorevler'!$S$7:$S$206,0)))</x:f>
        <x:v>G1-02</x:v>
      </x:c>
      <x:c r="D8" s="2" t="str">
        <x:f>IF($B8&gt;INDEX('Portfoy'!$U$7:$U$26,MATCH('Panel'!$C$5,'Portfoy'!$A$7:$A$26,0)),"",INDEX('Gorevler'!$C$7:$C$206,MATCH($B8,'Gorevler'!$S$7:$S$206,0)))</x:f>
        <x:v>Detay tasarım</x:v>
      </x:c>
      <x:c r="E8" s="2" t="str">
        <x:f>IF($B8&gt;INDEX('Portfoy'!$U$7:$U$26,MATCH('Panel'!$C$5,'Portfoy'!$A$7:$A$26,0)),"",INDEX('Gorevler'!$D$7:$D$206,MATCH($B8,'Gorevler'!$S$7:$S$206,0)))</x:f>
        <x:v>Ayşe Yılmaz</x:v>
      </x:c>
      <x:c r="F8" s="2" t="str">
        <x:f>IF($B8&gt;INDEX('Portfoy'!$U$7:$U$26,MATCH('Panel'!$C$5,'Portfoy'!$A$7:$A$26,0)),"",INDEX('Gorevler'!$K$7:$K$206,MATCH($B8,'Gorevler'!$S$7:$S$206,0)))</x:f>
        <x:v>Evet</x:v>
      </x:c>
      <x:c r="G8" s="5" t="n">
        <x:f>IF($B8&gt;INDEX('Portfoy'!$U$7:$U$26,MATCH('Panel'!$C$5,'Portfoy'!$A$7:$A$26,0)),"",INDEX('Gorevler'!$F$7:$F$206,MATCH($B8,'Gorevler'!$S$7:$S$206,0)))</x:f>
        <x:v>46279</x:v>
      </x:c>
      <x:c r="H8" s="5" t="n">
        <x:f>IF($B8&gt;INDEX('Portfoy'!$U$7:$U$26,MATCH('Panel'!$C$5,'Portfoy'!$A$7:$A$26,0)),"",INDEX('Gorevler'!$G$7:$G$206,MATCH($B8,'Gorevler'!$S$7:$S$206,0)))</x:f>
        <x:v>46297</x:v>
      </x:c>
      <x:c r="I8" s="37" t="n">
        <x:f>IF($B8&gt;INDEX('Portfoy'!$U$7:$U$26,MATCH('Panel'!$C$5,'Portfoy'!$A$7:$A$26,0)),"",INDEX('Gorevler'!$I$7:$I$206,MATCH($B8,'Gorevler'!$S$7:$S$206,0)))</x:f>
        <x:v>1</x:v>
      </x:c>
      <x:c r="J8" s="5" t="n">
        <x:f>IF($B8&gt;INDEX('Portfoy'!$U$7:$U$26,MATCH('Panel'!$C$5,'Portfoy'!$A$7:$A$26,0)),"",INDEX('Gorevler'!$J$7:$J$206,MATCH($B8,'Gorevler'!$S$7:$S$206,0)))</x:f>
        <x:v>46297</x:v>
      </x:c>
      <x:c r="K8" s="2"/>
      <x:c r="L8" s="43" t="n">
        <x:f>IF($C8="","",IF(AND($I8&lt;1,L$6&lt;=$J8,L$6+6&gt;$H8,$J8&gt;$H8),3,IF(AND($I8&gt;0,L$6&lt;=$G8+($H8-$G8+1)*$I8-1,L$6+6&gt;=$G8),2,IF(AND(L$6&lt;=$H8,L$6+6&gt;=$G8),1,0))))</x:f>
        <x:v>0</x:v>
      </x:c>
      <x:c r="M8" s="43" t="n">
        <x:f>IF($C8="","",IF(AND($I8&lt;1,M$6&lt;=$J8,M$6+6&gt;$H8,$J8&gt;$H8),3,IF(AND($I8&gt;0,M$6&lt;=$G8+($H8-$G8+1)*$I8-1,M$6+6&gt;=$G8),2,IF(AND(M$6&lt;=$H8,M$6+6&gt;=$G8),1,0))))</x:f>
        <x:v>2</x:v>
      </x:c>
      <x:c r="N8" s="43" t="n">
        <x:f>IF($C8="","",IF(AND($I8&lt;1,N$6&lt;=$J8,N$6+6&gt;$H8,$J8&gt;$H8),3,IF(AND($I8&gt;0,N$6&lt;=$G8+($H8-$G8+1)*$I8-1,N$6+6&gt;=$G8),2,IF(AND(N$6&lt;=$H8,N$6+6&gt;=$G8),1,0))))</x:f>
        <x:v>2</x:v>
      </x:c>
      <x:c r="O8" s="43" t="n">
        <x:f>IF($C8="","",IF(AND($I8&lt;1,O$6&lt;=$J8,O$6+6&gt;$H8,$J8&gt;$H8),3,IF(AND($I8&gt;0,O$6&lt;=$G8+($H8-$G8+1)*$I8-1,O$6+6&gt;=$G8),2,IF(AND(O$6&lt;=$H8,O$6+6&gt;=$G8),1,0))))</x:f>
        <x:v>2</x:v>
      </x:c>
      <x:c r="P8" s="43" t="n">
        <x:f>IF($C8="","",IF(AND($I8&lt;1,P$6&lt;=$J8,P$6+6&gt;$H8,$J8&gt;$H8),3,IF(AND($I8&gt;0,P$6&lt;=$G8+($H8-$G8+1)*$I8-1,P$6+6&gt;=$G8),2,IF(AND(P$6&lt;=$H8,P$6+6&gt;=$G8),1,0))))</x:f>
        <x:v>0</x:v>
      </x:c>
      <x:c r="Q8" s="43" t="n">
        <x:f>IF($C8="","",IF(AND($I8&lt;1,Q$6&lt;=$J8,Q$6+6&gt;$H8,$J8&gt;$H8),3,IF(AND($I8&gt;0,Q$6&lt;=$G8+($H8-$G8+1)*$I8-1,Q$6+6&gt;=$G8),2,IF(AND(Q$6&lt;=$H8,Q$6+6&gt;=$G8),1,0))))</x:f>
        <x:v>0</x:v>
      </x:c>
      <x:c r="R8" s="43" t="n">
        <x:f>IF($C8="","",IF(AND($I8&lt;1,R$6&lt;=$J8,R$6+6&gt;$H8,$J8&gt;$H8),3,IF(AND($I8&gt;0,R$6&lt;=$G8+($H8-$G8+1)*$I8-1,R$6+6&gt;=$G8),2,IF(AND(R$6&lt;=$H8,R$6+6&gt;=$G8),1,0))))</x:f>
        <x:v>0</x:v>
      </x:c>
      <x:c r="S8" s="43" t="n">
        <x:f>IF($C8="","",IF(AND($I8&lt;1,S$6&lt;=$J8,S$6+6&gt;$H8,$J8&gt;$H8),3,IF(AND($I8&gt;0,S$6&lt;=$G8+($H8-$G8+1)*$I8-1,S$6+6&gt;=$G8),2,IF(AND(S$6&lt;=$H8,S$6+6&gt;=$G8),1,0))))</x:f>
        <x:v>0</x:v>
      </x:c>
      <x:c r="T8" s="43" t="n">
        <x:f>IF($C8="","",IF(AND($I8&lt;1,T$6&lt;=$J8,T$6+6&gt;$H8,$J8&gt;$H8),3,IF(AND($I8&gt;0,T$6&lt;=$G8+($H8-$G8+1)*$I8-1,T$6+6&gt;=$G8),2,IF(AND(T$6&lt;=$H8,T$6+6&gt;=$G8),1,0))))</x:f>
        <x:v>0</x:v>
      </x:c>
      <x:c r="U8" s="43" t="n">
        <x:f>IF($C8="","",IF(AND($I8&lt;1,U$6&lt;=$J8,U$6+6&gt;$H8,$J8&gt;$H8),3,IF(AND($I8&gt;0,U$6&lt;=$G8+($H8-$G8+1)*$I8-1,U$6+6&gt;=$G8),2,IF(AND(U$6&lt;=$H8,U$6+6&gt;=$G8),1,0))))</x:f>
        <x:v>0</x:v>
      </x:c>
      <x:c r="V8" s="43" t="n">
        <x:f>IF($C8="","",IF(AND($I8&lt;1,V$6&lt;=$J8,V$6+6&gt;$H8,$J8&gt;$H8),3,IF(AND($I8&gt;0,V$6&lt;=$G8+($H8-$G8+1)*$I8-1,V$6+6&gt;=$G8),2,IF(AND(V$6&lt;=$H8,V$6+6&gt;=$G8),1,0))))</x:f>
        <x:v>0</x:v>
      </x:c>
      <x:c r="W8" s="43" t="n">
        <x:f>IF($C8="","",IF(AND($I8&lt;1,W$6&lt;=$J8,W$6+6&gt;$H8,$J8&gt;$H8),3,IF(AND($I8&gt;0,W$6&lt;=$G8+($H8-$G8+1)*$I8-1,W$6+6&gt;=$G8),2,IF(AND(W$6&lt;=$H8,W$6+6&gt;=$G8),1,0))))</x:f>
        <x:v>0</x:v>
      </x:c>
      <x:c r="X8" s="43" t="n">
        <x:f>IF($C8="","",IF(AND($I8&lt;1,X$6&lt;=$J8,X$6+6&gt;$H8,$J8&gt;$H8),3,IF(AND($I8&gt;0,X$6&lt;=$G8+($H8-$G8+1)*$I8-1,X$6+6&gt;=$G8),2,IF(AND(X$6&lt;=$H8,X$6+6&gt;=$G8),1,0))))</x:f>
        <x:v>0</x:v>
      </x:c>
      <x:c r="Y8" s="43" t="n">
        <x:f>IF($C8="","",IF(AND($I8&lt;1,Y$6&lt;=$J8,Y$6+6&gt;$H8,$J8&gt;$H8),3,IF(AND($I8&gt;0,Y$6&lt;=$G8+($H8-$G8+1)*$I8-1,Y$6+6&gt;=$G8),2,IF(AND(Y$6&lt;=$H8,Y$6+6&gt;=$G8),1,0))))</x:f>
        <x:v>0</x:v>
      </x:c>
      <x:c r="Z8" s="43" t="n">
        <x:f>IF($C8="","",IF(AND($I8&lt;1,Z$6&lt;=$J8,Z$6+6&gt;$H8,$J8&gt;$H8),3,IF(AND($I8&gt;0,Z$6&lt;=$G8+($H8-$G8+1)*$I8-1,Z$6+6&gt;=$G8),2,IF(AND(Z$6&lt;=$H8,Z$6+6&gt;=$G8),1,0))))</x:f>
        <x:v>0</x:v>
      </x:c>
      <x:c r="AA8" s="43" t="n">
        <x:f>IF($C8="","",IF(AND($I8&lt;1,AA$6&lt;=$J8,AA$6+6&gt;$H8,$J8&gt;$H8),3,IF(AND($I8&gt;0,AA$6&lt;=$G8+($H8-$G8+1)*$I8-1,AA$6+6&gt;=$G8),2,IF(AND(AA$6&lt;=$H8,AA$6+6&gt;=$G8),1,0))))</x:f>
        <x:v>0</x:v>
      </x:c>
      <x:c r="AB8" s="43" t="n">
        <x:f>IF($C8="","",IF(AND($I8&lt;1,AB$6&lt;=$J8,AB$6+6&gt;$H8,$J8&gt;$H8),3,IF(AND($I8&gt;0,AB$6&lt;=$G8+($H8-$G8+1)*$I8-1,AB$6+6&gt;=$G8),2,IF(AND(AB$6&lt;=$H8,AB$6+6&gt;=$G8),1,0))))</x:f>
        <x:v>0</x:v>
      </x:c>
      <x:c r="AC8" s="43" t="n">
        <x:f>IF($C8="","",IF(AND($I8&lt;1,AC$6&lt;=$J8,AC$6+6&gt;$H8,$J8&gt;$H8),3,IF(AND($I8&gt;0,AC$6&lt;=$G8+($H8-$G8+1)*$I8-1,AC$6+6&gt;=$G8),2,IF(AND(AC$6&lt;=$H8,AC$6+6&gt;=$G8),1,0))))</x:f>
        <x:v>0</x:v>
      </x:c>
      <x:c r="AD8" s="43" t="n">
        <x:f>IF($C8="","",IF(AND($I8&lt;1,AD$6&lt;=$J8,AD$6+6&gt;$H8,$J8&gt;$H8),3,IF(AND($I8&gt;0,AD$6&lt;=$G8+($H8-$G8+1)*$I8-1,AD$6+6&gt;=$G8),2,IF(AND(AD$6&lt;=$H8,AD$6+6&gt;=$G8),1,0))))</x:f>
        <x:v>0</x:v>
      </x:c>
      <x:c r="AE8" s="43" t="n">
        <x:f>IF($C8="","",IF(AND($I8&lt;1,AE$6&lt;=$J8,AE$6+6&gt;$H8,$J8&gt;$H8),3,IF(AND($I8&gt;0,AE$6&lt;=$G8+($H8-$G8+1)*$I8-1,AE$6+6&gt;=$G8),2,IF(AND(AE$6&lt;=$H8,AE$6+6&gt;=$G8),1,0))))</x:f>
        <x:v>0</x:v>
      </x:c>
      <x:c r="AF8" s="43" t="n">
        <x:f>IF($C8="","",IF(AND($I8&lt;1,AF$6&lt;=$J8,AF$6+6&gt;$H8,$J8&gt;$H8),3,IF(AND($I8&gt;0,AF$6&lt;=$G8+($H8-$G8+1)*$I8-1,AF$6+6&gt;=$G8),2,IF(AND(AF$6&lt;=$H8,AF$6+6&gt;=$G8),1,0))))</x:f>
        <x:v>0</x:v>
      </x:c>
      <x:c r="AG8" s="43" t="n">
        <x:f>IF($C8="","",IF(AND($I8&lt;1,AG$6&lt;=$J8,AG$6+6&gt;$H8,$J8&gt;$H8),3,IF(AND($I8&gt;0,AG$6&lt;=$G8+($H8-$G8+1)*$I8-1,AG$6+6&gt;=$G8),2,IF(AND(AG$6&lt;=$H8,AG$6+6&gt;=$G8),1,0))))</x:f>
        <x:v>0</x:v>
      </x:c>
      <x:c r="AH8" s="43" t="n">
        <x:f>IF($C8="","",IF(AND($I8&lt;1,AH$6&lt;=$J8,AH$6+6&gt;$H8,$J8&gt;$H8),3,IF(AND($I8&gt;0,AH$6&lt;=$G8+($H8-$G8+1)*$I8-1,AH$6+6&gt;=$G8),2,IF(AND(AH$6&lt;=$H8,AH$6+6&gt;=$G8),1,0))))</x:f>
        <x:v>0</x:v>
      </x:c>
      <x:c r="AI8" s="43" t="n">
        <x:f>IF($C8="","",IF(AND($I8&lt;1,AI$6&lt;=$J8,AI$6+6&gt;$H8,$J8&gt;$H8),3,IF(AND($I8&gt;0,AI$6&lt;=$G8+($H8-$G8+1)*$I8-1,AI$6+6&gt;=$G8),2,IF(AND(AI$6&lt;=$H8,AI$6+6&gt;=$G8),1,0))))</x:f>
        <x:v>0</x:v>
      </x:c>
      <x:c r="AJ8" s="43" t="n">
        <x:f>IF($C8="","",IF(AND($I8&lt;1,AJ$6&lt;=$J8,AJ$6+6&gt;$H8,$J8&gt;$H8),3,IF(AND($I8&gt;0,AJ$6&lt;=$G8+($H8-$G8+1)*$I8-1,AJ$6+6&gt;=$G8),2,IF(AND(AJ$6&lt;=$H8,AJ$6+6&gt;=$G8),1,0))))</x:f>
        <x:v>0</x:v>
      </x:c>
      <x:c r="AK8" s="43" t="n">
        <x:f>IF($C8="","",IF(AND($I8&lt;1,AK$6&lt;=$J8,AK$6+6&gt;$H8,$J8&gt;$H8),3,IF(AND($I8&gt;0,AK$6&lt;=$G8+($H8-$G8+1)*$I8-1,AK$6+6&gt;=$G8),2,IF(AND(AK$6&lt;=$H8,AK$6+6&gt;=$G8),1,0))))</x:f>
        <x:v>0</x:v>
      </x:c>
    </x:row>
    <x:row r="9" ht="22" customHeight="1">
      <x:c r="A9" s="2"/>
      <x:c r="B9" s="2" t="n">
        <x:v>3</x:v>
      </x:c>
      <x:c r="C9" s="2" t="str">
        <x:f>IF($B9&gt;INDEX('Portfoy'!$U$7:$U$26,MATCH('Panel'!$C$5,'Portfoy'!$A$7:$A$26,0)),"",INDEX('Gorevler'!$A$7:$A$206,MATCH($B9,'Gorevler'!$S$7:$S$206,0)))</x:f>
        <x:v>G1-03</x:v>
      </x:c>
      <x:c r="D9" s="2" t="str">
        <x:f>IF($B9&gt;INDEX('Portfoy'!$U$7:$U$26,MATCH('Panel'!$C$5,'Portfoy'!$A$7:$A$26,0)),"",INDEX('Gorevler'!$C$7:$C$206,MATCH($B9,'Gorevler'!$S$7:$S$206,0)))</x:f>
        <x:v>Ekipman tedariki</x:v>
      </x:c>
      <x:c r="E9" s="2" t="str">
        <x:f>IF($B9&gt;INDEX('Portfoy'!$U$7:$U$26,MATCH('Panel'!$C$5,'Portfoy'!$A$7:$A$26,0)),"",INDEX('Gorevler'!$D$7:$D$206,MATCH($B9,'Gorevler'!$S$7:$S$206,0)))</x:f>
        <x:v>Ayşe Yılmaz</x:v>
      </x:c>
      <x:c r="F9" s="2" t="str">
        <x:f>IF($B9&gt;INDEX('Portfoy'!$U$7:$U$26,MATCH('Panel'!$C$5,'Portfoy'!$A$7:$A$26,0)),"",INDEX('Gorevler'!$K$7:$K$206,MATCH($B9,'Gorevler'!$S$7:$S$206,0)))</x:f>
        <x:v>Evet</x:v>
      </x:c>
      <x:c r="G9" s="5" t="n">
        <x:f>IF($B9&gt;INDEX('Portfoy'!$U$7:$U$26,MATCH('Panel'!$C$5,'Portfoy'!$A$7:$A$26,0)),"",INDEX('Gorevler'!$F$7:$F$206,MATCH($B9,'Gorevler'!$S$7:$S$206,0)))</x:f>
        <x:v>46286</x:v>
      </x:c>
      <x:c r="H9" s="5" t="n">
        <x:f>IF($B9&gt;INDEX('Portfoy'!$U$7:$U$26,MATCH('Panel'!$C$5,'Portfoy'!$A$7:$A$26,0)),"",INDEX('Gorevler'!$G$7:$G$206,MATCH($B9,'Gorevler'!$S$7:$S$206,0)))</x:f>
        <x:v>46318</x:v>
      </x:c>
      <x:c r="I9" s="37" t="n">
        <x:f>IF($B9&gt;INDEX('Portfoy'!$U$7:$U$26,MATCH('Panel'!$C$5,'Portfoy'!$A$7:$A$26,0)),"",INDEX('Gorevler'!$I$7:$I$206,MATCH($B9,'Gorevler'!$S$7:$S$206,0)))</x:f>
        <x:v>0.55</x:v>
      </x:c>
      <x:c r="J9" s="5" t="n">
        <x:f>IF($B9&gt;INDEX('Portfoy'!$U$7:$U$26,MATCH('Panel'!$C$5,'Portfoy'!$A$7:$A$26,0)),"",INDEX('Gorevler'!$J$7:$J$206,MATCH($B9,'Gorevler'!$S$7:$S$206,0)))</x:f>
        <x:v>46325</x:v>
      </x:c>
      <x:c r="K9" s="2"/>
      <x:c r="L9" s="43" t="n">
        <x:f>IF($C9="","",IF(AND($I9&lt;1,L$6&lt;=$J9,L$6+6&gt;$H9,$J9&gt;$H9),3,IF(AND($I9&gt;0,L$6&lt;=$G9+($H9-$G9+1)*$I9-1,L$6+6&gt;=$G9),2,IF(AND(L$6&lt;=$H9,L$6+6&gt;=$G9),1,0))))</x:f>
        <x:v>0</x:v>
      </x:c>
      <x:c r="M9" s="43" t="n">
        <x:f>IF($C9="","",IF(AND($I9&lt;1,M$6&lt;=$J9,M$6+6&gt;$H9,$J9&gt;$H9),3,IF(AND($I9&gt;0,M$6&lt;=$G9+($H9-$G9+1)*$I9-1,M$6+6&gt;=$G9),2,IF(AND(M$6&lt;=$H9,M$6+6&gt;=$G9),1,0))))</x:f>
        <x:v>0</x:v>
      </x:c>
      <x:c r="N9" s="43" t="n">
        <x:f>IF($C9="","",IF(AND($I9&lt;1,N$6&lt;=$J9,N$6+6&gt;$H9,$J9&gt;$H9),3,IF(AND($I9&gt;0,N$6&lt;=$G9+($H9-$G9+1)*$I9-1,N$6+6&gt;=$G9),2,IF(AND(N$6&lt;=$H9,N$6+6&gt;=$G9),1,0))))</x:f>
        <x:v>2</x:v>
      </x:c>
      <x:c r="O9" s="43" t="n">
        <x:f>IF($C9="","",IF(AND($I9&lt;1,O$6&lt;=$J9,O$6+6&gt;$H9,$J9&gt;$H9),3,IF(AND($I9&gt;0,O$6&lt;=$G9+($H9-$G9+1)*$I9-1,O$6+6&gt;=$G9),2,IF(AND(O$6&lt;=$H9,O$6+6&gt;=$G9),1,0))))</x:f>
        <x:v>2</x:v>
      </x:c>
      <x:c r="P9" s="43" t="n">
        <x:f>IF($C9="","",IF(AND($I9&lt;1,P$6&lt;=$J9,P$6+6&gt;$H9,$J9&gt;$H9),3,IF(AND($I9&gt;0,P$6&lt;=$G9+($H9-$G9+1)*$I9-1,P$6+6&gt;=$G9),2,IF(AND(P$6&lt;=$H9,P$6+6&gt;=$G9),1,0))))</x:f>
        <x:v>2</x:v>
      </x:c>
      <x:c r="Q9" s="43" t="n">
        <x:f>IF($C9="","",IF(AND($I9&lt;1,Q$6&lt;=$J9,Q$6+6&gt;$H9,$J9&gt;$H9),3,IF(AND($I9&gt;0,Q$6&lt;=$G9+($H9-$G9+1)*$I9-1,Q$6+6&gt;=$G9),2,IF(AND(Q$6&lt;=$H9,Q$6+6&gt;=$G9),1,0))))</x:f>
        <x:v>1</x:v>
      </x:c>
      <x:c r="R9" s="43" t="n">
        <x:f>IF($C9="","",IF(AND($I9&lt;1,R$6&lt;=$J9,R$6+6&gt;$H9,$J9&gt;$H9),3,IF(AND($I9&gt;0,R$6&lt;=$G9+($H9-$G9+1)*$I9-1,R$6+6&gt;=$G9),2,IF(AND(R$6&lt;=$H9,R$6+6&gt;=$G9),1,0))))</x:f>
        <x:v>3</x:v>
      </x:c>
      <x:c r="S9" s="43" t="n">
        <x:f>IF($C9="","",IF(AND($I9&lt;1,S$6&lt;=$J9,S$6+6&gt;$H9,$J9&gt;$H9),3,IF(AND($I9&gt;0,S$6&lt;=$G9+($H9-$G9+1)*$I9-1,S$6+6&gt;=$G9),2,IF(AND(S$6&lt;=$H9,S$6+6&gt;=$G9),1,0))))</x:f>
        <x:v>3</x:v>
      </x:c>
      <x:c r="T9" s="43" t="n">
        <x:f>IF($C9="","",IF(AND($I9&lt;1,T$6&lt;=$J9,T$6+6&gt;$H9,$J9&gt;$H9),3,IF(AND($I9&gt;0,T$6&lt;=$G9+($H9-$G9+1)*$I9-1,T$6+6&gt;=$G9),2,IF(AND(T$6&lt;=$H9,T$6+6&gt;=$G9),1,0))))</x:f>
        <x:v>0</x:v>
      </x:c>
      <x:c r="U9" s="43" t="n">
        <x:f>IF($C9="","",IF(AND($I9&lt;1,U$6&lt;=$J9,U$6+6&gt;$H9,$J9&gt;$H9),3,IF(AND($I9&gt;0,U$6&lt;=$G9+($H9-$G9+1)*$I9-1,U$6+6&gt;=$G9),2,IF(AND(U$6&lt;=$H9,U$6+6&gt;=$G9),1,0))))</x:f>
        <x:v>0</x:v>
      </x:c>
      <x:c r="V9" s="43" t="n">
        <x:f>IF($C9="","",IF(AND($I9&lt;1,V$6&lt;=$J9,V$6+6&gt;$H9,$J9&gt;$H9),3,IF(AND($I9&gt;0,V$6&lt;=$G9+($H9-$G9+1)*$I9-1,V$6+6&gt;=$G9),2,IF(AND(V$6&lt;=$H9,V$6+6&gt;=$G9),1,0))))</x:f>
        <x:v>0</x:v>
      </x:c>
      <x:c r="W9" s="43" t="n">
        <x:f>IF($C9="","",IF(AND($I9&lt;1,W$6&lt;=$J9,W$6+6&gt;$H9,$J9&gt;$H9),3,IF(AND($I9&gt;0,W$6&lt;=$G9+($H9-$G9+1)*$I9-1,W$6+6&gt;=$G9),2,IF(AND(W$6&lt;=$H9,W$6+6&gt;=$G9),1,0))))</x:f>
        <x:v>0</x:v>
      </x:c>
      <x:c r="X9" s="43" t="n">
        <x:f>IF($C9="","",IF(AND($I9&lt;1,X$6&lt;=$J9,X$6+6&gt;$H9,$J9&gt;$H9),3,IF(AND($I9&gt;0,X$6&lt;=$G9+($H9-$G9+1)*$I9-1,X$6+6&gt;=$G9),2,IF(AND(X$6&lt;=$H9,X$6+6&gt;=$G9),1,0))))</x:f>
        <x:v>0</x:v>
      </x:c>
      <x:c r="Y9" s="43" t="n">
        <x:f>IF($C9="","",IF(AND($I9&lt;1,Y$6&lt;=$J9,Y$6+6&gt;$H9,$J9&gt;$H9),3,IF(AND($I9&gt;0,Y$6&lt;=$G9+($H9-$G9+1)*$I9-1,Y$6+6&gt;=$G9),2,IF(AND(Y$6&lt;=$H9,Y$6+6&gt;=$G9),1,0))))</x:f>
        <x:v>0</x:v>
      </x:c>
      <x:c r="Z9" s="43" t="n">
        <x:f>IF($C9="","",IF(AND($I9&lt;1,Z$6&lt;=$J9,Z$6+6&gt;$H9,$J9&gt;$H9),3,IF(AND($I9&gt;0,Z$6&lt;=$G9+($H9-$G9+1)*$I9-1,Z$6+6&gt;=$G9),2,IF(AND(Z$6&lt;=$H9,Z$6+6&gt;=$G9),1,0))))</x:f>
        <x:v>0</x:v>
      </x:c>
      <x:c r="AA9" s="43" t="n">
        <x:f>IF($C9="","",IF(AND($I9&lt;1,AA$6&lt;=$J9,AA$6+6&gt;$H9,$J9&gt;$H9),3,IF(AND($I9&gt;0,AA$6&lt;=$G9+($H9-$G9+1)*$I9-1,AA$6+6&gt;=$G9),2,IF(AND(AA$6&lt;=$H9,AA$6+6&gt;=$G9),1,0))))</x:f>
        <x:v>0</x:v>
      </x:c>
      <x:c r="AB9" s="43" t="n">
        <x:f>IF($C9="","",IF(AND($I9&lt;1,AB$6&lt;=$J9,AB$6+6&gt;$H9,$J9&gt;$H9),3,IF(AND($I9&gt;0,AB$6&lt;=$G9+($H9-$G9+1)*$I9-1,AB$6+6&gt;=$G9),2,IF(AND(AB$6&lt;=$H9,AB$6+6&gt;=$G9),1,0))))</x:f>
        <x:v>0</x:v>
      </x:c>
      <x:c r="AC9" s="43" t="n">
        <x:f>IF($C9="","",IF(AND($I9&lt;1,AC$6&lt;=$J9,AC$6+6&gt;$H9,$J9&gt;$H9),3,IF(AND($I9&gt;0,AC$6&lt;=$G9+($H9-$G9+1)*$I9-1,AC$6+6&gt;=$G9),2,IF(AND(AC$6&lt;=$H9,AC$6+6&gt;=$G9),1,0))))</x:f>
        <x:v>0</x:v>
      </x:c>
      <x:c r="AD9" s="43" t="n">
        <x:f>IF($C9="","",IF(AND($I9&lt;1,AD$6&lt;=$J9,AD$6+6&gt;$H9,$J9&gt;$H9),3,IF(AND($I9&gt;0,AD$6&lt;=$G9+($H9-$G9+1)*$I9-1,AD$6+6&gt;=$G9),2,IF(AND(AD$6&lt;=$H9,AD$6+6&gt;=$G9),1,0))))</x:f>
        <x:v>0</x:v>
      </x:c>
      <x:c r="AE9" s="43" t="n">
        <x:f>IF($C9="","",IF(AND($I9&lt;1,AE$6&lt;=$J9,AE$6+6&gt;$H9,$J9&gt;$H9),3,IF(AND($I9&gt;0,AE$6&lt;=$G9+($H9-$G9+1)*$I9-1,AE$6+6&gt;=$G9),2,IF(AND(AE$6&lt;=$H9,AE$6+6&gt;=$G9),1,0))))</x:f>
        <x:v>0</x:v>
      </x:c>
      <x:c r="AF9" s="43" t="n">
        <x:f>IF($C9="","",IF(AND($I9&lt;1,AF$6&lt;=$J9,AF$6+6&gt;$H9,$J9&gt;$H9),3,IF(AND($I9&gt;0,AF$6&lt;=$G9+($H9-$G9+1)*$I9-1,AF$6+6&gt;=$G9),2,IF(AND(AF$6&lt;=$H9,AF$6+6&gt;=$G9),1,0))))</x:f>
        <x:v>0</x:v>
      </x:c>
      <x:c r="AG9" s="43" t="n">
        <x:f>IF($C9="","",IF(AND($I9&lt;1,AG$6&lt;=$J9,AG$6+6&gt;$H9,$J9&gt;$H9),3,IF(AND($I9&gt;0,AG$6&lt;=$G9+($H9-$G9+1)*$I9-1,AG$6+6&gt;=$G9),2,IF(AND(AG$6&lt;=$H9,AG$6+6&gt;=$G9),1,0))))</x:f>
        <x:v>0</x:v>
      </x:c>
      <x:c r="AH9" s="43" t="n">
        <x:f>IF($C9="","",IF(AND($I9&lt;1,AH$6&lt;=$J9,AH$6+6&gt;$H9,$J9&gt;$H9),3,IF(AND($I9&gt;0,AH$6&lt;=$G9+($H9-$G9+1)*$I9-1,AH$6+6&gt;=$G9),2,IF(AND(AH$6&lt;=$H9,AH$6+6&gt;=$G9),1,0))))</x:f>
        <x:v>0</x:v>
      </x:c>
      <x:c r="AI9" s="43" t="n">
        <x:f>IF($C9="","",IF(AND($I9&lt;1,AI$6&lt;=$J9,AI$6+6&gt;$H9,$J9&gt;$H9),3,IF(AND($I9&gt;0,AI$6&lt;=$G9+($H9-$G9+1)*$I9-1,AI$6+6&gt;=$G9),2,IF(AND(AI$6&lt;=$H9,AI$6+6&gt;=$G9),1,0))))</x:f>
        <x:v>0</x:v>
      </x:c>
      <x:c r="AJ9" s="43" t="n">
        <x:f>IF($C9="","",IF(AND($I9&lt;1,AJ$6&lt;=$J9,AJ$6+6&gt;$H9,$J9&gt;$H9),3,IF(AND($I9&gt;0,AJ$6&lt;=$G9+($H9-$G9+1)*$I9-1,AJ$6+6&gt;=$G9),2,IF(AND(AJ$6&lt;=$H9,AJ$6+6&gt;=$G9),1,0))))</x:f>
        <x:v>0</x:v>
      </x:c>
      <x:c r="AK9" s="43" t="n">
        <x:f>IF($C9="","",IF(AND($I9&lt;1,AK$6&lt;=$J9,AK$6+6&gt;$H9,$J9&gt;$H9),3,IF(AND($I9&gt;0,AK$6&lt;=$G9+($H9-$G9+1)*$I9-1,AK$6+6&gt;=$G9),2,IF(AND(AK$6&lt;=$H9,AK$6+6&gt;=$G9),1,0))))</x:f>
        <x:v>0</x:v>
      </x:c>
    </x:row>
    <x:row r="10" ht="22" customHeight="1">
      <x:c r="A10" s="2"/>
      <x:c r="B10" s="2" t="n">
        <x:v>4</x:v>
      </x:c>
      <x:c r="C10" s="2" t="str">
        <x:f>IF($B10&gt;INDEX('Portfoy'!$U$7:$U$26,MATCH('Panel'!$C$5,'Portfoy'!$A$7:$A$26,0)),"",INDEX('Gorevler'!$A$7:$A$206,MATCH($B10,'Gorevler'!$S$7:$S$206,0)))</x:f>
        <x:v>G1-04</x:v>
      </x:c>
      <x:c r="D10" s="2" t="str">
        <x:f>IF($B10&gt;INDEX('Portfoy'!$U$7:$U$26,MATCH('Panel'!$C$5,'Portfoy'!$A$7:$A$26,0)),"",INDEX('Gorevler'!$C$7:$C$206,MATCH($B10,'Gorevler'!$S$7:$S$206,0)))</x:f>
        <x:v>Saha hazırlığı</x:v>
      </x:c>
      <x:c r="E10" s="2" t="str">
        <x:f>IF($B10&gt;INDEX('Portfoy'!$U$7:$U$26,MATCH('Panel'!$C$5,'Portfoy'!$A$7:$A$26,0)),"",INDEX('Gorevler'!$D$7:$D$206,MATCH($B10,'Gorevler'!$S$7:$S$206,0)))</x:f>
        <x:v>Ayşe Yılmaz</x:v>
      </x:c>
      <x:c r="F10" s="2" t="str">
        <x:f>IF($B10&gt;INDEX('Portfoy'!$U$7:$U$26,MATCH('Panel'!$C$5,'Portfoy'!$A$7:$A$26,0)),"",INDEX('Gorevler'!$K$7:$K$206,MATCH($B10,'Gorevler'!$S$7:$S$206,0)))</x:f>
        <x:v>Hayır</x:v>
      </x:c>
      <x:c r="G10" s="5" t="n">
        <x:f>IF($B10&gt;INDEX('Portfoy'!$U$7:$U$26,MATCH('Panel'!$C$5,'Portfoy'!$A$7:$A$26,0)),"",INDEX('Gorevler'!$F$7:$F$206,MATCH($B10,'Gorevler'!$S$7:$S$206,0)))</x:f>
        <x:v>46300</x:v>
      </x:c>
      <x:c r="H10" s="5" t="n">
        <x:f>IF($B10&gt;INDEX('Portfoy'!$U$7:$U$26,MATCH('Panel'!$C$5,'Portfoy'!$A$7:$A$26,0)),"",INDEX('Gorevler'!$G$7:$G$206,MATCH($B10,'Gorevler'!$S$7:$S$206,0)))</x:f>
        <x:v>46318</x:v>
      </x:c>
      <x:c r="I10" s="37" t="n">
        <x:f>IF($B10&gt;INDEX('Portfoy'!$U$7:$U$26,MATCH('Panel'!$C$5,'Portfoy'!$A$7:$A$26,0)),"",INDEX('Gorevler'!$I$7:$I$206,MATCH($B10,'Gorevler'!$S$7:$S$206,0)))</x:f>
        <x:v>0.45</x:v>
      </x:c>
      <x:c r="J10" s="5" t="n">
        <x:f>IF($B10&gt;INDEX('Portfoy'!$U$7:$U$26,MATCH('Panel'!$C$5,'Portfoy'!$A$7:$A$26,0)),"",INDEX('Gorevler'!$J$7:$J$206,MATCH($B10,'Gorevler'!$S$7:$S$206,0)))</x:f>
        <x:v>46318</x:v>
      </x:c>
      <x:c r="K10" s="2"/>
      <x:c r="L10" s="43" t="n">
        <x:f>IF($C10="","",IF(AND($I10&lt;1,L$6&lt;=$J10,L$6+6&gt;$H10,$J10&gt;$H10),3,IF(AND($I10&gt;0,L$6&lt;=$G10+($H10-$G10+1)*$I10-1,L$6+6&gt;=$G10),2,IF(AND(L$6&lt;=$H10,L$6+6&gt;=$G10),1,0))))</x:f>
        <x:v>0</x:v>
      </x:c>
      <x:c r="M10" s="43" t="n">
        <x:f>IF($C10="","",IF(AND($I10&lt;1,M$6&lt;=$J10,M$6+6&gt;$H10,$J10&gt;$H10),3,IF(AND($I10&gt;0,M$6&lt;=$G10+($H10-$G10+1)*$I10-1,M$6+6&gt;=$G10),2,IF(AND(M$6&lt;=$H10,M$6+6&gt;=$G10),1,0))))</x:f>
        <x:v>0</x:v>
      </x:c>
      <x:c r="N10" s="43" t="n">
        <x:f>IF($C10="","",IF(AND($I10&lt;1,N$6&lt;=$J10,N$6+6&gt;$H10,$J10&gt;$H10),3,IF(AND($I10&gt;0,N$6&lt;=$G10+($H10-$G10+1)*$I10-1,N$6+6&gt;=$G10),2,IF(AND(N$6&lt;=$H10,N$6+6&gt;=$G10),1,0))))</x:f>
        <x:v>0</x:v>
      </x:c>
      <x:c r="O10" s="43" t="n">
        <x:f>IF($C10="","",IF(AND($I10&lt;1,O$6&lt;=$J10,O$6+6&gt;$H10,$J10&gt;$H10),3,IF(AND($I10&gt;0,O$6&lt;=$G10+($H10-$G10+1)*$I10-1,O$6+6&gt;=$G10),2,IF(AND(O$6&lt;=$H10,O$6+6&gt;=$G10),1,0))))</x:f>
        <x:v>0</x:v>
      </x:c>
      <x:c r="P10" s="43" t="n">
        <x:f>IF($C10="","",IF(AND($I10&lt;1,P$6&lt;=$J10,P$6+6&gt;$H10,$J10&gt;$H10),3,IF(AND($I10&gt;0,P$6&lt;=$G10+($H10-$G10+1)*$I10-1,P$6+6&gt;=$G10),2,IF(AND(P$6&lt;=$H10,P$6+6&gt;=$G10),1,0))))</x:f>
        <x:v>2</x:v>
      </x:c>
      <x:c r="Q10" s="43" t="n">
        <x:f>IF($C10="","",IF(AND($I10&lt;1,Q$6&lt;=$J10,Q$6+6&gt;$H10,$J10&gt;$H10),3,IF(AND($I10&gt;0,Q$6&lt;=$G10+($H10-$G10+1)*$I10-1,Q$6+6&gt;=$G10),2,IF(AND(Q$6&lt;=$H10,Q$6+6&gt;=$G10),1,0))))</x:f>
        <x:v>2</x:v>
      </x:c>
      <x:c r="R10" s="43" t="n">
        <x:f>IF($C10="","",IF(AND($I10&lt;1,R$6&lt;=$J10,R$6+6&gt;$H10,$J10&gt;$H10),3,IF(AND($I10&gt;0,R$6&lt;=$G10+($H10-$G10+1)*$I10-1,R$6+6&gt;=$G10),2,IF(AND(R$6&lt;=$H10,R$6+6&gt;=$G10),1,0))))</x:f>
        <x:v>1</x:v>
      </x:c>
      <x:c r="S10" s="43" t="n">
        <x:f>IF($C10="","",IF(AND($I10&lt;1,S$6&lt;=$J10,S$6+6&gt;$H10,$J10&gt;$H10),3,IF(AND($I10&gt;0,S$6&lt;=$G10+($H10-$G10+1)*$I10-1,S$6+6&gt;=$G10),2,IF(AND(S$6&lt;=$H10,S$6+6&gt;=$G10),1,0))))</x:f>
        <x:v>0</x:v>
      </x:c>
      <x:c r="T10" s="43" t="n">
        <x:f>IF($C10="","",IF(AND($I10&lt;1,T$6&lt;=$J10,T$6+6&gt;$H10,$J10&gt;$H10),3,IF(AND($I10&gt;0,T$6&lt;=$G10+($H10-$G10+1)*$I10-1,T$6+6&gt;=$G10),2,IF(AND(T$6&lt;=$H10,T$6+6&gt;=$G10),1,0))))</x:f>
        <x:v>0</x:v>
      </x:c>
      <x:c r="U10" s="43" t="n">
        <x:f>IF($C10="","",IF(AND($I10&lt;1,U$6&lt;=$J10,U$6+6&gt;$H10,$J10&gt;$H10),3,IF(AND($I10&gt;0,U$6&lt;=$G10+($H10-$G10+1)*$I10-1,U$6+6&gt;=$G10),2,IF(AND(U$6&lt;=$H10,U$6+6&gt;=$G10),1,0))))</x:f>
        <x:v>0</x:v>
      </x:c>
      <x:c r="V10" s="43" t="n">
        <x:f>IF($C10="","",IF(AND($I10&lt;1,V$6&lt;=$J10,V$6+6&gt;$H10,$J10&gt;$H10),3,IF(AND($I10&gt;0,V$6&lt;=$G10+($H10-$G10+1)*$I10-1,V$6+6&gt;=$G10),2,IF(AND(V$6&lt;=$H10,V$6+6&gt;=$G10),1,0))))</x:f>
        <x:v>0</x:v>
      </x:c>
      <x:c r="W10" s="43" t="n">
        <x:f>IF($C10="","",IF(AND($I10&lt;1,W$6&lt;=$J10,W$6+6&gt;$H10,$J10&gt;$H10),3,IF(AND($I10&gt;0,W$6&lt;=$G10+($H10-$G10+1)*$I10-1,W$6+6&gt;=$G10),2,IF(AND(W$6&lt;=$H10,W$6+6&gt;=$G10),1,0))))</x:f>
        <x:v>0</x:v>
      </x:c>
      <x:c r="X10" s="43" t="n">
        <x:f>IF($C10="","",IF(AND($I10&lt;1,X$6&lt;=$J10,X$6+6&gt;$H10,$J10&gt;$H10),3,IF(AND($I10&gt;0,X$6&lt;=$G10+($H10-$G10+1)*$I10-1,X$6+6&gt;=$G10),2,IF(AND(X$6&lt;=$H10,X$6+6&gt;=$G10),1,0))))</x:f>
        <x:v>0</x:v>
      </x:c>
      <x:c r="Y10" s="43" t="n">
        <x:f>IF($C10="","",IF(AND($I10&lt;1,Y$6&lt;=$J10,Y$6+6&gt;$H10,$J10&gt;$H10),3,IF(AND($I10&gt;0,Y$6&lt;=$G10+($H10-$G10+1)*$I10-1,Y$6+6&gt;=$G10),2,IF(AND(Y$6&lt;=$H10,Y$6+6&gt;=$G10),1,0))))</x:f>
        <x:v>0</x:v>
      </x:c>
      <x:c r="Z10" s="43" t="n">
        <x:f>IF($C10="","",IF(AND($I10&lt;1,Z$6&lt;=$J10,Z$6+6&gt;$H10,$J10&gt;$H10),3,IF(AND($I10&gt;0,Z$6&lt;=$G10+($H10-$G10+1)*$I10-1,Z$6+6&gt;=$G10),2,IF(AND(Z$6&lt;=$H10,Z$6+6&gt;=$G10),1,0))))</x:f>
        <x:v>0</x:v>
      </x:c>
      <x:c r="AA10" s="43" t="n">
        <x:f>IF($C10="","",IF(AND($I10&lt;1,AA$6&lt;=$J10,AA$6+6&gt;$H10,$J10&gt;$H10),3,IF(AND($I10&gt;0,AA$6&lt;=$G10+($H10-$G10+1)*$I10-1,AA$6+6&gt;=$G10),2,IF(AND(AA$6&lt;=$H10,AA$6+6&gt;=$G10),1,0))))</x:f>
        <x:v>0</x:v>
      </x:c>
      <x:c r="AB10" s="43" t="n">
        <x:f>IF($C10="","",IF(AND($I10&lt;1,AB$6&lt;=$J10,AB$6+6&gt;$H10,$J10&gt;$H10),3,IF(AND($I10&gt;0,AB$6&lt;=$G10+($H10-$G10+1)*$I10-1,AB$6+6&gt;=$G10),2,IF(AND(AB$6&lt;=$H10,AB$6+6&gt;=$G10),1,0))))</x:f>
        <x:v>0</x:v>
      </x:c>
      <x:c r="AC10" s="43" t="n">
        <x:f>IF($C10="","",IF(AND($I10&lt;1,AC$6&lt;=$J10,AC$6+6&gt;$H10,$J10&gt;$H10),3,IF(AND($I10&gt;0,AC$6&lt;=$G10+($H10-$G10+1)*$I10-1,AC$6+6&gt;=$G10),2,IF(AND(AC$6&lt;=$H10,AC$6+6&gt;=$G10),1,0))))</x:f>
        <x:v>0</x:v>
      </x:c>
      <x:c r="AD10" s="43" t="n">
        <x:f>IF($C10="","",IF(AND($I10&lt;1,AD$6&lt;=$J10,AD$6+6&gt;$H10,$J10&gt;$H10),3,IF(AND($I10&gt;0,AD$6&lt;=$G10+($H10-$G10+1)*$I10-1,AD$6+6&gt;=$G10),2,IF(AND(AD$6&lt;=$H10,AD$6+6&gt;=$G10),1,0))))</x:f>
        <x:v>0</x:v>
      </x:c>
      <x:c r="AE10" s="43" t="n">
        <x:f>IF($C10="","",IF(AND($I10&lt;1,AE$6&lt;=$J10,AE$6+6&gt;$H10,$J10&gt;$H10),3,IF(AND($I10&gt;0,AE$6&lt;=$G10+($H10-$G10+1)*$I10-1,AE$6+6&gt;=$G10),2,IF(AND(AE$6&lt;=$H10,AE$6+6&gt;=$G10),1,0))))</x:f>
        <x:v>0</x:v>
      </x:c>
      <x:c r="AF10" s="43" t="n">
        <x:f>IF($C10="","",IF(AND($I10&lt;1,AF$6&lt;=$J10,AF$6+6&gt;$H10,$J10&gt;$H10),3,IF(AND($I10&gt;0,AF$6&lt;=$G10+($H10-$G10+1)*$I10-1,AF$6+6&gt;=$G10),2,IF(AND(AF$6&lt;=$H10,AF$6+6&gt;=$G10),1,0))))</x:f>
        <x:v>0</x:v>
      </x:c>
      <x:c r="AG10" s="43" t="n">
        <x:f>IF($C10="","",IF(AND($I10&lt;1,AG$6&lt;=$J10,AG$6+6&gt;$H10,$J10&gt;$H10),3,IF(AND($I10&gt;0,AG$6&lt;=$G10+($H10-$G10+1)*$I10-1,AG$6+6&gt;=$G10),2,IF(AND(AG$6&lt;=$H10,AG$6+6&gt;=$G10),1,0))))</x:f>
        <x:v>0</x:v>
      </x:c>
      <x:c r="AH10" s="43" t="n">
        <x:f>IF($C10="","",IF(AND($I10&lt;1,AH$6&lt;=$J10,AH$6+6&gt;$H10,$J10&gt;$H10),3,IF(AND($I10&gt;0,AH$6&lt;=$G10+($H10-$G10+1)*$I10-1,AH$6+6&gt;=$G10),2,IF(AND(AH$6&lt;=$H10,AH$6+6&gt;=$G10),1,0))))</x:f>
        <x:v>0</x:v>
      </x:c>
      <x:c r="AI10" s="43" t="n">
        <x:f>IF($C10="","",IF(AND($I10&lt;1,AI$6&lt;=$J10,AI$6+6&gt;$H10,$J10&gt;$H10),3,IF(AND($I10&gt;0,AI$6&lt;=$G10+($H10-$G10+1)*$I10-1,AI$6+6&gt;=$G10),2,IF(AND(AI$6&lt;=$H10,AI$6+6&gt;=$G10),1,0))))</x:f>
        <x:v>0</x:v>
      </x:c>
      <x:c r="AJ10" s="43" t="n">
        <x:f>IF($C10="","",IF(AND($I10&lt;1,AJ$6&lt;=$J10,AJ$6+6&gt;$H10,$J10&gt;$H10),3,IF(AND($I10&gt;0,AJ$6&lt;=$G10+($H10-$G10+1)*$I10-1,AJ$6+6&gt;=$G10),2,IF(AND(AJ$6&lt;=$H10,AJ$6+6&gt;=$G10),1,0))))</x:f>
        <x:v>0</x:v>
      </x:c>
      <x:c r="AK10" s="43" t="n">
        <x:f>IF($C10="","",IF(AND($I10&lt;1,AK$6&lt;=$J10,AK$6+6&gt;$H10,$J10&gt;$H10),3,IF(AND($I10&gt;0,AK$6&lt;=$G10+($H10-$G10+1)*$I10-1,AK$6+6&gt;=$G10),2,IF(AND(AK$6&lt;=$H10,AK$6+6&gt;=$G10),1,0))))</x:f>
        <x:v>0</x:v>
      </x:c>
    </x:row>
    <x:row r="11" ht="22" customHeight="1">
      <x:c r="A11" s="2"/>
      <x:c r="B11" s="2" t="n">
        <x:v>5</x:v>
      </x:c>
      <x:c r="C11" s="2" t="str">
        <x:f>IF($B11&gt;INDEX('Portfoy'!$U$7:$U$26,MATCH('Panel'!$C$5,'Portfoy'!$A$7:$A$26,0)),"",INDEX('Gorevler'!$A$7:$A$206,MATCH($B11,'Gorevler'!$S$7:$S$206,0)))</x:f>
        <x:v>G1-05</x:v>
      </x:c>
      <x:c r="D11" s="2" t="str">
        <x:f>IF($B11&gt;INDEX('Portfoy'!$U$7:$U$26,MATCH('Panel'!$C$5,'Portfoy'!$A$7:$A$26,0)),"",INDEX('Gorevler'!$C$7:$C$206,MATCH($B11,'Gorevler'!$S$7:$S$206,0)))</x:f>
        <x:v>Montaj ve entegrasyon</x:v>
      </x:c>
      <x:c r="E11" s="2" t="str">
        <x:f>IF($B11&gt;INDEX('Portfoy'!$U$7:$U$26,MATCH('Panel'!$C$5,'Portfoy'!$A$7:$A$26,0)),"",INDEX('Gorevler'!$D$7:$D$206,MATCH($B11,'Gorevler'!$S$7:$S$206,0)))</x:f>
        <x:v>Ayşe Yılmaz</x:v>
      </x:c>
      <x:c r="F11" s="2" t="str">
        <x:f>IF($B11&gt;INDEX('Portfoy'!$U$7:$U$26,MATCH('Panel'!$C$5,'Portfoy'!$A$7:$A$26,0)),"",INDEX('Gorevler'!$K$7:$K$206,MATCH($B11,'Gorevler'!$S$7:$S$206,0)))</x:f>
        <x:v>Evet</x:v>
      </x:c>
      <x:c r="G11" s="5" t="n">
        <x:f>IF($B11&gt;INDEX('Portfoy'!$U$7:$U$26,MATCH('Panel'!$C$5,'Portfoy'!$A$7:$A$26,0)),"",INDEX('Gorevler'!$F$7:$F$206,MATCH($B11,'Gorevler'!$S$7:$S$206,0)))</x:f>
        <x:v>46321</x:v>
      </x:c>
      <x:c r="H11" s="5" t="n">
        <x:f>IF($B11&gt;INDEX('Portfoy'!$U$7:$U$26,MATCH('Panel'!$C$5,'Portfoy'!$A$7:$A$26,0)),"",INDEX('Gorevler'!$G$7:$G$206,MATCH($B11,'Gorevler'!$S$7:$S$206,0)))</x:f>
        <x:v>46339</x:v>
      </x:c>
      <x:c r="I11" s="37" t="n">
        <x:f>IF($B11&gt;INDEX('Portfoy'!$U$7:$U$26,MATCH('Panel'!$C$5,'Portfoy'!$A$7:$A$26,0)),"",INDEX('Gorevler'!$I$7:$I$206,MATCH($B11,'Gorevler'!$S$7:$S$206,0)))</x:f>
        <x:v>0</x:v>
      </x:c>
      <x:c r="J11" s="5" t="n">
        <x:f>IF($B11&gt;INDEX('Portfoy'!$U$7:$U$26,MATCH('Panel'!$C$5,'Portfoy'!$A$7:$A$26,0)),"",INDEX('Gorevler'!$J$7:$J$206,MATCH($B11,'Gorevler'!$S$7:$S$206,0)))</x:f>
        <x:v>46346</x:v>
      </x:c>
      <x:c r="K11" s="2"/>
      <x:c r="L11" s="43" t="n">
        <x:f>IF($C11="","",IF(AND($I11&lt;1,L$6&lt;=$J11,L$6+6&gt;$H11,$J11&gt;$H11),3,IF(AND($I11&gt;0,L$6&lt;=$G11+($H11-$G11+1)*$I11-1,L$6+6&gt;=$G11),2,IF(AND(L$6&lt;=$H11,L$6+6&gt;=$G11),1,0))))</x:f>
        <x:v>0</x:v>
      </x:c>
      <x:c r="M11" s="43" t="n">
        <x:f>IF($C11="","",IF(AND($I11&lt;1,M$6&lt;=$J11,M$6+6&gt;$H11,$J11&gt;$H11),3,IF(AND($I11&gt;0,M$6&lt;=$G11+($H11-$G11+1)*$I11-1,M$6+6&gt;=$G11),2,IF(AND(M$6&lt;=$H11,M$6+6&gt;=$G11),1,0))))</x:f>
        <x:v>0</x:v>
      </x:c>
      <x:c r="N11" s="43" t="n">
        <x:f>IF($C11="","",IF(AND($I11&lt;1,N$6&lt;=$J11,N$6+6&gt;$H11,$J11&gt;$H11),3,IF(AND($I11&gt;0,N$6&lt;=$G11+($H11-$G11+1)*$I11-1,N$6+6&gt;=$G11),2,IF(AND(N$6&lt;=$H11,N$6+6&gt;=$G11),1,0))))</x:f>
        <x:v>0</x:v>
      </x:c>
      <x:c r="O11" s="43" t="n">
        <x:f>IF($C11="","",IF(AND($I11&lt;1,O$6&lt;=$J11,O$6+6&gt;$H11,$J11&gt;$H11),3,IF(AND($I11&gt;0,O$6&lt;=$G11+($H11-$G11+1)*$I11-1,O$6+6&gt;=$G11),2,IF(AND(O$6&lt;=$H11,O$6+6&gt;=$G11),1,0))))</x:f>
        <x:v>0</x:v>
      </x:c>
      <x:c r="P11" s="43" t="n">
        <x:f>IF($C11="","",IF(AND($I11&lt;1,P$6&lt;=$J11,P$6+6&gt;$H11,$J11&gt;$H11),3,IF(AND($I11&gt;0,P$6&lt;=$G11+($H11-$G11+1)*$I11-1,P$6+6&gt;=$G11),2,IF(AND(P$6&lt;=$H11,P$6+6&gt;=$G11),1,0))))</x:f>
        <x:v>0</x:v>
      </x:c>
      <x:c r="Q11" s="43" t="n">
        <x:f>IF($C11="","",IF(AND($I11&lt;1,Q$6&lt;=$J11,Q$6+6&gt;$H11,$J11&gt;$H11),3,IF(AND($I11&gt;0,Q$6&lt;=$G11+($H11-$G11+1)*$I11-1,Q$6+6&gt;=$G11),2,IF(AND(Q$6&lt;=$H11,Q$6+6&gt;=$G11),1,0))))</x:f>
        <x:v>0</x:v>
      </x:c>
      <x:c r="R11" s="43" t="n">
        <x:f>IF($C11="","",IF(AND($I11&lt;1,R$6&lt;=$J11,R$6+6&gt;$H11,$J11&gt;$H11),3,IF(AND($I11&gt;0,R$6&lt;=$G11+($H11-$G11+1)*$I11-1,R$6+6&gt;=$G11),2,IF(AND(R$6&lt;=$H11,R$6+6&gt;=$G11),1,0))))</x:f>
        <x:v>0</x:v>
      </x:c>
      <x:c r="S11" s="43" t="n">
        <x:f>IF($C11="","",IF(AND($I11&lt;1,S$6&lt;=$J11,S$6+6&gt;$H11,$J11&gt;$H11),3,IF(AND($I11&gt;0,S$6&lt;=$G11+($H11-$G11+1)*$I11-1,S$6+6&gt;=$G11),2,IF(AND(S$6&lt;=$H11,S$6+6&gt;=$G11),1,0))))</x:f>
        <x:v>1</x:v>
      </x:c>
      <x:c r="T11" s="43" t="n">
        <x:f>IF($C11="","",IF(AND($I11&lt;1,T$6&lt;=$J11,T$6+6&gt;$H11,$J11&gt;$H11),3,IF(AND($I11&gt;0,T$6&lt;=$G11+($H11-$G11+1)*$I11-1,T$6+6&gt;=$G11),2,IF(AND(T$6&lt;=$H11,T$6+6&gt;=$G11),1,0))))</x:f>
        <x:v>1</x:v>
      </x:c>
      <x:c r="U11" s="43" t="n">
        <x:f>IF($C11="","",IF(AND($I11&lt;1,U$6&lt;=$J11,U$6+6&gt;$H11,$J11&gt;$H11),3,IF(AND($I11&gt;0,U$6&lt;=$G11+($H11-$G11+1)*$I11-1,U$6+6&gt;=$G11),2,IF(AND(U$6&lt;=$H11,U$6+6&gt;=$G11),1,0))))</x:f>
        <x:v>3</x:v>
      </x:c>
      <x:c r="V11" s="43" t="n">
        <x:f>IF($C11="","",IF(AND($I11&lt;1,V$6&lt;=$J11,V$6+6&gt;$H11,$J11&gt;$H11),3,IF(AND($I11&gt;0,V$6&lt;=$G11+($H11-$G11+1)*$I11-1,V$6+6&gt;=$G11),2,IF(AND(V$6&lt;=$H11,V$6+6&gt;=$G11),1,0))))</x:f>
        <x:v>3</x:v>
      </x:c>
      <x:c r="W11" s="43" t="n">
        <x:f>IF($C11="","",IF(AND($I11&lt;1,W$6&lt;=$J11,W$6+6&gt;$H11,$J11&gt;$H11),3,IF(AND($I11&gt;0,W$6&lt;=$G11+($H11-$G11+1)*$I11-1,W$6+6&gt;=$G11),2,IF(AND(W$6&lt;=$H11,W$6+6&gt;=$G11),1,0))))</x:f>
        <x:v>0</x:v>
      </x:c>
      <x:c r="X11" s="43" t="n">
        <x:f>IF($C11="","",IF(AND($I11&lt;1,X$6&lt;=$J11,X$6+6&gt;$H11,$J11&gt;$H11),3,IF(AND($I11&gt;0,X$6&lt;=$G11+($H11-$G11+1)*$I11-1,X$6+6&gt;=$G11),2,IF(AND(X$6&lt;=$H11,X$6+6&gt;=$G11),1,0))))</x:f>
        <x:v>0</x:v>
      </x:c>
      <x:c r="Y11" s="43" t="n">
        <x:f>IF($C11="","",IF(AND($I11&lt;1,Y$6&lt;=$J11,Y$6+6&gt;$H11,$J11&gt;$H11),3,IF(AND($I11&gt;0,Y$6&lt;=$G11+($H11-$G11+1)*$I11-1,Y$6+6&gt;=$G11),2,IF(AND(Y$6&lt;=$H11,Y$6+6&gt;=$G11),1,0))))</x:f>
        <x:v>0</x:v>
      </x:c>
      <x:c r="Z11" s="43" t="n">
        <x:f>IF($C11="","",IF(AND($I11&lt;1,Z$6&lt;=$J11,Z$6+6&gt;$H11,$J11&gt;$H11),3,IF(AND($I11&gt;0,Z$6&lt;=$G11+($H11-$G11+1)*$I11-1,Z$6+6&gt;=$G11),2,IF(AND(Z$6&lt;=$H11,Z$6+6&gt;=$G11),1,0))))</x:f>
        <x:v>0</x:v>
      </x:c>
      <x:c r="AA11" s="43" t="n">
        <x:f>IF($C11="","",IF(AND($I11&lt;1,AA$6&lt;=$J11,AA$6+6&gt;$H11,$J11&gt;$H11),3,IF(AND($I11&gt;0,AA$6&lt;=$G11+($H11-$G11+1)*$I11-1,AA$6+6&gt;=$G11),2,IF(AND(AA$6&lt;=$H11,AA$6+6&gt;=$G11),1,0))))</x:f>
        <x:v>0</x:v>
      </x:c>
      <x:c r="AB11" s="43" t="n">
        <x:f>IF($C11="","",IF(AND($I11&lt;1,AB$6&lt;=$J11,AB$6+6&gt;$H11,$J11&gt;$H11),3,IF(AND($I11&gt;0,AB$6&lt;=$G11+($H11-$G11+1)*$I11-1,AB$6+6&gt;=$G11),2,IF(AND(AB$6&lt;=$H11,AB$6+6&gt;=$G11),1,0))))</x:f>
        <x:v>0</x:v>
      </x:c>
      <x:c r="AC11" s="43" t="n">
        <x:f>IF($C11="","",IF(AND($I11&lt;1,AC$6&lt;=$J11,AC$6+6&gt;$H11,$J11&gt;$H11),3,IF(AND($I11&gt;0,AC$6&lt;=$G11+($H11-$G11+1)*$I11-1,AC$6+6&gt;=$G11),2,IF(AND(AC$6&lt;=$H11,AC$6+6&gt;=$G11),1,0))))</x:f>
        <x:v>0</x:v>
      </x:c>
      <x:c r="AD11" s="43" t="n">
        <x:f>IF($C11="","",IF(AND($I11&lt;1,AD$6&lt;=$J11,AD$6+6&gt;$H11,$J11&gt;$H11),3,IF(AND($I11&gt;0,AD$6&lt;=$G11+($H11-$G11+1)*$I11-1,AD$6+6&gt;=$G11),2,IF(AND(AD$6&lt;=$H11,AD$6+6&gt;=$G11),1,0))))</x:f>
        <x:v>0</x:v>
      </x:c>
      <x:c r="AE11" s="43" t="n">
        <x:f>IF($C11="","",IF(AND($I11&lt;1,AE$6&lt;=$J11,AE$6+6&gt;$H11,$J11&gt;$H11),3,IF(AND($I11&gt;0,AE$6&lt;=$G11+($H11-$G11+1)*$I11-1,AE$6+6&gt;=$G11),2,IF(AND(AE$6&lt;=$H11,AE$6+6&gt;=$G11),1,0))))</x:f>
        <x:v>0</x:v>
      </x:c>
      <x:c r="AF11" s="43" t="n">
        <x:f>IF($C11="","",IF(AND($I11&lt;1,AF$6&lt;=$J11,AF$6+6&gt;$H11,$J11&gt;$H11),3,IF(AND($I11&gt;0,AF$6&lt;=$G11+($H11-$G11+1)*$I11-1,AF$6+6&gt;=$G11),2,IF(AND(AF$6&lt;=$H11,AF$6+6&gt;=$G11),1,0))))</x:f>
        <x:v>0</x:v>
      </x:c>
      <x:c r="AG11" s="43" t="n">
        <x:f>IF($C11="","",IF(AND($I11&lt;1,AG$6&lt;=$J11,AG$6+6&gt;$H11,$J11&gt;$H11),3,IF(AND($I11&gt;0,AG$6&lt;=$G11+($H11-$G11+1)*$I11-1,AG$6+6&gt;=$G11),2,IF(AND(AG$6&lt;=$H11,AG$6+6&gt;=$G11),1,0))))</x:f>
        <x:v>0</x:v>
      </x:c>
      <x:c r="AH11" s="43" t="n">
        <x:f>IF($C11="","",IF(AND($I11&lt;1,AH$6&lt;=$J11,AH$6+6&gt;$H11,$J11&gt;$H11),3,IF(AND($I11&gt;0,AH$6&lt;=$G11+($H11-$G11+1)*$I11-1,AH$6+6&gt;=$G11),2,IF(AND(AH$6&lt;=$H11,AH$6+6&gt;=$G11),1,0))))</x:f>
        <x:v>0</x:v>
      </x:c>
      <x:c r="AI11" s="43" t="n">
        <x:f>IF($C11="","",IF(AND($I11&lt;1,AI$6&lt;=$J11,AI$6+6&gt;$H11,$J11&gt;$H11),3,IF(AND($I11&gt;0,AI$6&lt;=$G11+($H11-$G11+1)*$I11-1,AI$6+6&gt;=$G11),2,IF(AND(AI$6&lt;=$H11,AI$6+6&gt;=$G11),1,0))))</x:f>
        <x:v>0</x:v>
      </x:c>
      <x:c r="AJ11" s="43" t="n">
        <x:f>IF($C11="","",IF(AND($I11&lt;1,AJ$6&lt;=$J11,AJ$6+6&gt;$H11,$J11&gt;$H11),3,IF(AND($I11&gt;0,AJ$6&lt;=$G11+($H11-$G11+1)*$I11-1,AJ$6+6&gt;=$G11),2,IF(AND(AJ$6&lt;=$H11,AJ$6+6&gt;=$G11),1,0))))</x:f>
        <x:v>0</x:v>
      </x:c>
      <x:c r="AK11" s="43" t="n">
        <x:f>IF($C11="","",IF(AND($I11&lt;1,AK$6&lt;=$J11,AK$6+6&gt;$H11,$J11&gt;$H11),3,IF(AND($I11&gt;0,AK$6&lt;=$G11+($H11-$G11+1)*$I11-1,AK$6+6&gt;=$G11),2,IF(AND(AK$6&lt;=$H11,AK$6+6&gt;=$G11),1,0))))</x:f>
        <x:v>0</x:v>
      </x:c>
    </x:row>
    <x:row r="12" ht="22" customHeight="1">
      <x:c r="A12" s="2"/>
      <x:c r="B12" s="2" t="n">
        <x:v>6</x:v>
      </x:c>
      <x:c r="C12" s="2" t="str">
        <x:f>IF($B12&gt;INDEX('Portfoy'!$U$7:$U$26,MATCH('Panel'!$C$5,'Portfoy'!$A$7:$A$26,0)),"",INDEX('Gorevler'!$A$7:$A$206,MATCH($B12,'Gorevler'!$S$7:$S$206,0)))</x:f>
        <x:v>G1-06</x:v>
      </x:c>
      <x:c r="D12" s="2" t="str">
        <x:f>IF($B12&gt;INDEX('Portfoy'!$U$7:$U$26,MATCH('Panel'!$C$5,'Portfoy'!$A$7:$A$26,0)),"",INDEX('Gorevler'!$C$7:$C$206,MATCH($B12,'Gorevler'!$S$7:$S$206,0)))</x:f>
        <x:v>Test ve devreye alma</x:v>
      </x:c>
      <x:c r="E12" s="2" t="str">
        <x:f>IF($B12&gt;INDEX('Portfoy'!$U$7:$U$26,MATCH('Panel'!$C$5,'Portfoy'!$A$7:$A$26,0)),"",INDEX('Gorevler'!$D$7:$D$206,MATCH($B12,'Gorevler'!$S$7:$S$206,0)))</x:f>
        <x:v>Ayşe Yılmaz</x:v>
      </x:c>
      <x:c r="F12" s="2" t="str">
        <x:f>IF($B12&gt;INDEX('Portfoy'!$U$7:$U$26,MATCH('Panel'!$C$5,'Portfoy'!$A$7:$A$26,0)),"",INDEX('Gorevler'!$K$7:$K$206,MATCH($B12,'Gorevler'!$S$7:$S$206,0)))</x:f>
        <x:v>Evet</x:v>
      </x:c>
      <x:c r="G12" s="5" t="n">
        <x:f>IF($B12&gt;INDEX('Portfoy'!$U$7:$U$26,MATCH('Panel'!$C$5,'Portfoy'!$A$7:$A$26,0)),"",INDEX('Gorevler'!$F$7:$F$206,MATCH($B12,'Gorevler'!$S$7:$S$206,0)))</x:f>
        <x:v>46342</x:v>
      </x:c>
      <x:c r="H12" s="5" t="n">
        <x:f>IF($B12&gt;INDEX('Portfoy'!$U$7:$U$26,MATCH('Panel'!$C$5,'Portfoy'!$A$7:$A$26,0)),"",INDEX('Gorevler'!$G$7:$G$206,MATCH($B12,'Gorevler'!$S$7:$S$206,0)))</x:f>
        <x:v>46353</x:v>
      </x:c>
      <x:c r="I12" s="37" t="n">
        <x:f>IF($B12&gt;INDEX('Portfoy'!$U$7:$U$26,MATCH('Panel'!$C$5,'Portfoy'!$A$7:$A$26,0)),"",INDEX('Gorevler'!$I$7:$I$206,MATCH($B12,'Gorevler'!$S$7:$S$206,0)))</x:f>
        <x:v>0</x:v>
      </x:c>
      <x:c r="J12" s="5" t="n">
        <x:f>IF($B12&gt;INDEX('Portfoy'!$U$7:$U$26,MATCH('Panel'!$C$5,'Portfoy'!$A$7:$A$26,0)),"",INDEX('Gorevler'!$J$7:$J$206,MATCH($B12,'Gorevler'!$S$7:$S$206,0)))</x:f>
        <x:v>46360</x:v>
      </x:c>
      <x:c r="K12" s="2"/>
      <x:c r="L12" s="43" t="n">
        <x:f>IF($C12="","",IF(AND($I12&lt;1,L$6&lt;=$J12,L$6+6&gt;$H12,$J12&gt;$H12),3,IF(AND($I12&gt;0,L$6&lt;=$G12+($H12-$G12+1)*$I12-1,L$6+6&gt;=$G12),2,IF(AND(L$6&lt;=$H12,L$6+6&gt;=$G12),1,0))))</x:f>
        <x:v>0</x:v>
      </x:c>
      <x:c r="M12" s="43" t="n">
        <x:f>IF($C12="","",IF(AND($I12&lt;1,M$6&lt;=$J12,M$6+6&gt;$H12,$J12&gt;$H12),3,IF(AND($I12&gt;0,M$6&lt;=$G12+($H12-$G12+1)*$I12-1,M$6+6&gt;=$G12),2,IF(AND(M$6&lt;=$H12,M$6+6&gt;=$G12),1,0))))</x:f>
        <x:v>0</x:v>
      </x:c>
      <x:c r="N12" s="43" t="n">
        <x:f>IF($C12="","",IF(AND($I12&lt;1,N$6&lt;=$J12,N$6+6&gt;$H12,$J12&gt;$H12),3,IF(AND($I12&gt;0,N$6&lt;=$G12+($H12-$G12+1)*$I12-1,N$6+6&gt;=$G12),2,IF(AND(N$6&lt;=$H12,N$6+6&gt;=$G12),1,0))))</x:f>
        <x:v>0</x:v>
      </x:c>
      <x:c r="O12" s="43" t="n">
        <x:f>IF($C12="","",IF(AND($I12&lt;1,O$6&lt;=$J12,O$6+6&gt;$H12,$J12&gt;$H12),3,IF(AND($I12&gt;0,O$6&lt;=$G12+($H12-$G12+1)*$I12-1,O$6+6&gt;=$G12),2,IF(AND(O$6&lt;=$H12,O$6+6&gt;=$G12),1,0))))</x:f>
        <x:v>0</x:v>
      </x:c>
      <x:c r="P12" s="43" t="n">
        <x:f>IF($C12="","",IF(AND($I12&lt;1,P$6&lt;=$J12,P$6+6&gt;$H12,$J12&gt;$H12),3,IF(AND($I12&gt;0,P$6&lt;=$G12+($H12-$G12+1)*$I12-1,P$6+6&gt;=$G12),2,IF(AND(P$6&lt;=$H12,P$6+6&gt;=$G12),1,0))))</x:f>
        <x:v>0</x:v>
      </x:c>
      <x:c r="Q12" s="43" t="n">
        <x:f>IF($C12="","",IF(AND($I12&lt;1,Q$6&lt;=$J12,Q$6+6&gt;$H12,$J12&gt;$H12),3,IF(AND($I12&gt;0,Q$6&lt;=$G12+($H12-$G12+1)*$I12-1,Q$6+6&gt;=$G12),2,IF(AND(Q$6&lt;=$H12,Q$6+6&gt;=$G12),1,0))))</x:f>
        <x:v>0</x:v>
      </x:c>
      <x:c r="R12" s="43" t="n">
        <x:f>IF($C12="","",IF(AND($I12&lt;1,R$6&lt;=$J12,R$6+6&gt;$H12,$J12&gt;$H12),3,IF(AND($I12&gt;0,R$6&lt;=$G12+($H12-$G12+1)*$I12-1,R$6+6&gt;=$G12),2,IF(AND(R$6&lt;=$H12,R$6+6&gt;=$G12),1,0))))</x:f>
        <x:v>0</x:v>
      </x:c>
      <x:c r="S12" s="43" t="n">
        <x:f>IF($C12="","",IF(AND($I12&lt;1,S$6&lt;=$J12,S$6+6&gt;$H12,$J12&gt;$H12),3,IF(AND($I12&gt;0,S$6&lt;=$G12+($H12-$G12+1)*$I12-1,S$6+6&gt;=$G12),2,IF(AND(S$6&lt;=$H12,S$6+6&gt;=$G12),1,0))))</x:f>
        <x:v>0</x:v>
      </x:c>
      <x:c r="T12" s="43" t="n">
        <x:f>IF($C12="","",IF(AND($I12&lt;1,T$6&lt;=$J12,T$6+6&gt;$H12,$J12&gt;$H12),3,IF(AND($I12&gt;0,T$6&lt;=$G12+($H12-$G12+1)*$I12-1,T$6+6&gt;=$G12),2,IF(AND(T$6&lt;=$H12,T$6+6&gt;=$G12),1,0))))</x:f>
        <x:v>0</x:v>
      </x:c>
      <x:c r="U12" s="43" t="n">
        <x:f>IF($C12="","",IF(AND($I12&lt;1,U$6&lt;=$J12,U$6+6&gt;$H12,$J12&gt;$H12),3,IF(AND($I12&gt;0,U$6&lt;=$G12+($H12-$G12+1)*$I12-1,U$6+6&gt;=$G12),2,IF(AND(U$6&lt;=$H12,U$6+6&gt;=$G12),1,0))))</x:f>
        <x:v>0</x:v>
      </x:c>
      <x:c r="V12" s="43" t="n">
        <x:f>IF($C12="","",IF(AND($I12&lt;1,V$6&lt;=$J12,V$6+6&gt;$H12,$J12&gt;$H12),3,IF(AND($I12&gt;0,V$6&lt;=$G12+($H12-$G12+1)*$I12-1,V$6+6&gt;=$G12),2,IF(AND(V$6&lt;=$H12,V$6+6&gt;=$G12),1,0))))</x:f>
        <x:v>1</x:v>
      </x:c>
      <x:c r="W12" s="43" t="n">
        <x:f>IF($C12="","",IF(AND($I12&lt;1,W$6&lt;=$J12,W$6+6&gt;$H12,$J12&gt;$H12),3,IF(AND($I12&gt;0,W$6&lt;=$G12+($H12-$G12+1)*$I12-1,W$6+6&gt;=$G12),2,IF(AND(W$6&lt;=$H12,W$6+6&gt;=$G12),1,0))))</x:f>
        <x:v>3</x:v>
      </x:c>
      <x:c r="X12" s="43" t="n">
        <x:f>IF($C12="","",IF(AND($I12&lt;1,X$6&lt;=$J12,X$6+6&gt;$H12,$J12&gt;$H12),3,IF(AND($I12&gt;0,X$6&lt;=$G12+($H12-$G12+1)*$I12-1,X$6+6&gt;=$G12),2,IF(AND(X$6&lt;=$H12,X$6+6&gt;=$G12),1,0))))</x:f>
        <x:v>3</x:v>
      </x:c>
      <x:c r="Y12" s="43" t="n">
        <x:f>IF($C12="","",IF(AND($I12&lt;1,Y$6&lt;=$J12,Y$6+6&gt;$H12,$J12&gt;$H12),3,IF(AND($I12&gt;0,Y$6&lt;=$G12+($H12-$G12+1)*$I12-1,Y$6+6&gt;=$G12),2,IF(AND(Y$6&lt;=$H12,Y$6+6&gt;=$G12),1,0))))</x:f>
        <x:v>0</x:v>
      </x:c>
      <x:c r="Z12" s="43" t="n">
        <x:f>IF($C12="","",IF(AND($I12&lt;1,Z$6&lt;=$J12,Z$6+6&gt;$H12,$J12&gt;$H12),3,IF(AND($I12&gt;0,Z$6&lt;=$G12+($H12-$G12+1)*$I12-1,Z$6+6&gt;=$G12),2,IF(AND(Z$6&lt;=$H12,Z$6+6&gt;=$G12),1,0))))</x:f>
        <x:v>0</x:v>
      </x:c>
      <x:c r="AA12" s="43" t="n">
        <x:f>IF($C12="","",IF(AND($I12&lt;1,AA$6&lt;=$J12,AA$6+6&gt;$H12,$J12&gt;$H12),3,IF(AND($I12&gt;0,AA$6&lt;=$G12+($H12-$G12+1)*$I12-1,AA$6+6&gt;=$G12),2,IF(AND(AA$6&lt;=$H12,AA$6+6&gt;=$G12),1,0))))</x:f>
        <x:v>0</x:v>
      </x:c>
      <x:c r="AB12" s="43" t="n">
        <x:f>IF($C12="","",IF(AND($I12&lt;1,AB$6&lt;=$J12,AB$6+6&gt;$H12,$J12&gt;$H12),3,IF(AND($I12&gt;0,AB$6&lt;=$G12+($H12-$G12+1)*$I12-1,AB$6+6&gt;=$G12),2,IF(AND(AB$6&lt;=$H12,AB$6+6&gt;=$G12),1,0))))</x:f>
        <x:v>0</x:v>
      </x:c>
      <x:c r="AC12" s="43" t="n">
        <x:f>IF($C12="","",IF(AND($I12&lt;1,AC$6&lt;=$J12,AC$6+6&gt;$H12,$J12&gt;$H12),3,IF(AND($I12&gt;0,AC$6&lt;=$G12+($H12-$G12+1)*$I12-1,AC$6+6&gt;=$G12),2,IF(AND(AC$6&lt;=$H12,AC$6+6&gt;=$G12),1,0))))</x:f>
        <x:v>0</x:v>
      </x:c>
      <x:c r="AD12" s="43" t="n">
        <x:f>IF($C12="","",IF(AND($I12&lt;1,AD$6&lt;=$J12,AD$6+6&gt;$H12,$J12&gt;$H12),3,IF(AND($I12&gt;0,AD$6&lt;=$G12+($H12-$G12+1)*$I12-1,AD$6+6&gt;=$G12),2,IF(AND(AD$6&lt;=$H12,AD$6+6&gt;=$G12),1,0))))</x:f>
        <x:v>0</x:v>
      </x:c>
      <x:c r="AE12" s="43" t="n">
        <x:f>IF($C12="","",IF(AND($I12&lt;1,AE$6&lt;=$J12,AE$6+6&gt;$H12,$J12&gt;$H12),3,IF(AND($I12&gt;0,AE$6&lt;=$G12+($H12-$G12+1)*$I12-1,AE$6+6&gt;=$G12),2,IF(AND(AE$6&lt;=$H12,AE$6+6&gt;=$G12),1,0))))</x:f>
        <x:v>0</x:v>
      </x:c>
      <x:c r="AF12" s="43" t="n">
        <x:f>IF($C12="","",IF(AND($I12&lt;1,AF$6&lt;=$J12,AF$6+6&gt;$H12,$J12&gt;$H12),3,IF(AND($I12&gt;0,AF$6&lt;=$G12+($H12-$G12+1)*$I12-1,AF$6+6&gt;=$G12),2,IF(AND(AF$6&lt;=$H12,AF$6+6&gt;=$G12),1,0))))</x:f>
        <x:v>0</x:v>
      </x:c>
      <x:c r="AG12" s="43" t="n">
        <x:f>IF($C12="","",IF(AND($I12&lt;1,AG$6&lt;=$J12,AG$6+6&gt;$H12,$J12&gt;$H12),3,IF(AND($I12&gt;0,AG$6&lt;=$G12+($H12-$G12+1)*$I12-1,AG$6+6&gt;=$G12),2,IF(AND(AG$6&lt;=$H12,AG$6+6&gt;=$G12),1,0))))</x:f>
        <x:v>0</x:v>
      </x:c>
      <x:c r="AH12" s="43" t="n">
        <x:f>IF($C12="","",IF(AND($I12&lt;1,AH$6&lt;=$J12,AH$6+6&gt;$H12,$J12&gt;$H12),3,IF(AND($I12&gt;0,AH$6&lt;=$G12+($H12-$G12+1)*$I12-1,AH$6+6&gt;=$G12),2,IF(AND(AH$6&lt;=$H12,AH$6+6&gt;=$G12),1,0))))</x:f>
        <x:v>0</x:v>
      </x:c>
      <x:c r="AI12" s="43" t="n">
        <x:f>IF($C12="","",IF(AND($I12&lt;1,AI$6&lt;=$J12,AI$6+6&gt;$H12,$J12&gt;$H12),3,IF(AND($I12&gt;0,AI$6&lt;=$G12+($H12-$G12+1)*$I12-1,AI$6+6&gt;=$G12),2,IF(AND(AI$6&lt;=$H12,AI$6+6&gt;=$G12),1,0))))</x:f>
        <x:v>0</x:v>
      </x:c>
      <x:c r="AJ12" s="43" t="n">
        <x:f>IF($C12="","",IF(AND($I12&lt;1,AJ$6&lt;=$J12,AJ$6+6&gt;$H12,$J12&gt;$H12),3,IF(AND($I12&gt;0,AJ$6&lt;=$G12+($H12-$G12+1)*$I12-1,AJ$6+6&gt;=$G12),2,IF(AND(AJ$6&lt;=$H12,AJ$6+6&gt;=$G12),1,0))))</x:f>
        <x:v>0</x:v>
      </x:c>
      <x:c r="AK12" s="43" t="n">
        <x:f>IF($C12="","",IF(AND($I12&lt;1,AK$6&lt;=$J12,AK$6+6&gt;$H12,$J12&gt;$H12),3,IF(AND($I12&gt;0,AK$6&lt;=$G12+($H12-$G12+1)*$I12-1,AK$6+6&gt;=$G12),2,IF(AND(AK$6&lt;=$H12,AK$6+6&gt;=$G12),1,0))))</x:f>
        <x:v>0</x:v>
      </x:c>
    </x:row>
    <x:row r="13" ht="22" customHeight="1">
      <x:c r="A13" s="2"/>
      <x:c r="B13" s="2" t="n">
        <x:v>7</x:v>
      </x:c>
      <x:c r="C13" s="2" t="str">
        <x:f>IF($B13&gt;INDEX('Portfoy'!$U$7:$U$26,MATCH('Panel'!$C$5,'Portfoy'!$A$7:$A$26,0)),"",INDEX('Gorevler'!$A$7:$A$206,MATCH($B13,'Gorevler'!$S$7:$S$206,0)))</x:f>
        <x:v>G1-07</x:v>
      </x:c>
      <x:c r="D13" s="2" t="str">
        <x:f>IF($B13&gt;INDEX('Portfoy'!$U$7:$U$26,MATCH('Panel'!$C$5,'Portfoy'!$A$7:$A$26,0)),"",INDEX('Gorevler'!$C$7:$C$206,MATCH($B13,'Gorevler'!$S$7:$S$206,0)))</x:f>
        <x:v>Kabul ve teslim</x:v>
      </x:c>
      <x:c r="E13" s="2" t="str">
        <x:f>IF($B13&gt;INDEX('Portfoy'!$U$7:$U$26,MATCH('Panel'!$C$5,'Portfoy'!$A$7:$A$26,0)),"",INDEX('Gorevler'!$D$7:$D$206,MATCH($B13,'Gorevler'!$S$7:$S$206,0)))</x:f>
        <x:v>Ayşe Yılmaz</x:v>
      </x:c>
      <x:c r="F13" s="2" t="str">
        <x:f>IF($B13&gt;INDEX('Portfoy'!$U$7:$U$26,MATCH('Panel'!$C$5,'Portfoy'!$A$7:$A$26,0)),"",INDEX('Gorevler'!$K$7:$K$206,MATCH($B13,'Gorevler'!$S$7:$S$206,0)))</x:f>
        <x:v>Evet</x:v>
      </x:c>
      <x:c r="G13" s="5" t="n">
        <x:f>IF($B13&gt;INDEX('Portfoy'!$U$7:$U$26,MATCH('Panel'!$C$5,'Portfoy'!$A$7:$A$26,0)),"",INDEX('Gorevler'!$F$7:$F$206,MATCH($B13,'Gorevler'!$S$7:$S$206,0)))</x:f>
        <x:v>46356</x:v>
      </x:c>
      <x:c r="H13" s="5" t="n">
        <x:f>IF($B13&gt;INDEX('Portfoy'!$U$7:$U$26,MATCH('Panel'!$C$5,'Portfoy'!$A$7:$A$26,0)),"",INDEX('Gorevler'!$G$7:$G$206,MATCH($B13,'Gorevler'!$S$7:$S$206,0)))</x:f>
        <x:v>46360</x:v>
      </x:c>
      <x:c r="I13" s="37" t="n">
        <x:f>IF($B13&gt;INDEX('Portfoy'!$U$7:$U$26,MATCH('Panel'!$C$5,'Portfoy'!$A$7:$A$26,0)),"",INDEX('Gorevler'!$I$7:$I$206,MATCH($B13,'Gorevler'!$S$7:$S$206,0)))</x:f>
        <x:v>0</x:v>
      </x:c>
      <x:c r="J13" s="5" t="n">
        <x:f>IF($B13&gt;INDEX('Portfoy'!$U$7:$U$26,MATCH('Panel'!$C$5,'Portfoy'!$A$7:$A$26,0)),"",INDEX('Gorevler'!$J$7:$J$206,MATCH($B13,'Gorevler'!$S$7:$S$206,0)))</x:f>
        <x:v>46367</x:v>
      </x:c>
      <x:c r="K13" s="2"/>
      <x:c r="L13" s="43" t="n">
        <x:f>IF($C13="","",IF(AND($I13&lt;1,L$6&lt;=$J13,L$6+6&gt;$H13,$J13&gt;$H13),3,IF(AND($I13&gt;0,L$6&lt;=$G13+($H13-$G13+1)*$I13-1,L$6+6&gt;=$G13),2,IF(AND(L$6&lt;=$H13,L$6+6&gt;=$G13),1,0))))</x:f>
        <x:v>0</x:v>
      </x:c>
      <x:c r="M13" s="43" t="n">
        <x:f>IF($C13="","",IF(AND($I13&lt;1,M$6&lt;=$J13,M$6+6&gt;$H13,$J13&gt;$H13),3,IF(AND($I13&gt;0,M$6&lt;=$G13+($H13-$G13+1)*$I13-1,M$6+6&gt;=$G13),2,IF(AND(M$6&lt;=$H13,M$6+6&gt;=$G13),1,0))))</x:f>
        <x:v>0</x:v>
      </x:c>
      <x:c r="N13" s="43" t="n">
        <x:f>IF($C13="","",IF(AND($I13&lt;1,N$6&lt;=$J13,N$6+6&gt;$H13,$J13&gt;$H13),3,IF(AND($I13&gt;0,N$6&lt;=$G13+($H13-$G13+1)*$I13-1,N$6+6&gt;=$G13),2,IF(AND(N$6&lt;=$H13,N$6+6&gt;=$G13),1,0))))</x:f>
        <x:v>0</x:v>
      </x:c>
      <x:c r="O13" s="43" t="n">
        <x:f>IF($C13="","",IF(AND($I13&lt;1,O$6&lt;=$J13,O$6+6&gt;$H13,$J13&gt;$H13),3,IF(AND($I13&gt;0,O$6&lt;=$G13+($H13-$G13+1)*$I13-1,O$6+6&gt;=$G13),2,IF(AND(O$6&lt;=$H13,O$6+6&gt;=$G13),1,0))))</x:f>
        <x:v>0</x:v>
      </x:c>
      <x:c r="P13" s="43" t="n">
        <x:f>IF($C13="","",IF(AND($I13&lt;1,P$6&lt;=$J13,P$6+6&gt;$H13,$J13&gt;$H13),3,IF(AND($I13&gt;0,P$6&lt;=$G13+($H13-$G13+1)*$I13-1,P$6+6&gt;=$G13),2,IF(AND(P$6&lt;=$H13,P$6+6&gt;=$G13),1,0))))</x:f>
        <x:v>0</x:v>
      </x:c>
      <x:c r="Q13" s="43" t="n">
        <x:f>IF($C13="","",IF(AND($I13&lt;1,Q$6&lt;=$J13,Q$6+6&gt;$H13,$J13&gt;$H13),3,IF(AND($I13&gt;0,Q$6&lt;=$G13+($H13-$G13+1)*$I13-1,Q$6+6&gt;=$G13),2,IF(AND(Q$6&lt;=$H13,Q$6+6&gt;=$G13),1,0))))</x:f>
        <x:v>0</x:v>
      </x:c>
      <x:c r="R13" s="43" t="n">
        <x:f>IF($C13="","",IF(AND($I13&lt;1,R$6&lt;=$J13,R$6+6&gt;$H13,$J13&gt;$H13),3,IF(AND($I13&gt;0,R$6&lt;=$G13+($H13-$G13+1)*$I13-1,R$6+6&gt;=$G13),2,IF(AND(R$6&lt;=$H13,R$6+6&gt;=$G13),1,0))))</x:f>
        <x:v>0</x:v>
      </x:c>
      <x:c r="S13" s="43" t="n">
        <x:f>IF($C13="","",IF(AND($I13&lt;1,S$6&lt;=$J13,S$6+6&gt;$H13,$J13&gt;$H13),3,IF(AND($I13&gt;0,S$6&lt;=$G13+($H13-$G13+1)*$I13-1,S$6+6&gt;=$G13),2,IF(AND(S$6&lt;=$H13,S$6+6&gt;=$G13),1,0))))</x:f>
        <x:v>0</x:v>
      </x:c>
      <x:c r="T13" s="43" t="n">
        <x:f>IF($C13="","",IF(AND($I13&lt;1,T$6&lt;=$J13,T$6+6&gt;$H13,$J13&gt;$H13),3,IF(AND($I13&gt;0,T$6&lt;=$G13+($H13-$G13+1)*$I13-1,T$6+6&gt;=$G13),2,IF(AND(T$6&lt;=$H13,T$6+6&gt;=$G13),1,0))))</x:f>
        <x:v>0</x:v>
      </x:c>
      <x:c r="U13" s="43" t="n">
        <x:f>IF($C13="","",IF(AND($I13&lt;1,U$6&lt;=$J13,U$6+6&gt;$H13,$J13&gt;$H13),3,IF(AND($I13&gt;0,U$6&lt;=$G13+($H13-$G13+1)*$I13-1,U$6+6&gt;=$G13),2,IF(AND(U$6&lt;=$H13,U$6+6&gt;=$G13),1,0))))</x:f>
        <x:v>0</x:v>
      </x:c>
      <x:c r="V13" s="43" t="n">
        <x:f>IF($C13="","",IF(AND($I13&lt;1,V$6&lt;=$J13,V$6+6&gt;$H13,$J13&gt;$H13),3,IF(AND($I13&gt;0,V$6&lt;=$G13+($H13-$G13+1)*$I13-1,V$6+6&gt;=$G13),2,IF(AND(V$6&lt;=$H13,V$6+6&gt;=$G13),1,0))))</x:f>
        <x:v>0</x:v>
      </x:c>
      <x:c r="W13" s="43" t="n">
        <x:f>IF($C13="","",IF(AND($I13&lt;1,W$6&lt;=$J13,W$6+6&gt;$H13,$J13&gt;$H13),3,IF(AND($I13&gt;0,W$6&lt;=$G13+($H13-$G13+1)*$I13-1,W$6+6&gt;=$G13),2,IF(AND(W$6&lt;=$H13,W$6+6&gt;=$G13),1,0))))</x:f>
        <x:v>0</x:v>
      </x:c>
      <x:c r="X13" s="43" t="n">
        <x:f>IF($C13="","",IF(AND($I13&lt;1,X$6&lt;=$J13,X$6+6&gt;$H13,$J13&gt;$H13),3,IF(AND($I13&gt;0,X$6&lt;=$G13+($H13-$G13+1)*$I13-1,X$6+6&gt;=$G13),2,IF(AND(X$6&lt;=$H13,X$6+6&gt;=$G13),1,0))))</x:f>
        <x:v>3</x:v>
      </x:c>
      <x:c r="Y13" s="43" t="n">
        <x:f>IF($C13="","",IF(AND($I13&lt;1,Y$6&lt;=$J13,Y$6+6&gt;$H13,$J13&gt;$H13),3,IF(AND($I13&gt;0,Y$6&lt;=$G13+($H13-$G13+1)*$I13-1,Y$6+6&gt;=$G13),2,IF(AND(Y$6&lt;=$H13,Y$6+6&gt;=$G13),1,0))))</x:f>
        <x:v>3</x:v>
      </x:c>
      <x:c r="Z13" s="43" t="n">
        <x:f>IF($C13="","",IF(AND($I13&lt;1,Z$6&lt;=$J13,Z$6+6&gt;$H13,$J13&gt;$H13),3,IF(AND($I13&gt;0,Z$6&lt;=$G13+($H13-$G13+1)*$I13-1,Z$6+6&gt;=$G13),2,IF(AND(Z$6&lt;=$H13,Z$6+6&gt;=$G13),1,0))))</x:f>
        <x:v>0</x:v>
      </x:c>
      <x:c r="AA13" s="43" t="n">
        <x:f>IF($C13="","",IF(AND($I13&lt;1,AA$6&lt;=$J13,AA$6+6&gt;$H13,$J13&gt;$H13),3,IF(AND($I13&gt;0,AA$6&lt;=$G13+($H13-$G13+1)*$I13-1,AA$6+6&gt;=$G13),2,IF(AND(AA$6&lt;=$H13,AA$6+6&gt;=$G13),1,0))))</x:f>
        <x:v>0</x:v>
      </x:c>
      <x:c r="AB13" s="43" t="n">
        <x:f>IF($C13="","",IF(AND($I13&lt;1,AB$6&lt;=$J13,AB$6+6&gt;$H13,$J13&gt;$H13),3,IF(AND($I13&gt;0,AB$6&lt;=$G13+($H13-$G13+1)*$I13-1,AB$6+6&gt;=$G13),2,IF(AND(AB$6&lt;=$H13,AB$6+6&gt;=$G13),1,0))))</x:f>
        <x:v>0</x:v>
      </x:c>
      <x:c r="AC13" s="43" t="n">
        <x:f>IF($C13="","",IF(AND($I13&lt;1,AC$6&lt;=$J13,AC$6+6&gt;$H13,$J13&gt;$H13),3,IF(AND($I13&gt;0,AC$6&lt;=$G13+($H13-$G13+1)*$I13-1,AC$6+6&gt;=$G13),2,IF(AND(AC$6&lt;=$H13,AC$6+6&gt;=$G13),1,0))))</x:f>
        <x:v>0</x:v>
      </x:c>
      <x:c r="AD13" s="43" t="n">
        <x:f>IF($C13="","",IF(AND($I13&lt;1,AD$6&lt;=$J13,AD$6+6&gt;$H13,$J13&gt;$H13),3,IF(AND($I13&gt;0,AD$6&lt;=$G13+($H13-$G13+1)*$I13-1,AD$6+6&gt;=$G13),2,IF(AND(AD$6&lt;=$H13,AD$6+6&gt;=$G13),1,0))))</x:f>
        <x:v>0</x:v>
      </x:c>
      <x:c r="AE13" s="43" t="n">
        <x:f>IF($C13="","",IF(AND($I13&lt;1,AE$6&lt;=$J13,AE$6+6&gt;$H13,$J13&gt;$H13),3,IF(AND($I13&gt;0,AE$6&lt;=$G13+($H13-$G13+1)*$I13-1,AE$6+6&gt;=$G13),2,IF(AND(AE$6&lt;=$H13,AE$6+6&gt;=$G13),1,0))))</x:f>
        <x:v>0</x:v>
      </x:c>
      <x:c r="AF13" s="43" t="n">
        <x:f>IF($C13="","",IF(AND($I13&lt;1,AF$6&lt;=$J13,AF$6+6&gt;$H13,$J13&gt;$H13),3,IF(AND($I13&gt;0,AF$6&lt;=$G13+($H13-$G13+1)*$I13-1,AF$6+6&gt;=$G13),2,IF(AND(AF$6&lt;=$H13,AF$6+6&gt;=$G13),1,0))))</x:f>
        <x:v>0</x:v>
      </x:c>
      <x:c r="AG13" s="43" t="n">
        <x:f>IF($C13="","",IF(AND($I13&lt;1,AG$6&lt;=$J13,AG$6+6&gt;$H13,$J13&gt;$H13),3,IF(AND($I13&gt;0,AG$6&lt;=$G13+($H13-$G13+1)*$I13-1,AG$6+6&gt;=$G13),2,IF(AND(AG$6&lt;=$H13,AG$6+6&gt;=$G13),1,0))))</x:f>
        <x:v>0</x:v>
      </x:c>
      <x:c r="AH13" s="43" t="n">
        <x:f>IF($C13="","",IF(AND($I13&lt;1,AH$6&lt;=$J13,AH$6+6&gt;$H13,$J13&gt;$H13),3,IF(AND($I13&gt;0,AH$6&lt;=$G13+($H13-$G13+1)*$I13-1,AH$6+6&gt;=$G13),2,IF(AND(AH$6&lt;=$H13,AH$6+6&gt;=$G13),1,0))))</x:f>
        <x:v>0</x:v>
      </x:c>
      <x:c r="AI13" s="43" t="n">
        <x:f>IF($C13="","",IF(AND($I13&lt;1,AI$6&lt;=$J13,AI$6+6&gt;$H13,$J13&gt;$H13),3,IF(AND($I13&gt;0,AI$6&lt;=$G13+($H13-$G13+1)*$I13-1,AI$6+6&gt;=$G13),2,IF(AND(AI$6&lt;=$H13,AI$6+6&gt;=$G13),1,0))))</x:f>
        <x:v>0</x:v>
      </x:c>
      <x:c r="AJ13" s="43" t="n">
        <x:f>IF($C13="","",IF(AND($I13&lt;1,AJ$6&lt;=$J13,AJ$6+6&gt;$H13,$J13&gt;$H13),3,IF(AND($I13&gt;0,AJ$6&lt;=$G13+($H13-$G13+1)*$I13-1,AJ$6+6&gt;=$G13),2,IF(AND(AJ$6&lt;=$H13,AJ$6+6&gt;=$G13),1,0))))</x:f>
        <x:v>0</x:v>
      </x:c>
      <x:c r="AK13" s="43" t="n">
        <x:f>IF($C13="","",IF(AND($I13&lt;1,AK$6&lt;=$J13,AK$6+6&gt;$H13,$J13&gt;$H13),3,IF(AND($I13&gt;0,AK$6&lt;=$G13+($H13-$G13+1)*$I13-1,AK$6+6&gt;=$G13),2,IF(AND(AK$6&lt;=$H13,AK$6+6&gt;=$G13),1,0))))</x:f>
        <x:v>0</x:v>
      </x:c>
    </x:row>
    <x:row r="14" ht="22" customHeight="1">
      <x:c r="A14" s="2"/>
      <x:c r="B14" s="2" t="n">
        <x:v>8</x:v>
      </x:c>
      <x:c r="C14" s="2" t="str">
        <x:f>IF($B14&gt;INDEX('Portfoy'!$U$7:$U$26,MATCH('Panel'!$C$5,'Portfoy'!$A$7:$A$26,0)),"",INDEX('Gorevler'!$A$7:$A$206,MATCH($B14,'Gorevler'!$S$7:$S$206,0)))</x:f>
      </x:c>
      <x:c r="D14" s="2" t="str">
        <x:f>IF($B14&gt;INDEX('Portfoy'!$U$7:$U$26,MATCH('Panel'!$C$5,'Portfoy'!$A$7:$A$26,0)),"",INDEX('Gorevler'!$C$7:$C$206,MATCH($B14,'Gorevler'!$S$7:$S$206,0)))</x:f>
      </x:c>
      <x:c r="E14" s="2" t="str">
        <x:f>IF($B14&gt;INDEX('Portfoy'!$U$7:$U$26,MATCH('Panel'!$C$5,'Portfoy'!$A$7:$A$26,0)),"",INDEX('Gorevler'!$D$7:$D$206,MATCH($B14,'Gorevler'!$S$7:$S$206,0)))</x:f>
      </x:c>
      <x:c r="F14" s="2" t="str">
        <x:f>IF($B14&gt;INDEX('Portfoy'!$U$7:$U$26,MATCH('Panel'!$C$5,'Portfoy'!$A$7:$A$26,0)),"",INDEX('Gorevler'!$K$7:$K$206,MATCH($B14,'Gorevler'!$S$7:$S$206,0)))</x:f>
      </x:c>
      <x:c r="G14" s="5" t="str">
        <x:f>IF($B14&gt;INDEX('Portfoy'!$U$7:$U$26,MATCH('Panel'!$C$5,'Portfoy'!$A$7:$A$26,0)),"",INDEX('Gorevler'!$F$7:$F$206,MATCH($B14,'Gorevler'!$S$7:$S$206,0)))</x:f>
      </x:c>
      <x:c r="H14" s="5" t="str">
        <x:f>IF($B14&gt;INDEX('Portfoy'!$U$7:$U$26,MATCH('Panel'!$C$5,'Portfoy'!$A$7:$A$26,0)),"",INDEX('Gorevler'!$G$7:$G$206,MATCH($B14,'Gorevler'!$S$7:$S$206,0)))</x:f>
      </x:c>
      <x:c r="I14" s="37" t="str">
        <x:f>IF($B14&gt;INDEX('Portfoy'!$U$7:$U$26,MATCH('Panel'!$C$5,'Portfoy'!$A$7:$A$26,0)),"",INDEX('Gorevler'!$I$7:$I$206,MATCH($B14,'Gorevler'!$S$7:$S$206,0)))</x:f>
      </x:c>
      <x:c r="J14" s="5" t="str">
        <x:f>IF($B14&gt;INDEX('Portfoy'!$U$7:$U$26,MATCH('Panel'!$C$5,'Portfoy'!$A$7:$A$26,0)),"",INDEX('Gorevler'!$J$7:$J$206,MATCH($B14,'Gorevler'!$S$7:$S$206,0)))</x:f>
      </x:c>
      <x:c r="K14" s="2"/>
      <x:c r="L14" s="43" t="str">
        <x:f>IF($C14="","",IF(AND($I14&lt;1,L$6&lt;=$J14,L$6+6&gt;$H14,$J14&gt;$H14),3,IF(AND($I14&gt;0,L$6&lt;=$G14+($H14-$G14+1)*$I14-1,L$6+6&gt;=$G14),2,IF(AND(L$6&lt;=$H14,L$6+6&gt;=$G14),1,0))))</x:f>
      </x:c>
      <x:c r="M14" s="43" t="str">
        <x:f>IF($C14="","",IF(AND($I14&lt;1,M$6&lt;=$J14,M$6+6&gt;$H14,$J14&gt;$H14),3,IF(AND($I14&gt;0,M$6&lt;=$G14+($H14-$G14+1)*$I14-1,M$6+6&gt;=$G14),2,IF(AND(M$6&lt;=$H14,M$6+6&gt;=$G14),1,0))))</x:f>
      </x:c>
      <x:c r="N14" s="43" t="str">
        <x:f>IF($C14="","",IF(AND($I14&lt;1,N$6&lt;=$J14,N$6+6&gt;$H14,$J14&gt;$H14),3,IF(AND($I14&gt;0,N$6&lt;=$G14+($H14-$G14+1)*$I14-1,N$6+6&gt;=$G14),2,IF(AND(N$6&lt;=$H14,N$6+6&gt;=$G14),1,0))))</x:f>
      </x:c>
      <x:c r="O14" s="43" t="str">
        <x:f>IF($C14="","",IF(AND($I14&lt;1,O$6&lt;=$J14,O$6+6&gt;$H14,$J14&gt;$H14),3,IF(AND($I14&gt;0,O$6&lt;=$G14+($H14-$G14+1)*$I14-1,O$6+6&gt;=$G14),2,IF(AND(O$6&lt;=$H14,O$6+6&gt;=$G14),1,0))))</x:f>
      </x:c>
      <x:c r="P14" s="43" t="str">
        <x:f>IF($C14="","",IF(AND($I14&lt;1,P$6&lt;=$J14,P$6+6&gt;$H14,$J14&gt;$H14),3,IF(AND($I14&gt;0,P$6&lt;=$G14+($H14-$G14+1)*$I14-1,P$6+6&gt;=$G14),2,IF(AND(P$6&lt;=$H14,P$6+6&gt;=$G14),1,0))))</x:f>
      </x:c>
      <x:c r="Q14" s="43" t="str">
        <x:f>IF($C14="","",IF(AND($I14&lt;1,Q$6&lt;=$J14,Q$6+6&gt;$H14,$J14&gt;$H14),3,IF(AND($I14&gt;0,Q$6&lt;=$G14+($H14-$G14+1)*$I14-1,Q$6+6&gt;=$G14),2,IF(AND(Q$6&lt;=$H14,Q$6+6&gt;=$G14),1,0))))</x:f>
      </x:c>
      <x:c r="R14" s="43" t="str">
        <x:f>IF($C14="","",IF(AND($I14&lt;1,R$6&lt;=$J14,R$6+6&gt;$H14,$J14&gt;$H14),3,IF(AND($I14&gt;0,R$6&lt;=$G14+($H14-$G14+1)*$I14-1,R$6+6&gt;=$G14),2,IF(AND(R$6&lt;=$H14,R$6+6&gt;=$G14),1,0))))</x:f>
      </x:c>
      <x:c r="S14" s="43" t="str">
        <x:f>IF($C14="","",IF(AND($I14&lt;1,S$6&lt;=$J14,S$6+6&gt;$H14,$J14&gt;$H14),3,IF(AND($I14&gt;0,S$6&lt;=$G14+($H14-$G14+1)*$I14-1,S$6+6&gt;=$G14),2,IF(AND(S$6&lt;=$H14,S$6+6&gt;=$G14),1,0))))</x:f>
      </x:c>
      <x:c r="T14" s="43" t="str">
        <x:f>IF($C14="","",IF(AND($I14&lt;1,T$6&lt;=$J14,T$6+6&gt;$H14,$J14&gt;$H14),3,IF(AND($I14&gt;0,T$6&lt;=$G14+($H14-$G14+1)*$I14-1,T$6+6&gt;=$G14),2,IF(AND(T$6&lt;=$H14,T$6+6&gt;=$G14),1,0))))</x:f>
      </x:c>
      <x:c r="U14" s="43" t="str">
        <x:f>IF($C14="","",IF(AND($I14&lt;1,U$6&lt;=$J14,U$6+6&gt;$H14,$J14&gt;$H14),3,IF(AND($I14&gt;0,U$6&lt;=$G14+($H14-$G14+1)*$I14-1,U$6+6&gt;=$G14),2,IF(AND(U$6&lt;=$H14,U$6+6&gt;=$G14),1,0))))</x:f>
      </x:c>
      <x:c r="V14" s="43" t="str">
        <x:f>IF($C14="","",IF(AND($I14&lt;1,V$6&lt;=$J14,V$6+6&gt;$H14,$J14&gt;$H14),3,IF(AND($I14&gt;0,V$6&lt;=$G14+($H14-$G14+1)*$I14-1,V$6+6&gt;=$G14),2,IF(AND(V$6&lt;=$H14,V$6+6&gt;=$G14),1,0))))</x:f>
      </x:c>
      <x:c r="W14" s="43" t="str">
        <x:f>IF($C14="","",IF(AND($I14&lt;1,W$6&lt;=$J14,W$6+6&gt;$H14,$J14&gt;$H14),3,IF(AND($I14&gt;0,W$6&lt;=$G14+($H14-$G14+1)*$I14-1,W$6+6&gt;=$G14),2,IF(AND(W$6&lt;=$H14,W$6+6&gt;=$G14),1,0))))</x:f>
      </x:c>
      <x:c r="X14" s="43" t="str">
        <x:f>IF($C14="","",IF(AND($I14&lt;1,X$6&lt;=$J14,X$6+6&gt;$H14,$J14&gt;$H14),3,IF(AND($I14&gt;0,X$6&lt;=$G14+($H14-$G14+1)*$I14-1,X$6+6&gt;=$G14),2,IF(AND(X$6&lt;=$H14,X$6+6&gt;=$G14),1,0))))</x:f>
      </x:c>
      <x:c r="Y14" s="43" t="str">
        <x:f>IF($C14="","",IF(AND($I14&lt;1,Y$6&lt;=$J14,Y$6+6&gt;$H14,$J14&gt;$H14),3,IF(AND($I14&gt;0,Y$6&lt;=$G14+($H14-$G14+1)*$I14-1,Y$6+6&gt;=$G14),2,IF(AND(Y$6&lt;=$H14,Y$6+6&gt;=$G14),1,0))))</x:f>
      </x:c>
      <x:c r="Z14" s="43" t="str">
        <x:f>IF($C14="","",IF(AND($I14&lt;1,Z$6&lt;=$J14,Z$6+6&gt;$H14,$J14&gt;$H14),3,IF(AND($I14&gt;0,Z$6&lt;=$G14+($H14-$G14+1)*$I14-1,Z$6+6&gt;=$G14),2,IF(AND(Z$6&lt;=$H14,Z$6+6&gt;=$G14),1,0))))</x:f>
      </x:c>
      <x:c r="AA14" s="43" t="str">
        <x:f>IF($C14="","",IF(AND($I14&lt;1,AA$6&lt;=$J14,AA$6+6&gt;$H14,$J14&gt;$H14),3,IF(AND($I14&gt;0,AA$6&lt;=$G14+($H14-$G14+1)*$I14-1,AA$6+6&gt;=$G14),2,IF(AND(AA$6&lt;=$H14,AA$6+6&gt;=$G14),1,0))))</x:f>
      </x:c>
      <x:c r="AB14" s="43" t="str">
        <x:f>IF($C14="","",IF(AND($I14&lt;1,AB$6&lt;=$J14,AB$6+6&gt;$H14,$J14&gt;$H14),3,IF(AND($I14&gt;0,AB$6&lt;=$G14+($H14-$G14+1)*$I14-1,AB$6+6&gt;=$G14),2,IF(AND(AB$6&lt;=$H14,AB$6+6&gt;=$G14),1,0))))</x:f>
      </x:c>
      <x:c r="AC14" s="43" t="str">
        <x:f>IF($C14="","",IF(AND($I14&lt;1,AC$6&lt;=$J14,AC$6+6&gt;$H14,$J14&gt;$H14),3,IF(AND($I14&gt;0,AC$6&lt;=$G14+($H14-$G14+1)*$I14-1,AC$6+6&gt;=$G14),2,IF(AND(AC$6&lt;=$H14,AC$6+6&gt;=$G14),1,0))))</x:f>
      </x:c>
      <x:c r="AD14" s="43" t="str">
        <x:f>IF($C14="","",IF(AND($I14&lt;1,AD$6&lt;=$J14,AD$6+6&gt;$H14,$J14&gt;$H14),3,IF(AND($I14&gt;0,AD$6&lt;=$G14+($H14-$G14+1)*$I14-1,AD$6+6&gt;=$G14),2,IF(AND(AD$6&lt;=$H14,AD$6+6&gt;=$G14),1,0))))</x:f>
      </x:c>
      <x:c r="AE14" s="43" t="str">
        <x:f>IF($C14="","",IF(AND($I14&lt;1,AE$6&lt;=$J14,AE$6+6&gt;$H14,$J14&gt;$H14),3,IF(AND($I14&gt;0,AE$6&lt;=$G14+($H14-$G14+1)*$I14-1,AE$6+6&gt;=$G14),2,IF(AND(AE$6&lt;=$H14,AE$6+6&gt;=$G14),1,0))))</x:f>
      </x:c>
      <x:c r="AF14" s="43" t="str">
        <x:f>IF($C14="","",IF(AND($I14&lt;1,AF$6&lt;=$J14,AF$6+6&gt;$H14,$J14&gt;$H14),3,IF(AND($I14&gt;0,AF$6&lt;=$G14+($H14-$G14+1)*$I14-1,AF$6+6&gt;=$G14),2,IF(AND(AF$6&lt;=$H14,AF$6+6&gt;=$G14),1,0))))</x:f>
      </x:c>
      <x:c r="AG14" s="43" t="str">
        <x:f>IF($C14="","",IF(AND($I14&lt;1,AG$6&lt;=$J14,AG$6+6&gt;$H14,$J14&gt;$H14),3,IF(AND($I14&gt;0,AG$6&lt;=$G14+($H14-$G14+1)*$I14-1,AG$6+6&gt;=$G14),2,IF(AND(AG$6&lt;=$H14,AG$6+6&gt;=$G14),1,0))))</x:f>
      </x:c>
      <x:c r="AH14" s="43" t="str">
        <x:f>IF($C14="","",IF(AND($I14&lt;1,AH$6&lt;=$J14,AH$6+6&gt;$H14,$J14&gt;$H14),3,IF(AND($I14&gt;0,AH$6&lt;=$G14+($H14-$G14+1)*$I14-1,AH$6+6&gt;=$G14),2,IF(AND(AH$6&lt;=$H14,AH$6+6&gt;=$G14),1,0))))</x:f>
      </x:c>
      <x:c r="AI14" s="43" t="str">
        <x:f>IF($C14="","",IF(AND($I14&lt;1,AI$6&lt;=$J14,AI$6+6&gt;$H14,$J14&gt;$H14),3,IF(AND($I14&gt;0,AI$6&lt;=$G14+($H14-$G14+1)*$I14-1,AI$6+6&gt;=$G14),2,IF(AND(AI$6&lt;=$H14,AI$6+6&gt;=$G14),1,0))))</x:f>
      </x:c>
      <x:c r="AJ14" s="43" t="str">
        <x:f>IF($C14="","",IF(AND($I14&lt;1,AJ$6&lt;=$J14,AJ$6+6&gt;$H14,$J14&gt;$H14),3,IF(AND($I14&gt;0,AJ$6&lt;=$G14+($H14-$G14+1)*$I14-1,AJ$6+6&gt;=$G14),2,IF(AND(AJ$6&lt;=$H14,AJ$6+6&gt;=$G14),1,0))))</x:f>
      </x:c>
      <x:c r="AK14" s="43" t="str">
        <x:f>IF($C14="","",IF(AND($I14&lt;1,AK$6&lt;=$J14,AK$6+6&gt;$H14,$J14&gt;$H14),3,IF(AND($I14&gt;0,AK$6&lt;=$G14+($H14-$G14+1)*$I14-1,AK$6+6&gt;=$G14),2,IF(AND(AK$6&lt;=$H14,AK$6+6&gt;=$G14),1,0))))</x:f>
      </x:c>
    </x:row>
    <x:row r="15" ht="22" customHeight="1">
      <x:c r="A15" s="2"/>
      <x:c r="B15" s="2" t="n">
        <x:v>9</x:v>
      </x:c>
      <x:c r="C15" s="2" t="str">
        <x:f>IF($B15&gt;INDEX('Portfoy'!$U$7:$U$26,MATCH('Panel'!$C$5,'Portfoy'!$A$7:$A$26,0)),"",INDEX('Gorevler'!$A$7:$A$206,MATCH($B15,'Gorevler'!$S$7:$S$206,0)))</x:f>
      </x:c>
      <x:c r="D15" s="2" t="str">
        <x:f>IF($B15&gt;INDEX('Portfoy'!$U$7:$U$26,MATCH('Panel'!$C$5,'Portfoy'!$A$7:$A$26,0)),"",INDEX('Gorevler'!$C$7:$C$206,MATCH($B15,'Gorevler'!$S$7:$S$206,0)))</x:f>
      </x:c>
      <x:c r="E15" s="2" t="str">
        <x:f>IF($B15&gt;INDEX('Portfoy'!$U$7:$U$26,MATCH('Panel'!$C$5,'Portfoy'!$A$7:$A$26,0)),"",INDEX('Gorevler'!$D$7:$D$206,MATCH($B15,'Gorevler'!$S$7:$S$206,0)))</x:f>
      </x:c>
      <x:c r="F15" s="2" t="str">
        <x:f>IF($B15&gt;INDEX('Portfoy'!$U$7:$U$26,MATCH('Panel'!$C$5,'Portfoy'!$A$7:$A$26,0)),"",INDEX('Gorevler'!$K$7:$K$206,MATCH($B15,'Gorevler'!$S$7:$S$206,0)))</x:f>
      </x:c>
      <x:c r="G15" s="5" t="str">
        <x:f>IF($B15&gt;INDEX('Portfoy'!$U$7:$U$26,MATCH('Panel'!$C$5,'Portfoy'!$A$7:$A$26,0)),"",INDEX('Gorevler'!$F$7:$F$206,MATCH($B15,'Gorevler'!$S$7:$S$206,0)))</x:f>
      </x:c>
      <x:c r="H15" s="5" t="str">
        <x:f>IF($B15&gt;INDEX('Portfoy'!$U$7:$U$26,MATCH('Panel'!$C$5,'Portfoy'!$A$7:$A$26,0)),"",INDEX('Gorevler'!$G$7:$G$206,MATCH($B15,'Gorevler'!$S$7:$S$206,0)))</x:f>
      </x:c>
      <x:c r="I15" s="37" t="str">
        <x:f>IF($B15&gt;INDEX('Portfoy'!$U$7:$U$26,MATCH('Panel'!$C$5,'Portfoy'!$A$7:$A$26,0)),"",INDEX('Gorevler'!$I$7:$I$206,MATCH($B15,'Gorevler'!$S$7:$S$206,0)))</x:f>
      </x:c>
      <x:c r="J15" s="5" t="str">
        <x:f>IF($B15&gt;INDEX('Portfoy'!$U$7:$U$26,MATCH('Panel'!$C$5,'Portfoy'!$A$7:$A$26,0)),"",INDEX('Gorevler'!$J$7:$J$206,MATCH($B15,'Gorevler'!$S$7:$S$206,0)))</x:f>
      </x:c>
      <x:c r="K15" s="2"/>
      <x:c r="L15" s="43" t="str">
        <x:f>IF($C15="","",IF(AND($I15&lt;1,L$6&lt;=$J15,L$6+6&gt;$H15,$J15&gt;$H15),3,IF(AND($I15&gt;0,L$6&lt;=$G15+($H15-$G15+1)*$I15-1,L$6+6&gt;=$G15),2,IF(AND(L$6&lt;=$H15,L$6+6&gt;=$G15),1,0))))</x:f>
      </x:c>
      <x:c r="M15" s="43" t="str">
        <x:f>IF($C15="","",IF(AND($I15&lt;1,M$6&lt;=$J15,M$6+6&gt;$H15,$J15&gt;$H15),3,IF(AND($I15&gt;0,M$6&lt;=$G15+($H15-$G15+1)*$I15-1,M$6+6&gt;=$G15),2,IF(AND(M$6&lt;=$H15,M$6+6&gt;=$G15),1,0))))</x:f>
      </x:c>
      <x:c r="N15" s="43" t="str">
        <x:f>IF($C15="","",IF(AND($I15&lt;1,N$6&lt;=$J15,N$6+6&gt;$H15,$J15&gt;$H15),3,IF(AND($I15&gt;0,N$6&lt;=$G15+($H15-$G15+1)*$I15-1,N$6+6&gt;=$G15),2,IF(AND(N$6&lt;=$H15,N$6+6&gt;=$G15),1,0))))</x:f>
      </x:c>
      <x:c r="O15" s="43" t="str">
        <x:f>IF($C15="","",IF(AND($I15&lt;1,O$6&lt;=$J15,O$6+6&gt;$H15,$J15&gt;$H15),3,IF(AND($I15&gt;0,O$6&lt;=$G15+($H15-$G15+1)*$I15-1,O$6+6&gt;=$G15),2,IF(AND(O$6&lt;=$H15,O$6+6&gt;=$G15),1,0))))</x:f>
      </x:c>
      <x:c r="P15" s="43" t="str">
        <x:f>IF($C15="","",IF(AND($I15&lt;1,P$6&lt;=$J15,P$6+6&gt;$H15,$J15&gt;$H15),3,IF(AND($I15&gt;0,P$6&lt;=$G15+($H15-$G15+1)*$I15-1,P$6+6&gt;=$G15),2,IF(AND(P$6&lt;=$H15,P$6+6&gt;=$G15),1,0))))</x:f>
      </x:c>
      <x:c r="Q15" s="43" t="str">
        <x:f>IF($C15="","",IF(AND($I15&lt;1,Q$6&lt;=$J15,Q$6+6&gt;$H15,$J15&gt;$H15),3,IF(AND($I15&gt;0,Q$6&lt;=$G15+($H15-$G15+1)*$I15-1,Q$6+6&gt;=$G15),2,IF(AND(Q$6&lt;=$H15,Q$6+6&gt;=$G15),1,0))))</x:f>
      </x:c>
      <x:c r="R15" s="43" t="str">
        <x:f>IF($C15="","",IF(AND($I15&lt;1,R$6&lt;=$J15,R$6+6&gt;$H15,$J15&gt;$H15),3,IF(AND($I15&gt;0,R$6&lt;=$G15+($H15-$G15+1)*$I15-1,R$6+6&gt;=$G15),2,IF(AND(R$6&lt;=$H15,R$6+6&gt;=$G15),1,0))))</x:f>
      </x:c>
      <x:c r="S15" s="43" t="str">
        <x:f>IF($C15="","",IF(AND($I15&lt;1,S$6&lt;=$J15,S$6+6&gt;$H15,$J15&gt;$H15),3,IF(AND($I15&gt;0,S$6&lt;=$G15+($H15-$G15+1)*$I15-1,S$6+6&gt;=$G15),2,IF(AND(S$6&lt;=$H15,S$6+6&gt;=$G15),1,0))))</x:f>
      </x:c>
      <x:c r="T15" s="43" t="str">
        <x:f>IF($C15="","",IF(AND($I15&lt;1,T$6&lt;=$J15,T$6+6&gt;$H15,$J15&gt;$H15),3,IF(AND($I15&gt;0,T$6&lt;=$G15+($H15-$G15+1)*$I15-1,T$6+6&gt;=$G15),2,IF(AND(T$6&lt;=$H15,T$6+6&gt;=$G15),1,0))))</x:f>
      </x:c>
      <x:c r="U15" s="43" t="str">
        <x:f>IF($C15="","",IF(AND($I15&lt;1,U$6&lt;=$J15,U$6+6&gt;$H15,$J15&gt;$H15),3,IF(AND($I15&gt;0,U$6&lt;=$G15+($H15-$G15+1)*$I15-1,U$6+6&gt;=$G15),2,IF(AND(U$6&lt;=$H15,U$6+6&gt;=$G15),1,0))))</x:f>
      </x:c>
      <x:c r="V15" s="43" t="str">
        <x:f>IF($C15="","",IF(AND($I15&lt;1,V$6&lt;=$J15,V$6+6&gt;$H15,$J15&gt;$H15),3,IF(AND($I15&gt;0,V$6&lt;=$G15+($H15-$G15+1)*$I15-1,V$6+6&gt;=$G15),2,IF(AND(V$6&lt;=$H15,V$6+6&gt;=$G15),1,0))))</x:f>
      </x:c>
      <x:c r="W15" s="43" t="str">
        <x:f>IF($C15="","",IF(AND($I15&lt;1,W$6&lt;=$J15,W$6+6&gt;$H15,$J15&gt;$H15),3,IF(AND($I15&gt;0,W$6&lt;=$G15+($H15-$G15+1)*$I15-1,W$6+6&gt;=$G15),2,IF(AND(W$6&lt;=$H15,W$6+6&gt;=$G15),1,0))))</x:f>
      </x:c>
      <x:c r="X15" s="43" t="str">
        <x:f>IF($C15="","",IF(AND($I15&lt;1,X$6&lt;=$J15,X$6+6&gt;$H15,$J15&gt;$H15),3,IF(AND($I15&gt;0,X$6&lt;=$G15+($H15-$G15+1)*$I15-1,X$6+6&gt;=$G15),2,IF(AND(X$6&lt;=$H15,X$6+6&gt;=$G15),1,0))))</x:f>
      </x:c>
      <x:c r="Y15" s="43" t="str">
        <x:f>IF($C15="","",IF(AND($I15&lt;1,Y$6&lt;=$J15,Y$6+6&gt;$H15,$J15&gt;$H15),3,IF(AND($I15&gt;0,Y$6&lt;=$G15+($H15-$G15+1)*$I15-1,Y$6+6&gt;=$G15),2,IF(AND(Y$6&lt;=$H15,Y$6+6&gt;=$G15),1,0))))</x:f>
      </x:c>
      <x:c r="Z15" s="43" t="str">
        <x:f>IF($C15="","",IF(AND($I15&lt;1,Z$6&lt;=$J15,Z$6+6&gt;$H15,$J15&gt;$H15),3,IF(AND($I15&gt;0,Z$6&lt;=$G15+($H15-$G15+1)*$I15-1,Z$6+6&gt;=$G15),2,IF(AND(Z$6&lt;=$H15,Z$6+6&gt;=$G15),1,0))))</x:f>
      </x:c>
      <x:c r="AA15" s="43" t="str">
        <x:f>IF($C15="","",IF(AND($I15&lt;1,AA$6&lt;=$J15,AA$6+6&gt;$H15,$J15&gt;$H15),3,IF(AND($I15&gt;0,AA$6&lt;=$G15+($H15-$G15+1)*$I15-1,AA$6+6&gt;=$G15),2,IF(AND(AA$6&lt;=$H15,AA$6+6&gt;=$G15),1,0))))</x:f>
      </x:c>
      <x:c r="AB15" s="43" t="str">
        <x:f>IF($C15="","",IF(AND($I15&lt;1,AB$6&lt;=$J15,AB$6+6&gt;$H15,$J15&gt;$H15),3,IF(AND($I15&gt;0,AB$6&lt;=$G15+($H15-$G15+1)*$I15-1,AB$6+6&gt;=$G15),2,IF(AND(AB$6&lt;=$H15,AB$6+6&gt;=$G15),1,0))))</x:f>
      </x:c>
      <x:c r="AC15" s="43" t="str">
        <x:f>IF($C15="","",IF(AND($I15&lt;1,AC$6&lt;=$J15,AC$6+6&gt;$H15,$J15&gt;$H15),3,IF(AND($I15&gt;0,AC$6&lt;=$G15+($H15-$G15+1)*$I15-1,AC$6+6&gt;=$G15),2,IF(AND(AC$6&lt;=$H15,AC$6+6&gt;=$G15),1,0))))</x:f>
      </x:c>
      <x:c r="AD15" s="43" t="str">
        <x:f>IF($C15="","",IF(AND($I15&lt;1,AD$6&lt;=$J15,AD$6+6&gt;$H15,$J15&gt;$H15),3,IF(AND($I15&gt;0,AD$6&lt;=$G15+($H15-$G15+1)*$I15-1,AD$6+6&gt;=$G15),2,IF(AND(AD$6&lt;=$H15,AD$6+6&gt;=$G15),1,0))))</x:f>
      </x:c>
      <x:c r="AE15" s="43" t="str">
        <x:f>IF($C15="","",IF(AND($I15&lt;1,AE$6&lt;=$J15,AE$6+6&gt;$H15,$J15&gt;$H15),3,IF(AND($I15&gt;0,AE$6&lt;=$G15+($H15-$G15+1)*$I15-1,AE$6+6&gt;=$G15),2,IF(AND(AE$6&lt;=$H15,AE$6+6&gt;=$G15),1,0))))</x:f>
      </x:c>
      <x:c r="AF15" s="43" t="str">
        <x:f>IF($C15="","",IF(AND($I15&lt;1,AF$6&lt;=$J15,AF$6+6&gt;$H15,$J15&gt;$H15),3,IF(AND($I15&gt;0,AF$6&lt;=$G15+($H15-$G15+1)*$I15-1,AF$6+6&gt;=$G15),2,IF(AND(AF$6&lt;=$H15,AF$6+6&gt;=$G15),1,0))))</x:f>
      </x:c>
      <x:c r="AG15" s="43" t="str">
        <x:f>IF($C15="","",IF(AND($I15&lt;1,AG$6&lt;=$J15,AG$6+6&gt;$H15,$J15&gt;$H15),3,IF(AND($I15&gt;0,AG$6&lt;=$G15+($H15-$G15+1)*$I15-1,AG$6+6&gt;=$G15),2,IF(AND(AG$6&lt;=$H15,AG$6+6&gt;=$G15),1,0))))</x:f>
      </x:c>
      <x:c r="AH15" s="43" t="str">
        <x:f>IF($C15="","",IF(AND($I15&lt;1,AH$6&lt;=$J15,AH$6+6&gt;$H15,$J15&gt;$H15),3,IF(AND($I15&gt;0,AH$6&lt;=$G15+($H15-$G15+1)*$I15-1,AH$6+6&gt;=$G15),2,IF(AND(AH$6&lt;=$H15,AH$6+6&gt;=$G15),1,0))))</x:f>
      </x:c>
      <x:c r="AI15" s="43" t="str">
        <x:f>IF($C15="","",IF(AND($I15&lt;1,AI$6&lt;=$J15,AI$6+6&gt;$H15,$J15&gt;$H15),3,IF(AND($I15&gt;0,AI$6&lt;=$G15+($H15-$G15+1)*$I15-1,AI$6+6&gt;=$G15),2,IF(AND(AI$6&lt;=$H15,AI$6+6&gt;=$G15),1,0))))</x:f>
      </x:c>
      <x:c r="AJ15" s="43" t="str">
        <x:f>IF($C15="","",IF(AND($I15&lt;1,AJ$6&lt;=$J15,AJ$6+6&gt;$H15,$J15&gt;$H15),3,IF(AND($I15&gt;0,AJ$6&lt;=$G15+($H15-$G15+1)*$I15-1,AJ$6+6&gt;=$G15),2,IF(AND(AJ$6&lt;=$H15,AJ$6+6&gt;=$G15),1,0))))</x:f>
      </x:c>
      <x:c r="AK15" s="43" t="str">
        <x:f>IF($C15="","",IF(AND($I15&lt;1,AK$6&lt;=$J15,AK$6+6&gt;$H15,$J15&gt;$H15),3,IF(AND($I15&gt;0,AK$6&lt;=$G15+($H15-$G15+1)*$I15-1,AK$6+6&gt;=$G15),2,IF(AND(AK$6&lt;=$H15,AK$6+6&gt;=$G15),1,0))))</x:f>
      </x:c>
    </x:row>
    <x:row r="16" ht="22" customHeight="1">
      <x:c r="A16" s="2"/>
      <x:c r="B16" s="2" t="n">
        <x:v>10</x:v>
      </x:c>
      <x:c r="C16" s="2" t="str">
        <x:f>IF($B16&gt;INDEX('Portfoy'!$U$7:$U$26,MATCH('Panel'!$C$5,'Portfoy'!$A$7:$A$26,0)),"",INDEX('Gorevler'!$A$7:$A$206,MATCH($B16,'Gorevler'!$S$7:$S$206,0)))</x:f>
      </x:c>
      <x:c r="D16" s="2" t="str">
        <x:f>IF($B16&gt;INDEX('Portfoy'!$U$7:$U$26,MATCH('Panel'!$C$5,'Portfoy'!$A$7:$A$26,0)),"",INDEX('Gorevler'!$C$7:$C$206,MATCH($B16,'Gorevler'!$S$7:$S$206,0)))</x:f>
      </x:c>
      <x:c r="E16" s="2" t="str">
        <x:f>IF($B16&gt;INDEX('Portfoy'!$U$7:$U$26,MATCH('Panel'!$C$5,'Portfoy'!$A$7:$A$26,0)),"",INDEX('Gorevler'!$D$7:$D$206,MATCH($B16,'Gorevler'!$S$7:$S$206,0)))</x:f>
      </x:c>
      <x:c r="F16" s="2" t="str">
        <x:f>IF($B16&gt;INDEX('Portfoy'!$U$7:$U$26,MATCH('Panel'!$C$5,'Portfoy'!$A$7:$A$26,0)),"",INDEX('Gorevler'!$K$7:$K$206,MATCH($B16,'Gorevler'!$S$7:$S$206,0)))</x:f>
      </x:c>
      <x:c r="G16" s="5" t="str">
        <x:f>IF($B16&gt;INDEX('Portfoy'!$U$7:$U$26,MATCH('Panel'!$C$5,'Portfoy'!$A$7:$A$26,0)),"",INDEX('Gorevler'!$F$7:$F$206,MATCH($B16,'Gorevler'!$S$7:$S$206,0)))</x:f>
      </x:c>
      <x:c r="H16" s="5" t="str">
        <x:f>IF($B16&gt;INDEX('Portfoy'!$U$7:$U$26,MATCH('Panel'!$C$5,'Portfoy'!$A$7:$A$26,0)),"",INDEX('Gorevler'!$G$7:$G$206,MATCH($B16,'Gorevler'!$S$7:$S$206,0)))</x:f>
      </x:c>
      <x:c r="I16" s="37" t="str">
        <x:f>IF($B16&gt;INDEX('Portfoy'!$U$7:$U$26,MATCH('Panel'!$C$5,'Portfoy'!$A$7:$A$26,0)),"",INDEX('Gorevler'!$I$7:$I$206,MATCH($B16,'Gorevler'!$S$7:$S$206,0)))</x:f>
      </x:c>
      <x:c r="J16" s="5" t="str">
        <x:f>IF($B16&gt;INDEX('Portfoy'!$U$7:$U$26,MATCH('Panel'!$C$5,'Portfoy'!$A$7:$A$26,0)),"",INDEX('Gorevler'!$J$7:$J$206,MATCH($B16,'Gorevler'!$S$7:$S$206,0)))</x:f>
      </x:c>
      <x:c r="K16" s="2"/>
      <x:c r="L16" s="43" t="str">
        <x:f>IF($C16="","",IF(AND($I16&lt;1,L$6&lt;=$J16,L$6+6&gt;$H16,$J16&gt;$H16),3,IF(AND($I16&gt;0,L$6&lt;=$G16+($H16-$G16+1)*$I16-1,L$6+6&gt;=$G16),2,IF(AND(L$6&lt;=$H16,L$6+6&gt;=$G16),1,0))))</x:f>
      </x:c>
      <x:c r="M16" s="43" t="str">
        <x:f>IF($C16="","",IF(AND($I16&lt;1,M$6&lt;=$J16,M$6+6&gt;$H16,$J16&gt;$H16),3,IF(AND($I16&gt;0,M$6&lt;=$G16+($H16-$G16+1)*$I16-1,M$6+6&gt;=$G16),2,IF(AND(M$6&lt;=$H16,M$6+6&gt;=$G16),1,0))))</x:f>
      </x:c>
      <x:c r="N16" s="43" t="str">
        <x:f>IF($C16="","",IF(AND($I16&lt;1,N$6&lt;=$J16,N$6+6&gt;$H16,$J16&gt;$H16),3,IF(AND($I16&gt;0,N$6&lt;=$G16+($H16-$G16+1)*$I16-1,N$6+6&gt;=$G16),2,IF(AND(N$6&lt;=$H16,N$6+6&gt;=$G16),1,0))))</x:f>
      </x:c>
      <x:c r="O16" s="43" t="str">
        <x:f>IF($C16="","",IF(AND($I16&lt;1,O$6&lt;=$J16,O$6+6&gt;$H16,$J16&gt;$H16),3,IF(AND($I16&gt;0,O$6&lt;=$G16+($H16-$G16+1)*$I16-1,O$6+6&gt;=$G16),2,IF(AND(O$6&lt;=$H16,O$6+6&gt;=$G16),1,0))))</x:f>
      </x:c>
      <x:c r="P16" s="43" t="str">
        <x:f>IF($C16="","",IF(AND($I16&lt;1,P$6&lt;=$J16,P$6+6&gt;$H16,$J16&gt;$H16),3,IF(AND($I16&gt;0,P$6&lt;=$G16+($H16-$G16+1)*$I16-1,P$6+6&gt;=$G16),2,IF(AND(P$6&lt;=$H16,P$6+6&gt;=$G16),1,0))))</x:f>
      </x:c>
      <x:c r="Q16" s="43" t="str">
        <x:f>IF($C16="","",IF(AND($I16&lt;1,Q$6&lt;=$J16,Q$6+6&gt;$H16,$J16&gt;$H16),3,IF(AND($I16&gt;0,Q$6&lt;=$G16+($H16-$G16+1)*$I16-1,Q$6+6&gt;=$G16),2,IF(AND(Q$6&lt;=$H16,Q$6+6&gt;=$G16),1,0))))</x:f>
      </x:c>
      <x:c r="R16" s="43" t="str">
        <x:f>IF($C16="","",IF(AND($I16&lt;1,R$6&lt;=$J16,R$6+6&gt;$H16,$J16&gt;$H16),3,IF(AND($I16&gt;0,R$6&lt;=$G16+($H16-$G16+1)*$I16-1,R$6+6&gt;=$G16),2,IF(AND(R$6&lt;=$H16,R$6+6&gt;=$G16),1,0))))</x:f>
      </x:c>
      <x:c r="S16" s="43" t="str">
        <x:f>IF($C16="","",IF(AND($I16&lt;1,S$6&lt;=$J16,S$6+6&gt;$H16,$J16&gt;$H16),3,IF(AND($I16&gt;0,S$6&lt;=$G16+($H16-$G16+1)*$I16-1,S$6+6&gt;=$G16),2,IF(AND(S$6&lt;=$H16,S$6+6&gt;=$G16),1,0))))</x:f>
      </x:c>
      <x:c r="T16" s="43" t="str">
        <x:f>IF($C16="","",IF(AND($I16&lt;1,T$6&lt;=$J16,T$6+6&gt;$H16,$J16&gt;$H16),3,IF(AND($I16&gt;0,T$6&lt;=$G16+($H16-$G16+1)*$I16-1,T$6+6&gt;=$G16),2,IF(AND(T$6&lt;=$H16,T$6+6&gt;=$G16),1,0))))</x:f>
      </x:c>
      <x:c r="U16" s="43" t="str">
        <x:f>IF($C16="","",IF(AND($I16&lt;1,U$6&lt;=$J16,U$6+6&gt;$H16,$J16&gt;$H16),3,IF(AND($I16&gt;0,U$6&lt;=$G16+($H16-$G16+1)*$I16-1,U$6+6&gt;=$G16),2,IF(AND(U$6&lt;=$H16,U$6+6&gt;=$G16),1,0))))</x:f>
      </x:c>
      <x:c r="V16" s="43" t="str">
        <x:f>IF($C16="","",IF(AND($I16&lt;1,V$6&lt;=$J16,V$6+6&gt;$H16,$J16&gt;$H16),3,IF(AND($I16&gt;0,V$6&lt;=$G16+($H16-$G16+1)*$I16-1,V$6+6&gt;=$G16),2,IF(AND(V$6&lt;=$H16,V$6+6&gt;=$G16),1,0))))</x:f>
      </x:c>
      <x:c r="W16" s="43" t="str">
        <x:f>IF($C16="","",IF(AND($I16&lt;1,W$6&lt;=$J16,W$6+6&gt;$H16,$J16&gt;$H16),3,IF(AND($I16&gt;0,W$6&lt;=$G16+($H16-$G16+1)*$I16-1,W$6+6&gt;=$G16),2,IF(AND(W$6&lt;=$H16,W$6+6&gt;=$G16),1,0))))</x:f>
      </x:c>
      <x:c r="X16" s="43" t="str">
        <x:f>IF($C16="","",IF(AND($I16&lt;1,X$6&lt;=$J16,X$6+6&gt;$H16,$J16&gt;$H16),3,IF(AND($I16&gt;0,X$6&lt;=$G16+($H16-$G16+1)*$I16-1,X$6+6&gt;=$G16),2,IF(AND(X$6&lt;=$H16,X$6+6&gt;=$G16),1,0))))</x:f>
      </x:c>
      <x:c r="Y16" s="43" t="str">
        <x:f>IF($C16="","",IF(AND($I16&lt;1,Y$6&lt;=$J16,Y$6+6&gt;$H16,$J16&gt;$H16),3,IF(AND($I16&gt;0,Y$6&lt;=$G16+($H16-$G16+1)*$I16-1,Y$6+6&gt;=$G16),2,IF(AND(Y$6&lt;=$H16,Y$6+6&gt;=$G16),1,0))))</x:f>
      </x:c>
      <x:c r="Z16" s="43" t="str">
        <x:f>IF($C16="","",IF(AND($I16&lt;1,Z$6&lt;=$J16,Z$6+6&gt;$H16,$J16&gt;$H16),3,IF(AND($I16&gt;0,Z$6&lt;=$G16+($H16-$G16+1)*$I16-1,Z$6+6&gt;=$G16),2,IF(AND(Z$6&lt;=$H16,Z$6+6&gt;=$G16),1,0))))</x:f>
      </x:c>
      <x:c r="AA16" s="43" t="str">
        <x:f>IF($C16="","",IF(AND($I16&lt;1,AA$6&lt;=$J16,AA$6+6&gt;$H16,$J16&gt;$H16),3,IF(AND($I16&gt;0,AA$6&lt;=$G16+($H16-$G16+1)*$I16-1,AA$6+6&gt;=$G16),2,IF(AND(AA$6&lt;=$H16,AA$6+6&gt;=$G16),1,0))))</x:f>
      </x:c>
      <x:c r="AB16" s="43" t="str">
        <x:f>IF($C16="","",IF(AND($I16&lt;1,AB$6&lt;=$J16,AB$6+6&gt;$H16,$J16&gt;$H16),3,IF(AND($I16&gt;0,AB$6&lt;=$G16+($H16-$G16+1)*$I16-1,AB$6+6&gt;=$G16),2,IF(AND(AB$6&lt;=$H16,AB$6+6&gt;=$G16),1,0))))</x:f>
      </x:c>
      <x:c r="AC16" s="43" t="str">
        <x:f>IF($C16="","",IF(AND($I16&lt;1,AC$6&lt;=$J16,AC$6+6&gt;$H16,$J16&gt;$H16),3,IF(AND($I16&gt;0,AC$6&lt;=$G16+($H16-$G16+1)*$I16-1,AC$6+6&gt;=$G16),2,IF(AND(AC$6&lt;=$H16,AC$6+6&gt;=$G16),1,0))))</x:f>
      </x:c>
      <x:c r="AD16" s="43" t="str">
        <x:f>IF($C16="","",IF(AND($I16&lt;1,AD$6&lt;=$J16,AD$6+6&gt;$H16,$J16&gt;$H16),3,IF(AND($I16&gt;0,AD$6&lt;=$G16+($H16-$G16+1)*$I16-1,AD$6+6&gt;=$G16),2,IF(AND(AD$6&lt;=$H16,AD$6+6&gt;=$G16),1,0))))</x:f>
      </x:c>
      <x:c r="AE16" s="43" t="str">
        <x:f>IF($C16="","",IF(AND($I16&lt;1,AE$6&lt;=$J16,AE$6+6&gt;$H16,$J16&gt;$H16),3,IF(AND($I16&gt;0,AE$6&lt;=$G16+($H16-$G16+1)*$I16-1,AE$6+6&gt;=$G16),2,IF(AND(AE$6&lt;=$H16,AE$6+6&gt;=$G16),1,0))))</x:f>
      </x:c>
      <x:c r="AF16" s="43" t="str">
        <x:f>IF($C16="","",IF(AND($I16&lt;1,AF$6&lt;=$J16,AF$6+6&gt;$H16,$J16&gt;$H16),3,IF(AND($I16&gt;0,AF$6&lt;=$G16+($H16-$G16+1)*$I16-1,AF$6+6&gt;=$G16),2,IF(AND(AF$6&lt;=$H16,AF$6+6&gt;=$G16),1,0))))</x:f>
      </x:c>
      <x:c r="AG16" s="43" t="str">
        <x:f>IF($C16="","",IF(AND($I16&lt;1,AG$6&lt;=$J16,AG$6+6&gt;$H16,$J16&gt;$H16),3,IF(AND($I16&gt;0,AG$6&lt;=$G16+($H16-$G16+1)*$I16-1,AG$6+6&gt;=$G16),2,IF(AND(AG$6&lt;=$H16,AG$6+6&gt;=$G16),1,0))))</x:f>
      </x:c>
      <x:c r="AH16" s="43" t="str">
        <x:f>IF($C16="","",IF(AND($I16&lt;1,AH$6&lt;=$J16,AH$6+6&gt;$H16,$J16&gt;$H16),3,IF(AND($I16&gt;0,AH$6&lt;=$G16+($H16-$G16+1)*$I16-1,AH$6+6&gt;=$G16),2,IF(AND(AH$6&lt;=$H16,AH$6+6&gt;=$G16),1,0))))</x:f>
      </x:c>
      <x:c r="AI16" s="43" t="str">
        <x:f>IF($C16="","",IF(AND($I16&lt;1,AI$6&lt;=$J16,AI$6+6&gt;$H16,$J16&gt;$H16),3,IF(AND($I16&gt;0,AI$6&lt;=$G16+($H16-$G16+1)*$I16-1,AI$6+6&gt;=$G16),2,IF(AND(AI$6&lt;=$H16,AI$6+6&gt;=$G16),1,0))))</x:f>
      </x:c>
      <x:c r="AJ16" s="43" t="str">
        <x:f>IF($C16="","",IF(AND($I16&lt;1,AJ$6&lt;=$J16,AJ$6+6&gt;$H16,$J16&gt;$H16),3,IF(AND($I16&gt;0,AJ$6&lt;=$G16+($H16-$G16+1)*$I16-1,AJ$6+6&gt;=$G16),2,IF(AND(AJ$6&lt;=$H16,AJ$6+6&gt;=$G16),1,0))))</x:f>
      </x:c>
      <x:c r="AK16" s="43" t="str">
        <x:f>IF($C16="","",IF(AND($I16&lt;1,AK$6&lt;=$J16,AK$6+6&gt;$H16,$J16&gt;$H16),3,IF(AND($I16&gt;0,AK$6&lt;=$G16+($H16-$G16+1)*$I16-1,AK$6+6&gt;=$G16),2,IF(AND(AK$6&lt;=$H16,AK$6+6&gt;=$G16),1,0))))</x:f>
      </x:c>
    </x:row>
    <x:row r="17" ht="22" customHeight="1">
      <x:c r="A17" s="2"/>
      <x:c r="B17" s="2" t="n">
        <x:v>11</x:v>
      </x:c>
      <x:c r="C17" s="2" t="str">
        <x:f>IF($B17&gt;INDEX('Portfoy'!$U$7:$U$26,MATCH('Panel'!$C$5,'Portfoy'!$A$7:$A$26,0)),"",INDEX('Gorevler'!$A$7:$A$206,MATCH($B17,'Gorevler'!$S$7:$S$206,0)))</x:f>
      </x:c>
      <x:c r="D17" s="2" t="str">
        <x:f>IF($B17&gt;INDEX('Portfoy'!$U$7:$U$26,MATCH('Panel'!$C$5,'Portfoy'!$A$7:$A$26,0)),"",INDEX('Gorevler'!$C$7:$C$206,MATCH($B17,'Gorevler'!$S$7:$S$206,0)))</x:f>
      </x:c>
      <x:c r="E17" s="2" t="str">
        <x:f>IF($B17&gt;INDEX('Portfoy'!$U$7:$U$26,MATCH('Panel'!$C$5,'Portfoy'!$A$7:$A$26,0)),"",INDEX('Gorevler'!$D$7:$D$206,MATCH($B17,'Gorevler'!$S$7:$S$206,0)))</x:f>
      </x:c>
      <x:c r="F17" s="2" t="str">
        <x:f>IF($B17&gt;INDEX('Portfoy'!$U$7:$U$26,MATCH('Panel'!$C$5,'Portfoy'!$A$7:$A$26,0)),"",INDEX('Gorevler'!$K$7:$K$206,MATCH($B17,'Gorevler'!$S$7:$S$206,0)))</x:f>
      </x:c>
      <x:c r="G17" s="5" t="str">
        <x:f>IF($B17&gt;INDEX('Portfoy'!$U$7:$U$26,MATCH('Panel'!$C$5,'Portfoy'!$A$7:$A$26,0)),"",INDEX('Gorevler'!$F$7:$F$206,MATCH($B17,'Gorevler'!$S$7:$S$206,0)))</x:f>
      </x:c>
      <x:c r="H17" s="5" t="str">
        <x:f>IF($B17&gt;INDEX('Portfoy'!$U$7:$U$26,MATCH('Panel'!$C$5,'Portfoy'!$A$7:$A$26,0)),"",INDEX('Gorevler'!$G$7:$G$206,MATCH($B17,'Gorevler'!$S$7:$S$206,0)))</x:f>
      </x:c>
      <x:c r="I17" s="37" t="str">
        <x:f>IF($B17&gt;INDEX('Portfoy'!$U$7:$U$26,MATCH('Panel'!$C$5,'Portfoy'!$A$7:$A$26,0)),"",INDEX('Gorevler'!$I$7:$I$206,MATCH($B17,'Gorevler'!$S$7:$S$206,0)))</x:f>
      </x:c>
      <x:c r="J17" s="5" t="str">
        <x:f>IF($B17&gt;INDEX('Portfoy'!$U$7:$U$26,MATCH('Panel'!$C$5,'Portfoy'!$A$7:$A$26,0)),"",INDEX('Gorevler'!$J$7:$J$206,MATCH($B17,'Gorevler'!$S$7:$S$206,0)))</x:f>
      </x:c>
      <x:c r="K17" s="2"/>
      <x:c r="L17" s="43" t="str">
        <x:f>IF($C17="","",IF(AND($I17&lt;1,L$6&lt;=$J17,L$6+6&gt;$H17,$J17&gt;$H17),3,IF(AND($I17&gt;0,L$6&lt;=$G17+($H17-$G17+1)*$I17-1,L$6+6&gt;=$G17),2,IF(AND(L$6&lt;=$H17,L$6+6&gt;=$G17),1,0))))</x:f>
      </x:c>
      <x:c r="M17" s="43" t="str">
        <x:f>IF($C17="","",IF(AND($I17&lt;1,M$6&lt;=$J17,M$6+6&gt;$H17,$J17&gt;$H17),3,IF(AND($I17&gt;0,M$6&lt;=$G17+($H17-$G17+1)*$I17-1,M$6+6&gt;=$G17),2,IF(AND(M$6&lt;=$H17,M$6+6&gt;=$G17),1,0))))</x:f>
      </x:c>
      <x:c r="N17" s="43" t="str">
        <x:f>IF($C17="","",IF(AND($I17&lt;1,N$6&lt;=$J17,N$6+6&gt;$H17,$J17&gt;$H17),3,IF(AND($I17&gt;0,N$6&lt;=$G17+($H17-$G17+1)*$I17-1,N$6+6&gt;=$G17),2,IF(AND(N$6&lt;=$H17,N$6+6&gt;=$G17),1,0))))</x:f>
      </x:c>
      <x:c r="O17" s="43" t="str">
        <x:f>IF($C17="","",IF(AND($I17&lt;1,O$6&lt;=$J17,O$6+6&gt;$H17,$J17&gt;$H17),3,IF(AND($I17&gt;0,O$6&lt;=$G17+($H17-$G17+1)*$I17-1,O$6+6&gt;=$G17),2,IF(AND(O$6&lt;=$H17,O$6+6&gt;=$G17),1,0))))</x:f>
      </x:c>
      <x:c r="P17" s="43" t="str">
        <x:f>IF($C17="","",IF(AND($I17&lt;1,P$6&lt;=$J17,P$6+6&gt;$H17,$J17&gt;$H17),3,IF(AND($I17&gt;0,P$6&lt;=$G17+($H17-$G17+1)*$I17-1,P$6+6&gt;=$G17),2,IF(AND(P$6&lt;=$H17,P$6+6&gt;=$G17),1,0))))</x:f>
      </x:c>
      <x:c r="Q17" s="43" t="str">
        <x:f>IF($C17="","",IF(AND($I17&lt;1,Q$6&lt;=$J17,Q$6+6&gt;$H17,$J17&gt;$H17),3,IF(AND($I17&gt;0,Q$6&lt;=$G17+($H17-$G17+1)*$I17-1,Q$6+6&gt;=$G17),2,IF(AND(Q$6&lt;=$H17,Q$6+6&gt;=$G17),1,0))))</x:f>
      </x:c>
      <x:c r="R17" s="43" t="str">
        <x:f>IF($C17="","",IF(AND($I17&lt;1,R$6&lt;=$J17,R$6+6&gt;$H17,$J17&gt;$H17),3,IF(AND($I17&gt;0,R$6&lt;=$G17+($H17-$G17+1)*$I17-1,R$6+6&gt;=$G17),2,IF(AND(R$6&lt;=$H17,R$6+6&gt;=$G17),1,0))))</x:f>
      </x:c>
      <x:c r="S17" s="43" t="str">
        <x:f>IF($C17="","",IF(AND($I17&lt;1,S$6&lt;=$J17,S$6+6&gt;$H17,$J17&gt;$H17),3,IF(AND($I17&gt;0,S$6&lt;=$G17+($H17-$G17+1)*$I17-1,S$6+6&gt;=$G17),2,IF(AND(S$6&lt;=$H17,S$6+6&gt;=$G17),1,0))))</x:f>
      </x:c>
      <x:c r="T17" s="43" t="str">
        <x:f>IF($C17="","",IF(AND($I17&lt;1,T$6&lt;=$J17,T$6+6&gt;$H17,$J17&gt;$H17),3,IF(AND($I17&gt;0,T$6&lt;=$G17+($H17-$G17+1)*$I17-1,T$6+6&gt;=$G17),2,IF(AND(T$6&lt;=$H17,T$6+6&gt;=$G17),1,0))))</x:f>
      </x:c>
      <x:c r="U17" s="43" t="str">
        <x:f>IF($C17="","",IF(AND($I17&lt;1,U$6&lt;=$J17,U$6+6&gt;$H17,$J17&gt;$H17),3,IF(AND($I17&gt;0,U$6&lt;=$G17+($H17-$G17+1)*$I17-1,U$6+6&gt;=$G17),2,IF(AND(U$6&lt;=$H17,U$6+6&gt;=$G17),1,0))))</x:f>
      </x:c>
      <x:c r="V17" s="43" t="str">
        <x:f>IF($C17="","",IF(AND($I17&lt;1,V$6&lt;=$J17,V$6+6&gt;$H17,$J17&gt;$H17),3,IF(AND($I17&gt;0,V$6&lt;=$G17+($H17-$G17+1)*$I17-1,V$6+6&gt;=$G17),2,IF(AND(V$6&lt;=$H17,V$6+6&gt;=$G17),1,0))))</x:f>
      </x:c>
      <x:c r="W17" s="43" t="str">
        <x:f>IF($C17="","",IF(AND($I17&lt;1,W$6&lt;=$J17,W$6+6&gt;$H17,$J17&gt;$H17),3,IF(AND($I17&gt;0,W$6&lt;=$G17+($H17-$G17+1)*$I17-1,W$6+6&gt;=$G17),2,IF(AND(W$6&lt;=$H17,W$6+6&gt;=$G17),1,0))))</x:f>
      </x:c>
      <x:c r="X17" s="43" t="str">
        <x:f>IF($C17="","",IF(AND($I17&lt;1,X$6&lt;=$J17,X$6+6&gt;$H17,$J17&gt;$H17),3,IF(AND($I17&gt;0,X$6&lt;=$G17+($H17-$G17+1)*$I17-1,X$6+6&gt;=$G17),2,IF(AND(X$6&lt;=$H17,X$6+6&gt;=$G17),1,0))))</x:f>
      </x:c>
      <x:c r="Y17" s="43" t="str">
        <x:f>IF($C17="","",IF(AND($I17&lt;1,Y$6&lt;=$J17,Y$6+6&gt;$H17,$J17&gt;$H17),3,IF(AND($I17&gt;0,Y$6&lt;=$G17+($H17-$G17+1)*$I17-1,Y$6+6&gt;=$G17),2,IF(AND(Y$6&lt;=$H17,Y$6+6&gt;=$G17),1,0))))</x:f>
      </x:c>
      <x:c r="Z17" s="43" t="str">
        <x:f>IF($C17="","",IF(AND($I17&lt;1,Z$6&lt;=$J17,Z$6+6&gt;$H17,$J17&gt;$H17),3,IF(AND($I17&gt;0,Z$6&lt;=$G17+($H17-$G17+1)*$I17-1,Z$6+6&gt;=$G17),2,IF(AND(Z$6&lt;=$H17,Z$6+6&gt;=$G17),1,0))))</x:f>
      </x:c>
      <x:c r="AA17" s="43" t="str">
        <x:f>IF($C17="","",IF(AND($I17&lt;1,AA$6&lt;=$J17,AA$6+6&gt;$H17,$J17&gt;$H17),3,IF(AND($I17&gt;0,AA$6&lt;=$G17+($H17-$G17+1)*$I17-1,AA$6+6&gt;=$G17),2,IF(AND(AA$6&lt;=$H17,AA$6+6&gt;=$G17),1,0))))</x:f>
      </x:c>
      <x:c r="AB17" s="43" t="str">
        <x:f>IF($C17="","",IF(AND($I17&lt;1,AB$6&lt;=$J17,AB$6+6&gt;$H17,$J17&gt;$H17),3,IF(AND($I17&gt;0,AB$6&lt;=$G17+($H17-$G17+1)*$I17-1,AB$6+6&gt;=$G17),2,IF(AND(AB$6&lt;=$H17,AB$6+6&gt;=$G17),1,0))))</x:f>
      </x:c>
      <x:c r="AC17" s="43" t="str">
        <x:f>IF($C17="","",IF(AND($I17&lt;1,AC$6&lt;=$J17,AC$6+6&gt;$H17,$J17&gt;$H17),3,IF(AND($I17&gt;0,AC$6&lt;=$G17+($H17-$G17+1)*$I17-1,AC$6+6&gt;=$G17),2,IF(AND(AC$6&lt;=$H17,AC$6+6&gt;=$G17),1,0))))</x:f>
      </x:c>
      <x:c r="AD17" s="43" t="str">
        <x:f>IF($C17="","",IF(AND($I17&lt;1,AD$6&lt;=$J17,AD$6+6&gt;$H17,$J17&gt;$H17),3,IF(AND($I17&gt;0,AD$6&lt;=$G17+($H17-$G17+1)*$I17-1,AD$6+6&gt;=$G17),2,IF(AND(AD$6&lt;=$H17,AD$6+6&gt;=$G17),1,0))))</x:f>
      </x:c>
      <x:c r="AE17" s="43" t="str">
        <x:f>IF($C17="","",IF(AND($I17&lt;1,AE$6&lt;=$J17,AE$6+6&gt;$H17,$J17&gt;$H17),3,IF(AND($I17&gt;0,AE$6&lt;=$G17+($H17-$G17+1)*$I17-1,AE$6+6&gt;=$G17),2,IF(AND(AE$6&lt;=$H17,AE$6+6&gt;=$G17),1,0))))</x:f>
      </x:c>
      <x:c r="AF17" s="43" t="str">
        <x:f>IF($C17="","",IF(AND($I17&lt;1,AF$6&lt;=$J17,AF$6+6&gt;$H17,$J17&gt;$H17),3,IF(AND($I17&gt;0,AF$6&lt;=$G17+($H17-$G17+1)*$I17-1,AF$6+6&gt;=$G17),2,IF(AND(AF$6&lt;=$H17,AF$6+6&gt;=$G17),1,0))))</x:f>
      </x:c>
      <x:c r="AG17" s="43" t="str">
        <x:f>IF($C17="","",IF(AND($I17&lt;1,AG$6&lt;=$J17,AG$6+6&gt;$H17,$J17&gt;$H17),3,IF(AND($I17&gt;0,AG$6&lt;=$G17+($H17-$G17+1)*$I17-1,AG$6+6&gt;=$G17),2,IF(AND(AG$6&lt;=$H17,AG$6+6&gt;=$G17),1,0))))</x:f>
      </x:c>
      <x:c r="AH17" s="43" t="str">
        <x:f>IF($C17="","",IF(AND($I17&lt;1,AH$6&lt;=$J17,AH$6+6&gt;$H17,$J17&gt;$H17),3,IF(AND($I17&gt;0,AH$6&lt;=$G17+($H17-$G17+1)*$I17-1,AH$6+6&gt;=$G17),2,IF(AND(AH$6&lt;=$H17,AH$6+6&gt;=$G17),1,0))))</x:f>
      </x:c>
      <x:c r="AI17" s="43" t="str">
        <x:f>IF($C17="","",IF(AND($I17&lt;1,AI$6&lt;=$J17,AI$6+6&gt;$H17,$J17&gt;$H17),3,IF(AND($I17&gt;0,AI$6&lt;=$G17+($H17-$G17+1)*$I17-1,AI$6+6&gt;=$G17),2,IF(AND(AI$6&lt;=$H17,AI$6+6&gt;=$G17),1,0))))</x:f>
      </x:c>
      <x:c r="AJ17" s="43" t="str">
        <x:f>IF($C17="","",IF(AND($I17&lt;1,AJ$6&lt;=$J17,AJ$6+6&gt;$H17,$J17&gt;$H17),3,IF(AND($I17&gt;0,AJ$6&lt;=$G17+($H17-$G17+1)*$I17-1,AJ$6+6&gt;=$G17),2,IF(AND(AJ$6&lt;=$H17,AJ$6+6&gt;=$G17),1,0))))</x:f>
      </x:c>
      <x:c r="AK17" s="43" t="str">
        <x:f>IF($C17="","",IF(AND($I17&lt;1,AK$6&lt;=$J17,AK$6+6&gt;$H17,$J17&gt;$H17),3,IF(AND($I17&gt;0,AK$6&lt;=$G17+($H17-$G17+1)*$I17-1,AK$6+6&gt;=$G17),2,IF(AND(AK$6&lt;=$H17,AK$6+6&gt;=$G17),1,0))))</x:f>
      </x:c>
    </x:row>
    <x:row r="18" ht="22" customHeight="1">
      <x:c r="A18" s="2"/>
      <x:c r="B18" s="2" t="n">
        <x:v>12</x:v>
      </x:c>
      <x:c r="C18" s="2" t="str">
        <x:f>IF($B18&gt;INDEX('Portfoy'!$U$7:$U$26,MATCH('Panel'!$C$5,'Portfoy'!$A$7:$A$26,0)),"",INDEX('Gorevler'!$A$7:$A$206,MATCH($B18,'Gorevler'!$S$7:$S$206,0)))</x:f>
      </x:c>
      <x:c r="D18" s="2" t="str">
        <x:f>IF($B18&gt;INDEX('Portfoy'!$U$7:$U$26,MATCH('Panel'!$C$5,'Portfoy'!$A$7:$A$26,0)),"",INDEX('Gorevler'!$C$7:$C$206,MATCH($B18,'Gorevler'!$S$7:$S$206,0)))</x:f>
      </x:c>
      <x:c r="E18" s="2" t="str">
        <x:f>IF($B18&gt;INDEX('Portfoy'!$U$7:$U$26,MATCH('Panel'!$C$5,'Portfoy'!$A$7:$A$26,0)),"",INDEX('Gorevler'!$D$7:$D$206,MATCH($B18,'Gorevler'!$S$7:$S$206,0)))</x:f>
      </x:c>
      <x:c r="F18" s="2" t="str">
        <x:f>IF($B18&gt;INDEX('Portfoy'!$U$7:$U$26,MATCH('Panel'!$C$5,'Portfoy'!$A$7:$A$26,0)),"",INDEX('Gorevler'!$K$7:$K$206,MATCH($B18,'Gorevler'!$S$7:$S$206,0)))</x:f>
      </x:c>
      <x:c r="G18" s="5" t="str">
        <x:f>IF($B18&gt;INDEX('Portfoy'!$U$7:$U$26,MATCH('Panel'!$C$5,'Portfoy'!$A$7:$A$26,0)),"",INDEX('Gorevler'!$F$7:$F$206,MATCH($B18,'Gorevler'!$S$7:$S$206,0)))</x:f>
      </x:c>
      <x:c r="H18" s="5" t="str">
        <x:f>IF($B18&gt;INDEX('Portfoy'!$U$7:$U$26,MATCH('Panel'!$C$5,'Portfoy'!$A$7:$A$26,0)),"",INDEX('Gorevler'!$G$7:$G$206,MATCH($B18,'Gorevler'!$S$7:$S$206,0)))</x:f>
      </x:c>
      <x:c r="I18" s="37" t="str">
        <x:f>IF($B18&gt;INDEX('Portfoy'!$U$7:$U$26,MATCH('Panel'!$C$5,'Portfoy'!$A$7:$A$26,0)),"",INDEX('Gorevler'!$I$7:$I$206,MATCH($B18,'Gorevler'!$S$7:$S$206,0)))</x:f>
      </x:c>
      <x:c r="J18" s="5" t="str">
        <x:f>IF($B18&gt;INDEX('Portfoy'!$U$7:$U$26,MATCH('Panel'!$C$5,'Portfoy'!$A$7:$A$26,0)),"",INDEX('Gorevler'!$J$7:$J$206,MATCH($B18,'Gorevler'!$S$7:$S$206,0)))</x:f>
      </x:c>
      <x:c r="K18" s="2"/>
      <x:c r="L18" s="43" t="str">
        <x:f>IF($C18="","",IF(AND($I18&lt;1,L$6&lt;=$J18,L$6+6&gt;$H18,$J18&gt;$H18),3,IF(AND($I18&gt;0,L$6&lt;=$G18+($H18-$G18+1)*$I18-1,L$6+6&gt;=$G18),2,IF(AND(L$6&lt;=$H18,L$6+6&gt;=$G18),1,0))))</x:f>
      </x:c>
      <x:c r="M18" s="43" t="str">
        <x:f>IF($C18="","",IF(AND($I18&lt;1,M$6&lt;=$J18,M$6+6&gt;$H18,$J18&gt;$H18),3,IF(AND($I18&gt;0,M$6&lt;=$G18+($H18-$G18+1)*$I18-1,M$6+6&gt;=$G18),2,IF(AND(M$6&lt;=$H18,M$6+6&gt;=$G18),1,0))))</x:f>
      </x:c>
      <x:c r="N18" s="43" t="str">
        <x:f>IF($C18="","",IF(AND($I18&lt;1,N$6&lt;=$J18,N$6+6&gt;$H18,$J18&gt;$H18),3,IF(AND($I18&gt;0,N$6&lt;=$G18+($H18-$G18+1)*$I18-1,N$6+6&gt;=$G18),2,IF(AND(N$6&lt;=$H18,N$6+6&gt;=$G18),1,0))))</x:f>
      </x:c>
      <x:c r="O18" s="43" t="str">
        <x:f>IF($C18="","",IF(AND($I18&lt;1,O$6&lt;=$J18,O$6+6&gt;$H18,$J18&gt;$H18),3,IF(AND($I18&gt;0,O$6&lt;=$G18+($H18-$G18+1)*$I18-1,O$6+6&gt;=$G18),2,IF(AND(O$6&lt;=$H18,O$6+6&gt;=$G18),1,0))))</x:f>
      </x:c>
      <x:c r="P18" s="43" t="str">
        <x:f>IF($C18="","",IF(AND($I18&lt;1,P$6&lt;=$J18,P$6+6&gt;$H18,$J18&gt;$H18),3,IF(AND($I18&gt;0,P$6&lt;=$G18+($H18-$G18+1)*$I18-1,P$6+6&gt;=$G18),2,IF(AND(P$6&lt;=$H18,P$6+6&gt;=$G18),1,0))))</x:f>
      </x:c>
      <x:c r="Q18" s="43" t="str">
        <x:f>IF($C18="","",IF(AND($I18&lt;1,Q$6&lt;=$J18,Q$6+6&gt;$H18,$J18&gt;$H18),3,IF(AND($I18&gt;0,Q$6&lt;=$G18+($H18-$G18+1)*$I18-1,Q$6+6&gt;=$G18),2,IF(AND(Q$6&lt;=$H18,Q$6+6&gt;=$G18),1,0))))</x:f>
      </x:c>
      <x:c r="R18" s="43" t="str">
        <x:f>IF($C18="","",IF(AND($I18&lt;1,R$6&lt;=$J18,R$6+6&gt;$H18,$J18&gt;$H18),3,IF(AND($I18&gt;0,R$6&lt;=$G18+($H18-$G18+1)*$I18-1,R$6+6&gt;=$G18),2,IF(AND(R$6&lt;=$H18,R$6+6&gt;=$G18),1,0))))</x:f>
      </x:c>
      <x:c r="S18" s="43" t="str">
        <x:f>IF($C18="","",IF(AND($I18&lt;1,S$6&lt;=$J18,S$6+6&gt;$H18,$J18&gt;$H18),3,IF(AND($I18&gt;0,S$6&lt;=$G18+($H18-$G18+1)*$I18-1,S$6+6&gt;=$G18),2,IF(AND(S$6&lt;=$H18,S$6+6&gt;=$G18),1,0))))</x:f>
      </x:c>
      <x:c r="T18" s="43" t="str">
        <x:f>IF($C18="","",IF(AND($I18&lt;1,T$6&lt;=$J18,T$6+6&gt;$H18,$J18&gt;$H18),3,IF(AND($I18&gt;0,T$6&lt;=$G18+($H18-$G18+1)*$I18-1,T$6+6&gt;=$G18),2,IF(AND(T$6&lt;=$H18,T$6+6&gt;=$G18),1,0))))</x:f>
      </x:c>
      <x:c r="U18" s="43" t="str">
        <x:f>IF($C18="","",IF(AND($I18&lt;1,U$6&lt;=$J18,U$6+6&gt;$H18,$J18&gt;$H18),3,IF(AND($I18&gt;0,U$6&lt;=$G18+($H18-$G18+1)*$I18-1,U$6+6&gt;=$G18),2,IF(AND(U$6&lt;=$H18,U$6+6&gt;=$G18),1,0))))</x:f>
      </x:c>
      <x:c r="V18" s="43" t="str">
        <x:f>IF($C18="","",IF(AND($I18&lt;1,V$6&lt;=$J18,V$6+6&gt;$H18,$J18&gt;$H18),3,IF(AND($I18&gt;0,V$6&lt;=$G18+($H18-$G18+1)*$I18-1,V$6+6&gt;=$G18),2,IF(AND(V$6&lt;=$H18,V$6+6&gt;=$G18),1,0))))</x:f>
      </x:c>
      <x:c r="W18" s="43" t="str">
        <x:f>IF($C18="","",IF(AND($I18&lt;1,W$6&lt;=$J18,W$6+6&gt;$H18,$J18&gt;$H18),3,IF(AND($I18&gt;0,W$6&lt;=$G18+($H18-$G18+1)*$I18-1,W$6+6&gt;=$G18),2,IF(AND(W$6&lt;=$H18,W$6+6&gt;=$G18),1,0))))</x:f>
      </x:c>
      <x:c r="X18" s="43" t="str">
        <x:f>IF($C18="","",IF(AND($I18&lt;1,X$6&lt;=$J18,X$6+6&gt;$H18,$J18&gt;$H18),3,IF(AND($I18&gt;0,X$6&lt;=$G18+($H18-$G18+1)*$I18-1,X$6+6&gt;=$G18),2,IF(AND(X$6&lt;=$H18,X$6+6&gt;=$G18),1,0))))</x:f>
      </x:c>
      <x:c r="Y18" s="43" t="str">
        <x:f>IF($C18="","",IF(AND($I18&lt;1,Y$6&lt;=$J18,Y$6+6&gt;$H18,$J18&gt;$H18),3,IF(AND($I18&gt;0,Y$6&lt;=$G18+($H18-$G18+1)*$I18-1,Y$6+6&gt;=$G18),2,IF(AND(Y$6&lt;=$H18,Y$6+6&gt;=$G18),1,0))))</x:f>
      </x:c>
      <x:c r="Z18" s="43" t="str">
        <x:f>IF($C18="","",IF(AND($I18&lt;1,Z$6&lt;=$J18,Z$6+6&gt;$H18,$J18&gt;$H18),3,IF(AND($I18&gt;0,Z$6&lt;=$G18+($H18-$G18+1)*$I18-1,Z$6+6&gt;=$G18),2,IF(AND(Z$6&lt;=$H18,Z$6+6&gt;=$G18),1,0))))</x:f>
      </x:c>
      <x:c r="AA18" s="43" t="str">
        <x:f>IF($C18="","",IF(AND($I18&lt;1,AA$6&lt;=$J18,AA$6+6&gt;$H18,$J18&gt;$H18),3,IF(AND($I18&gt;0,AA$6&lt;=$G18+($H18-$G18+1)*$I18-1,AA$6+6&gt;=$G18),2,IF(AND(AA$6&lt;=$H18,AA$6+6&gt;=$G18),1,0))))</x:f>
      </x:c>
      <x:c r="AB18" s="43" t="str">
        <x:f>IF($C18="","",IF(AND($I18&lt;1,AB$6&lt;=$J18,AB$6+6&gt;$H18,$J18&gt;$H18),3,IF(AND($I18&gt;0,AB$6&lt;=$G18+($H18-$G18+1)*$I18-1,AB$6+6&gt;=$G18),2,IF(AND(AB$6&lt;=$H18,AB$6+6&gt;=$G18),1,0))))</x:f>
      </x:c>
      <x:c r="AC18" s="43" t="str">
        <x:f>IF($C18="","",IF(AND($I18&lt;1,AC$6&lt;=$J18,AC$6+6&gt;$H18,$J18&gt;$H18),3,IF(AND($I18&gt;0,AC$6&lt;=$G18+($H18-$G18+1)*$I18-1,AC$6+6&gt;=$G18),2,IF(AND(AC$6&lt;=$H18,AC$6+6&gt;=$G18),1,0))))</x:f>
      </x:c>
      <x:c r="AD18" s="43" t="str">
        <x:f>IF($C18="","",IF(AND($I18&lt;1,AD$6&lt;=$J18,AD$6+6&gt;$H18,$J18&gt;$H18),3,IF(AND($I18&gt;0,AD$6&lt;=$G18+($H18-$G18+1)*$I18-1,AD$6+6&gt;=$G18),2,IF(AND(AD$6&lt;=$H18,AD$6+6&gt;=$G18),1,0))))</x:f>
      </x:c>
      <x:c r="AE18" s="43" t="str">
        <x:f>IF($C18="","",IF(AND($I18&lt;1,AE$6&lt;=$J18,AE$6+6&gt;$H18,$J18&gt;$H18),3,IF(AND($I18&gt;0,AE$6&lt;=$G18+($H18-$G18+1)*$I18-1,AE$6+6&gt;=$G18),2,IF(AND(AE$6&lt;=$H18,AE$6+6&gt;=$G18),1,0))))</x:f>
      </x:c>
      <x:c r="AF18" s="43" t="str">
        <x:f>IF($C18="","",IF(AND($I18&lt;1,AF$6&lt;=$J18,AF$6+6&gt;$H18,$J18&gt;$H18),3,IF(AND($I18&gt;0,AF$6&lt;=$G18+($H18-$G18+1)*$I18-1,AF$6+6&gt;=$G18),2,IF(AND(AF$6&lt;=$H18,AF$6+6&gt;=$G18),1,0))))</x:f>
      </x:c>
      <x:c r="AG18" s="43" t="str">
        <x:f>IF($C18="","",IF(AND($I18&lt;1,AG$6&lt;=$J18,AG$6+6&gt;$H18,$J18&gt;$H18),3,IF(AND($I18&gt;0,AG$6&lt;=$G18+($H18-$G18+1)*$I18-1,AG$6+6&gt;=$G18),2,IF(AND(AG$6&lt;=$H18,AG$6+6&gt;=$G18),1,0))))</x:f>
      </x:c>
      <x:c r="AH18" s="43" t="str">
        <x:f>IF($C18="","",IF(AND($I18&lt;1,AH$6&lt;=$J18,AH$6+6&gt;$H18,$J18&gt;$H18),3,IF(AND($I18&gt;0,AH$6&lt;=$G18+($H18-$G18+1)*$I18-1,AH$6+6&gt;=$G18),2,IF(AND(AH$6&lt;=$H18,AH$6+6&gt;=$G18),1,0))))</x:f>
      </x:c>
      <x:c r="AI18" s="43" t="str">
        <x:f>IF($C18="","",IF(AND($I18&lt;1,AI$6&lt;=$J18,AI$6+6&gt;$H18,$J18&gt;$H18),3,IF(AND($I18&gt;0,AI$6&lt;=$G18+($H18-$G18+1)*$I18-1,AI$6+6&gt;=$G18),2,IF(AND(AI$6&lt;=$H18,AI$6+6&gt;=$G18),1,0))))</x:f>
      </x:c>
      <x:c r="AJ18" s="43" t="str">
        <x:f>IF($C18="","",IF(AND($I18&lt;1,AJ$6&lt;=$J18,AJ$6+6&gt;$H18,$J18&gt;$H18),3,IF(AND($I18&gt;0,AJ$6&lt;=$G18+($H18-$G18+1)*$I18-1,AJ$6+6&gt;=$G18),2,IF(AND(AJ$6&lt;=$H18,AJ$6+6&gt;=$G18),1,0))))</x:f>
      </x:c>
      <x:c r="AK18" s="43" t="str">
        <x:f>IF($C18="","",IF(AND($I18&lt;1,AK$6&lt;=$J18,AK$6+6&gt;$H18,$J18&gt;$H18),3,IF(AND($I18&gt;0,AK$6&lt;=$G18+($H18-$G18+1)*$I18-1,AK$6+6&gt;=$G18),2,IF(AND(AK$6&lt;=$H18,AK$6+6&gt;=$G18),1,0))))</x:f>
      </x:c>
    </x:row>
    <x:row r="19" ht="22" customHeight="1">
      <x:c r="A19" s="2"/>
      <x:c r="B19" s="2" t="n">
        <x:v>13</x:v>
      </x:c>
      <x:c r="C19" s="2" t="str">
        <x:f>IF($B19&gt;INDEX('Portfoy'!$U$7:$U$26,MATCH('Panel'!$C$5,'Portfoy'!$A$7:$A$26,0)),"",INDEX('Gorevler'!$A$7:$A$206,MATCH($B19,'Gorevler'!$S$7:$S$206,0)))</x:f>
      </x:c>
      <x:c r="D19" s="2" t="str">
        <x:f>IF($B19&gt;INDEX('Portfoy'!$U$7:$U$26,MATCH('Panel'!$C$5,'Portfoy'!$A$7:$A$26,0)),"",INDEX('Gorevler'!$C$7:$C$206,MATCH($B19,'Gorevler'!$S$7:$S$206,0)))</x:f>
      </x:c>
      <x:c r="E19" s="2" t="str">
        <x:f>IF($B19&gt;INDEX('Portfoy'!$U$7:$U$26,MATCH('Panel'!$C$5,'Portfoy'!$A$7:$A$26,0)),"",INDEX('Gorevler'!$D$7:$D$206,MATCH($B19,'Gorevler'!$S$7:$S$206,0)))</x:f>
      </x:c>
      <x:c r="F19" s="2" t="str">
        <x:f>IF($B19&gt;INDEX('Portfoy'!$U$7:$U$26,MATCH('Panel'!$C$5,'Portfoy'!$A$7:$A$26,0)),"",INDEX('Gorevler'!$K$7:$K$206,MATCH($B19,'Gorevler'!$S$7:$S$206,0)))</x:f>
      </x:c>
      <x:c r="G19" s="5" t="str">
        <x:f>IF($B19&gt;INDEX('Portfoy'!$U$7:$U$26,MATCH('Panel'!$C$5,'Portfoy'!$A$7:$A$26,0)),"",INDEX('Gorevler'!$F$7:$F$206,MATCH($B19,'Gorevler'!$S$7:$S$206,0)))</x:f>
      </x:c>
      <x:c r="H19" s="5" t="str">
        <x:f>IF($B19&gt;INDEX('Portfoy'!$U$7:$U$26,MATCH('Panel'!$C$5,'Portfoy'!$A$7:$A$26,0)),"",INDEX('Gorevler'!$G$7:$G$206,MATCH($B19,'Gorevler'!$S$7:$S$206,0)))</x:f>
      </x:c>
      <x:c r="I19" s="37" t="str">
        <x:f>IF($B19&gt;INDEX('Portfoy'!$U$7:$U$26,MATCH('Panel'!$C$5,'Portfoy'!$A$7:$A$26,0)),"",INDEX('Gorevler'!$I$7:$I$206,MATCH($B19,'Gorevler'!$S$7:$S$206,0)))</x:f>
      </x:c>
      <x:c r="J19" s="5" t="str">
        <x:f>IF($B19&gt;INDEX('Portfoy'!$U$7:$U$26,MATCH('Panel'!$C$5,'Portfoy'!$A$7:$A$26,0)),"",INDEX('Gorevler'!$J$7:$J$206,MATCH($B19,'Gorevler'!$S$7:$S$206,0)))</x:f>
      </x:c>
      <x:c r="K19" s="2"/>
      <x:c r="L19" s="43" t="str">
        <x:f>IF($C19="","",IF(AND($I19&lt;1,L$6&lt;=$J19,L$6+6&gt;$H19,$J19&gt;$H19),3,IF(AND($I19&gt;0,L$6&lt;=$G19+($H19-$G19+1)*$I19-1,L$6+6&gt;=$G19),2,IF(AND(L$6&lt;=$H19,L$6+6&gt;=$G19),1,0))))</x:f>
      </x:c>
      <x:c r="M19" s="43" t="str">
        <x:f>IF($C19="","",IF(AND($I19&lt;1,M$6&lt;=$J19,M$6+6&gt;$H19,$J19&gt;$H19),3,IF(AND($I19&gt;0,M$6&lt;=$G19+($H19-$G19+1)*$I19-1,M$6+6&gt;=$G19),2,IF(AND(M$6&lt;=$H19,M$6+6&gt;=$G19),1,0))))</x:f>
      </x:c>
      <x:c r="N19" s="43" t="str">
        <x:f>IF($C19="","",IF(AND($I19&lt;1,N$6&lt;=$J19,N$6+6&gt;$H19,$J19&gt;$H19),3,IF(AND($I19&gt;0,N$6&lt;=$G19+($H19-$G19+1)*$I19-1,N$6+6&gt;=$G19),2,IF(AND(N$6&lt;=$H19,N$6+6&gt;=$G19),1,0))))</x:f>
      </x:c>
      <x:c r="O19" s="43" t="str">
        <x:f>IF($C19="","",IF(AND($I19&lt;1,O$6&lt;=$J19,O$6+6&gt;$H19,$J19&gt;$H19),3,IF(AND($I19&gt;0,O$6&lt;=$G19+($H19-$G19+1)*$I19-1,O$6+6&gt;=$G19),2,IF(AND(O$6&lt;=$H19,O$6+6&gt;=$G19),1,0))))</x:f>
      </x:c>
      <x:c r="P19" s="43" t="str">
        <x:f>IF($C19="","",IF(AND($I19&lt;1,P$6&lt;=$J19,P$6+6&gt;$H19,$J19&gt;$H19),3,IF(AND($I19&gt;0,P$6&lt;=$G19+($H19-$G19+1)*$I19-1,P$6+6&gt;=$G19),2,IF(AND(P$6&lt;=$H19,P$6+6&gt;=$G19),1,0))))</x:f>
      </x:c>
      <x:c r="Q19" s="43" t="str">
        <x:f>IF($C19="","",IF(AND($I19&lt;1,Q$6&lt;=$J19,Q$6+6&gt;$H19,$J19&gt;$H19),3,IF(AND($I19&gt;0,Q$6&lt;=$G19+($H19-$G19+1)*$I19-1,Q$6+6&gt;=$G19),2,IF(AND(Q$6&lt;=$H19,Q$6+6&gt;=$G19),1,0))))</x:f>
      </x:c>
      <x:c r="R19" s="43" t="str">
        <x:f>IF($C19="","",IF(AND($I19&lt;1,R$6&lt;=$J19,R$6+6&gt;$H19,$J19&gt;$H19),3,IF(AND($I19&gt;0,R$6&lt;=$G19+($H19-$G19+1)*$I19-1,R$6+6&gt;=$G19),2,IF(AND(R$6&lt;=$H19,R$6+6&gt;=$G19),1,0))))</x:f>
      </x:c>
      <x:c r="S19" s="43" t="str">
        <x:f>IF($C19="","",IF(AND($I19&lt;1,S$6&lt;=$J19,S$6+6&gt;$H19,$J19&gt;$H19),3,IF(AND($I19&gt;0,S$6&lt;=$G19+($H19-$G19+1)*$I19-1,S$6+6&gt;=$G19),2,IF(AND(S$6&lt;=$H19,S$6+6&gt;=$G19),1,0))))</x:f>
      </x:c>
      <x:c r="T19" s="43" t="str">
        <x:f>IF($C19="","",IF(AND($I19&lt;1,T$6&lt;=$J19,T$6+6&gt;$H19,$J19&gt;$H19),3,IF(AND($I19&gt;0,T$6&lt;=$G19+($H19-$G19+1)*$I19-1,T$6+6&gt;=$G19),2,IF(AND(T$6&lt;=$H19,T$6+6&gt;=$G19),1,0))))</x:f>
      </x:c>
      <x:c r="U19" s="43" t="str">
        <x:f>IF($C19="","",IF(AND($I19&lt;1,U$6&lt;=$J19,U$6+6&gt;$H19,$J19&gt;$H19),3,IF(AND($I19&gt;0,U$6&lt;=$G19+($H19-$G19+1)*$I19-1,U$6+6&gt;=$G19),2,IF(AND(U$6&lt;=$H19,U$6+6&gt;=$G19),1,0))))</x:f>
      </x:c>
      <x:c r="V19" s="43" t="str">
        <x:f>IF($C19="","",IF(AND($I19&lt;1,V$6&lt;=$J19,V$6+6&gt;$H19,$J19&gt;$H19),3,IF(AND($I19&gt;0,V$6&lt;=$G19+($H19-$G19+1)*$I19-1,V$6+6&gt;=$G19),2,IF(AND(V$6&lt;=$H19,V$6+6&gt;=$G19),1,0))))</x:f>
      </x:c>
      <x:c r="W19" s="43" t="str">
        <x:f>IF($C19="","",IF(AND($I19&lt;1,W$6&lt;=$J19,W$6+6&gt;$H19,$J19&gt;$H19),3,IF(AND($I19&gt;0,W$6&lt;=$G19+($H19-$G19+1)*$I19-1,W$6+6&gt;=$G19),2,IF(AND(W$6&lt;=$H19,W$6+6&gt;=$G19),1,0))))</x:f>
      </x:c>
      <x:c r="X19" s="43" t="str">
        <x:f>IF($C19="","",IF(AND($I19&lt;1,X$6&lt;=$J19,X$6+6&gt;$H19,$J19&gt;$H19),3,IF(AND($I19&gt;0,X$6&lt;=$G19+($H19-$G19+1)*$I19-1,X$6+6&gt;=$G19),2,IF(AND(X$6&lt;=$H19,X$6+6&gt;=$G19),1,0))))</x:f>
      </x:c>
      <x:c r="Y19" s="43" t="str">
        <x:f>IF($C19="","",IF(AND($I19&lt;1,Y$6&lt;=$J19,Y$6+6&gt;$H19,$J19&gt;$H19),3,IF(AND($I19&gt;0,Y$6&lt;=$G19+($H19-$G19+1)*$I19-1,Y$6+6&gt;=$G19),2,IF(AND(Y$6&lt;=$H19,Y$6+6&gt;=$G19),1,0))))</x:f>
      </x:c>
      <x:c r="Z19" s="43" t="str">
        <x:f>IF($C19="","",IF(AND($I19&lt;1,Z$6&lt;=$J19,Z$6+6&gt;$H19,$J19&gt;$H19),3,IF(AND($I19&gt;0,Z$6&lt;=$G19+($H19-$G19+1)*$I19-1,Z$6+6&gt;=$G19),2,IF(AND(Z$6&lt;=$H19,Z$6+6&gt;=$G19),1,0))))</x:f>
      </x:c>
      <x:c r="AA19" s="43" t="str">
        <x:f>IF($C19="","",IF(AND($I19&lt;1,AA$6&lt;=$J19,AA$6+6&gt;$H19,$J19&gt;$H19),3,IF(AND($I19&gt;0,AA$6&lt;=$G19+($H19-$G19+1)*$I19-1,AA$6+6&gt;=$G19),2,IF(AND(AA$6&lt;=$H19,AA$6+6&gt;=$G19),1,0))))</x:f>
      </x:c>
      <x:c r="AB19" s="43" t="str">
        <x:f>IF($C19="","",IF(AND($I19&lt;1,AB$6&lt;=$J19,AB$6+6&gt;$H19,$J19&gt;$H19),3,IF(AND($I19&gt;0,AB$6&lt;=$G19+($H19-$G19+1)*$I19-1,AB$6+6&gt;=$G19),2,IF(AND(AB$6&lt;=$H19,AB$6+6&gt;=$G19),1,0))))</x:f>
      </x:c>
      <x:c r="AC19" s="43" t="str">
        <x:f>IF($C19="","",IF(AND($I19&lt;1,AC$6&lt;=$J19,AC$6+6&gt;$H19,$J19&gt;$H19),3,IF(AND($I19&gt;0,AC$6&lt;=$G19+($H19-$G19+1)*$I19-1,AC$6+6&gt;=$G19),2,IF(AND(AC$6&lt;=$H19,AC$6+6&gt;=$G19),1,0))))</x:f>
      </x:c>
      <x:c r="AD19" s="43" t="str">
        <x:f>IF($C19="","",IF(AND($I19&lt;1,AD$6&lt;=$J19,AD$6+6&gt;$H19,$J19&gt;$H19),3,IF(AND($I19&gt;0,AD$6&lt;=$G19+($H19-$G19+1)*$I19-1,AD$6+6&gt;=$G19),2,IF(AND(AD$6&lt;=$H19,AD$6+6&gt;=$G19),1,0))))</x:f>
      </x:c>
      <x:c r="AE19" s="43" t="str">
        <x:f>IF($C19="","",IF(AND($I19&lt;1,AE$6&lt;=$J19,AE$6+6&gt;$H19,$J19&gt;$H19),3,IF(AND($I19&gt;0,AE$6&lt;=$G19+($H19-$G19+1)*$I19-1,AE$6+6&gt;=$G19),2,IF(AND(AE$6&lt;=$H19,AE$6+6&gt;=$G19),1,0))))</x:f>
      </x:c>
      <x:c r="AF19" s="43" t="str">
        <x:f>IF($C19="","",IF(AND($I19&lt;1,AF$6&lt;=$J19,AF$6+6&gt;$H19,$J19&gt;$H19),3,IF(AND($I19&gt;0,AF$6&lt;=$G19+($H19-$G19+1)*$I19-1,AF$6+6&gt;=$G19),2,IF(AND(AF$6&lt;=$H19,AF$6+6&gt;=$G19),1,0))))</x:f>
      </x:c>
      <x:c r="AG19" s="43" t="str">
        <x:f>IF($C19="","",IF(AND($I19&lt;1,AG$6&lt;=$J19,AG$6+6&gt;$H19,$J19&gt;$H19),3,IF(AND($I19&gt;0,AG$6&lt;=$G19+($H19-$G19+1)*$I19-1,AG$6+6&gt;=$G19),2,IF(AND(AG$6&lt;=$H19,AG$6+6&gt;=$G19),1,0))))</x:f>
      </x:c>
      <x:c r="AH19" s="43" t="str">
        <x:f>IF($C19="","",IF(AND($I19&lt;1,AH$6&lt;=$J19,AH$6+6&gt;$H19,$J19&gt;$H19),3,IF(AND($I19&gt;0,AH$6&lt;=$G19+($H19-$G19+1)*$I19-1,AH$6+6&gt;=$G19),2,IF(AND(AH$6&lt;=$H19,AH$6+6&gt;=$G19),1,0))))</x:f>
      </x:c>
      <x:c r="AI19" s="43" t="str">
        <x:f>IF($C19="","",IF(AND($I19&lt;1,AI$6&lt;=$J19,AI$6+6&gt;$H19,$J19&gt;$H19),3,IF(AND($I19&gt;0,AI$6&lt;=$G19+($H19-$G19+1)*$I19-1,AI$6+6&gt;=$G19),2,IF(AND(AI$6&lt;=$H19,AI$6+6&gt;=$G19),1,0))))</x:f>
      </x:c>
      <x:c r="AJ19" s="43" t="str">
        <x:f>IF($C19="","",IF(AND($I19&lt;1,AJ$6&lt;=$J19,AJ$6+6&gt;$H19,$J19&gt;$H19),3,IF(AND($I19&gt;0,AJ$6&lt;=$G19+($H19-$G19+1)*$I19-1,AJ$6+6&gt;=$G19),2,IF(AND(AJ$6&lt;=$H19,AJ$6+6&gt;=$G19),1,0))))</x:f>
      </x:c>
      <x:c r="AK19" s="43" t="str">
        <x:f>IF($C19="","",IF(AND($I19&lt;1,AK$6&lt;=$J19,AK$6+6&gt;$H19,$J19&gt;$H19),3,IF(AND($I19&gt;0,AK$6&lt;=$G19+($H19-$G19+1)*$I19-1,AK$6+6&gt;=$G19),2,IF(AND(AK$6&lt;=$H19,AK$6+6&gt;=$G19),1,0))))</x:f>
      </x:c>
    </x:row>
    <x:row r="20" ht="22" customHeight="1">
      <x:c r="A20" s="2"/>
      <x:c r="B20" s="2" t="n">
        <x:v>14</x:v>
      </x:c>
      <x:c r="C20" s="2" t="str">
        <x:f>IF($B20&gt;INDEX('Portfoy'!$U$7:$U$26,MATCH('Panel'!$C$5,'Portfoy'!$A$7:$A$26,0)),"",INDEX('Gorevler'!$A$7:$A$206,MATCH($B20,'Gorevler'!$S$7:$S$206,0)))</x:f>
      </x:c>
      <x:c r="D20" s="2" t="str">
        <x:f>IF($B20&gt;INDEX('Portfoy'!$U$7:$U$26,MATCH('Panel'!$C$5,'Portfoy'!$A$7:$A$26,0)),"",INDEX('Gorevler'!$C$7:$C$206,MATCH($B20,'Gorevler'!$S$7:$S$206,0)))</x:f>
      </x:c>
      <x:c r="E20" s="2" t="str">
        <x:f>IF($B20&gt;INDEX('Portfoy'!$U$7:$U$26,MATCH('Panel'!$C$5,'Portfoy'!$A$7:$A$26,0)),"",INDEX('Gorevler'!$D$7:$D$206,MATCH($B20,'Gorevler'!$S$7:$S$206,0)))</x:f>
      </x:c>
      <x:c r="F20" s="2" t="str">
        <x:f>IF($B20&gt;INDEX('Portfoy'!$U$7:$U$26,MATCH('Panel'!$C$5,'Portfoy'!$A$7:$A$26,0)),"",INDEX('Gorevler'!$K$7:$K$206,MATCH($B20,'Gorevler'!$S$7:$S$206,0)))</x:f>
      </x:c>
      <x:c r="G20" s="5" t="str">
        <x:f>IF($B20&gt;INDEX('Portfoy'!$U$7:$U$26,MATCH('Panel'!$C$5,'Portfoy'!$A$7:$A$26,0)),"",INDEX('Gorevler'!$F$7:$F$206,MATCH($B20,'Gorevler'!$S$7:$S$206,0)))</x:f>
      </x:c>
      <x:c r="H20" s="5" t="str">
        <x:f>IF($B20&gt;INDEX('Portfoy'!$U$7:$U$26,MATCH('Panel'!$C$5,'Portfoy'!$A$7:$A$26,0)),"",INDEX('Gorevler'!$G$7:$G$206,MATCH($B20,'Gorevler'!$S$7:$S$206,0)))</x:f>
      </x:c>
      <x:c r="I20" s="37" t="str">
        <x:f>IF($B20&gt;INDEX('Portfoy'!$U$7:$U$26,MATCH('Panel'!$C$5,'Portfoy'!$A$7:$A$26,0)),"",INDEX('Gorevler'!$I$7:$I$206,MATCH($B20,'Gorevler'!$S$7:$S$206,0)))</x:f>
      </x:c>
      <x:c r="J20" s="5" t="str">
        <x:f>IF($B20&gt;INDEX('Portfoy'!$U$7:$U$26,MATCH('Panel'!$C$5,'Portfoy'!$A$7:$A$26,0)),"",INDEX('Gorevler'!$J$7:$J$206,MATCH($B20,'Gorevler'!$S$7:$S$206,0)))</x:f>
      </x:c>
      <x:c r="K20" s="2"/>
      <x:c r="L20" s="43" t="str">
        <x:f>IF($C20="","",IF(AND($I20&lt;1,L$6&lt;=$J20,L$6+6&gt;$H20,$J20&gt;$H20),3,IF(AND($I20&gt;0,L$6&lt;=$G20+($H20-$G20+1)*$I20-1,L$6+6&gt;=$G20),2,IF(AND(L$6&lt;=$H20,L$6+6&gt;=$G20),1,0))))</x:f>
      </x:c>
      <x:c r="M20" s="43" t="str">
        <x:f>IF($C20="","",IF(AND($I20&lt;1,M$6&lt;=$J20,M$6+6&gt;$H20,$J20&gt;$H20),3,IF(AND($I20&gt;0,M$6&lt;=$G20+($H20-$G20+1)*$I20-1,M$6+6&gt;=$G20),2,IF(AND(M$6&lt;=$H20,M$6+6&gt;=$G20),1,0))))</x:f>
      </x:c>
      <x:c r="N20" s="43" t="str">
        <x:f>IF($C20="","",IF(AND($I20&lt;1,N$6&lt;=$J20,N$6+6&gt;$H20,$J20&gt;$H20),3,IF(AND($I20&gt;0,N$6&lt;=$G20+($H20-$G20+1)*$I20-1,N$6+6&gt;=$G20),2,IF(AND(N$6&lt;=$H20,N$6+6&gt;=$G20),1,0))))</x:f>
      </x:c>
      <x:c r="O20" s="43" t="str">
        <x:f>IF($C20="","",IF(AND($I20&lt;1,O$6&lt;=$J20,O$6+6&gt;$H20,$J20&gt;$H20),3,IF(AND($I20&gt;0,O$6&lt;=$G20+($H20-$G20+1)*$I20-1,O$6+6&gt;=$G20),2,IF(AND(O$6&lt;=$H20,O$6+6&gt;=$G20),1,0))))</x:f>
      </x:c>
      <x:c r="P20" s="43" t="str">
        <x:f>IF($C20="","",IF(AND($I20&lt;1,P$6&lt;=$J20,P$6+6&gt;$H20,$J20&gt;$H20),3,IF(AND($I20&gt;0,P$6&lt;=$G20+($H20-$G20+1)*$I20-1,P$6+6&gt;=$G20),2,IF(AND(P$6&lt;=$H20,P$6+6&gt;=$G20),1,0))))</x:f>
      </x:c>
      <x:c r="Q20" s="43" t="str">
        <x:f>IF($C20="","",IF(AND($I20&lt;1,Q$6&lt;=$J20,Q$6+6&gt;$H20,$J20&gt;$H20),3,IF(AND($I20&gt;0,Q$6&lt;=$G20+($H20-$G20+1)*$I20-1,Q$6+6&gt;=$G20),2,IF(AND(Q$6&lt;=$H20,Q$6+6&gt;=$G20),1,0))))</x:f>
      </x:c>
      <x:c r="R20" s="43" t="str">
        <x:f>IF($C20="","",IF(AND($I20&lt;1,R$6&lt;=$J20,R$6+6&gt;$H20,$J20&gt;$H20),3,IF(AND($I20&gt;0,R$6&lt;=$G20+($H20-$G20+1)*$I20-1,R$6+6&gt;=$G20),2,IF(AND(R$6&lt;=$H20,R$6+6&gt;=$G20),1,0))))</x:f>
      </x:c>
      <x:c r="S20" s="43" t="str">
        <x:f>IF($C20="","",IF(AND($I20&lt;1,S$6&lt;=$J20,S$6+6&gt;$H20,$J20&gt;$H20),3,IF(AND($I20&gt;0,S$6&lt;=$G20+($H20-$G20+1)*$I20-1,S$6+6&gt;=$G20),2,IF(AND(S$6&lt;=$H20,S$6+6&gt;=$G20),1,0))))</x:f>
      </x:c>
      <x:c r="T20" s="43" t="str">
        <x:f>IF($C20="","",IF(AND($I20&lt;1,T$6&lt;=$J20,T$6+6&gt;$H20,$J20&gt;$H20),3,IF(AND($I20&gt;0,T$6&lt;=$G20+($H20-$G20+1)*$I20-1,T$6+6&gt;=$G20),2,IF(AND(T$6&lt;=$H20,T$6+6&gt;=$G20),1,0))))</x:f>
      </x:c>
      <x:c r="U20" s="43" t="str">
        <x:f>IF($C20="","",IF(AND($I20&lt;1,U$6&lt;=$J20,U$6+6&gt;$H20,$J20&gt;$H20),3,IF(AND($I20&gt;0,U$6&lt;=$G20+($H20-$G20+1)*$I20-1,U$6+6&gt;=$G20),2,IF(AND(U$6&lt;=$H20,U$6+6&gt;=$G20),1,0))))</x:f>
      </x:c>
      <x:c r="V20" s="43" t="str">
        <x:f>IF($C20="","",IF(AND($I20&lt;1,V$6&lt;=$J20,V$6+6&gt;$H20,$J20&gt;$H20),3,IF(AND($I20&gt;0,V$6&lt;=$G20+($H20-$G20+1)*$I20-1,V$6+6&gt;=$G20),2,IF(AND(V$6&lt;=$H20,V$6+6&gt;=$G20),1,0))))</x:f>
      </x:c>
      <x:c r="W20" s="43" t="str">
        <x:f>IF($C20="","",IF(AND($I20&lt;1,W$6&lt;=$J20,W$6+6&gt;$H20,$J20&gt;$H20),3,IF(AND($I20&gt;0,W$6&lt;=$G20+($H20-$G20+1)*$I20-1,W$6+6&gt;=$G20),2,IF(AND(W$6&lt;=$H20,W$6+6&gt;=$G20),1,0))))</x:f>
      </x:c>
      <x:c r="X20" s="43" t="str">
        <x:f>IF($C20="","",IF(AND($I20&lt;1,X$6&lt;=$J20,X$6+6&gt;$H20,$J20&gt;$H20),3,IF(AND($I20&gt;0,X$6&lt;=$G20+($H20-$G20+1)*$I20-1,X$6+6&gt;=$G20),2,IF(AND(X$6&lt;=$H20,X$6+6&gt;=$G20),1,0))))</x:f>
      </x:c>
      <x:c r="Y20" s="43" t="str">
        <x:f>IF($C20="","",IF(AND($I20&lt;1,Y$6&lt;=$J20,Y$6+6&gt;$H20,$J20&gt;$H20),3,IF(AND($I20&gt;0,Y$6&lt;=$G20+($H20-$G20+1)*$I20-1,Y$6+6&gt;=$G20),2,IF(AND(Y$6&lt;=$H20,Y$6+6&gt;=$G20),1,0))))</x:f>
      </x:c>
      <x:c r="Z20" s="43" t="str">
        <x:f>IF($C20="","",IF(AND($I20&lt;1,Z$6&lt;=$J20,Z$6+6&gt;$H20,$J20&gt;$H20),3,IF(AND($I20&gt;0,Z$6&lt;=$G20+($H20-$G20+1)*$I20-1,Z$6+6&gt;=$G20),2,IF(AND(Z$6&lt;=$H20,Z$6+6&gt;=$G20),1,0))))</x:f>
      </x:c>
      <x:c r="AA20" s="43" t="str">
        <x:f>IF($C20="","",IF(AND($I20&lt;1,AA$6&lt;=$J20,AA$6+6&gt;$H20,$J20&gt;$H20),3,IF(AND($I20&gt;0,AA$6&lt;=$G20+($H20-$G20+1)*$I20-1,AA$6+6&gt;=$G20),2,IF(AND(AA$6&lt;=$H20,AA$6+6&gt;=$G20),1,0))))</x:f>
      </x:c>
      <x:c r="AB20" s="43" t="str">
        <x:f>IF($C20="","",IF(AND($I20&lt;1,AB$6&lt;=$J20,AB$6+6&gt;$H20,$J20&gt;$H20),3,IF(AND($I20&gt;0,AB$6&lt;=$G20+($H20-$G20+1)*$I20-1,AB$6+6&gt;=$G20),2,IF(AND(AB$6&lt;=$H20,AB$6+6&gt;=$G20),1,0))))</x:f>
      </x:c>
      <x:c r="AC20" s="43" t="str">
        <x:f>IF($C20="","",IF(AND($I20&lt;1,AC$6&lt;=$J20,AC$6+6&gt;$H20,$J20&gt;$H20),3,IF(AND($I20&gt;0,AC$6&lt;=$G20+($H20-$G20+1)*$I20-1,AC$6+6&gt;=$G20),2,IF(AND(AC$6&lt;=$H20,AC$6+6&gt;=$G20),1,0))))</x:f>
      </x:c>
      <x:c r="AD20" s="43" t="str">
        <x:f>IF($C20="","",IF(AND($I20&lt;1,AD$6&lt;=$J20,AD$6+6&gt;$H20,$J20&gt;$H20),3,IF(AND($I20&gt;0,AD$6&lt;=$G20+($H20-$G20+1)*$I20-1,AD$6+6&gt;=$G20),2,IF(AND(AD$6&lt;=$H20,AD$6+6&gt;=$G20),1,0))))</x:f>
      </x:c>
      <x:c r="AE20" s="43" t="str">
        <x:f>IF($C20="","",IF(AND($I20&lt;1,AE$6&lt;=$J20,AE$6+6&gt;$H20,$J20&gt;$H20),3,IF(AND($I20&gt;0,AE$6&lt;=$G20+($H20-$G20+1)*$I20-1,AE$6+6&gt;=$G20),2,IF(AND(AE$6&lt;=$H20,AE$6+6&gt;=$G20),1,0))))</x:f>
      </x:c>
      <x:c r="AF20" s="43" t="str">
        <x:f>IF($C20="","",IF(AND($I20&lt;1,AF$6&lt;=$J20,AF$6+6&gt;$H20,$J20&gt;$H20),3,IF(AND($I20&gt;0,AF$6&lt;=$G20+($H20-$G20+1)*$I20-1,AF$6+6&gt;=$G20),2,IF(AND(AF$6&lt;=$H20,AF$6+6&gt;=$G20),1,0))))</x:f>
      </x:c>
      <x:c r="AG20" s="43" t="str">
        <x:f>IF($C20="","",IF(AND($I20&lt;1,AG$6&lt;=$J20,AG$6+6&gt;$H20,$J20&gt;$H20),3,IF(AND($I20&gt;0,AG$6&lt;=$G20+($H20-$G20+1)*$I20-1,AG$6+6&gt;=$G20),2,IF(AND(AG$6&lt;=$H20,AG$6+6&gt;=$G20),1,0))))</x:f>
      </x:c>
      <x:c r="AH20" s="43" t="str">
        <x:f>IF($C20="","",IF(AND($I20&lt;1,AH$6&lt;=$J20,AH$6+6&gt;$H20,$J20&gt;$H20),3,IF(AND($I20&gt;0,AH$6&lt;=$G20+($H20-$G20+1)*$I20-1,AH$6+6&gt;=$G20),2,IF(AND(AH$6&lt;=$H20,AH$6+6&gt;=$G20),1,0))))</x:f>
      </x:c>
      <x:c r="AI20" s="43" t="str">
        <x:f>IF($C20="","",IF(AND($I20&lt;1,AI$6&lt;=$J20,AI$6+6&gt;$H20,$J20&gt;$H20),3,IF(AND($I20&gt;0,AI$6&lt;=$G20+($H20-$G20+1)*$I20-1,AI$6+6&gt;=$G20),2,IF(AND(AI$6&lt;=$H20,AI$6+6&gt;=$G20),1,0))))</x:f>
      </x:c>
      <x:c r="AJ20" s="43" t="str">
        <x:f>IF($C20="","",IF(AND($I20&lt;1,AJ$6&lt;=$J20,AJ$6+6&gt;$H20,$J20&gt;$H20),3,IF(AND($I20&gt;0,AJ$6&lt;=$G20+($H20-$G20+1)*$I20-1,AJ$6+6&gt;=$G20),2,IF(AND(AJ$6&lt;=$H20,AJ$6+6&gt;=$G20),1,0))))</x:f>
      </x:c>
      <x:c r="AK20" s="43" t="str">
        <x:f>IF($C20="","",IF(AND($I20&lt;1,AK$6&lt;=$J20,AK$6+6&gt;$H20,$J20&gt;$H20),3,IF(AND($I20&gt;0,AK$6&lt;=$G20+($H20-$G20+1)*$I20-1,AK$6+6&gt;=$G20),2,IF(AND(AK$6&lt;=$H20,AK$6+6&gt;=$G20),1,0))))</x:f>
      </x:c>
    </x:row>
    <x:row r="21" ht="22" customHeight="1">
      <x:c r="A21" s="2"/>
      <x:c r="B21" s="2" t="n">
        <x:v>15</x:v>
      </x:c>
      <x:c r="C21" s="2" t="str">
        <x:f>IF($B21&gt;INDEX('Portfoy'!$U$7:$U$26,MATCH('Panel'!$C$5,'Portfoy'!$A$7:$A$26,0)),"",INDEX('Gorevler'!$A$7:$A$206,MATCH($B21,'Gorevler'!$S$7:$S$206,0)))</x:f>
      </x:c>
      <x:c r="D21" s="2" t="str">
        <x:f>IF($B21&gt;INDEX('Portfoy'!$U$7:$U$26,MATCH('Panel'!$C$5,'Portfoy'!$A$7:$A$26,0)),"",INDEX('Gorevler'!$C$7:$C$206,MATCH($B21,'Gorevler'!$S$7:$S$206,0)))</x:f>
      </x:c>
      <x:c r="E21" s="2" t="str">
        <x:f>IF($B21&gt;INDEX('Portfoy'!$U$7:$U$26,MATCH('Panel'!$C$5,'Portfoy'!$A$7:$A$26,0)),"",INDEX('Gorevler'!$D$7:$D$206,MATCH($B21,'Gorevler'!$S$7:$S$206,0)))</x:f>
      </x:c>
      <x:c r="F21" s="2" t="str">
        <x:f>IF($B21&gt;INDEX('Portfoy'!$U$7:$U$26,MATCH('Panel'!$C$5,'Portfoy'!$A$7:$A$26,0)),"",INDEX('Gorevler'!$K$7:$K$206,MATCH($B21,'Gorevler'!$S$7:$S$206,0)))</x:f>
      </x:c>
      <x:c r="G21" s="5" t="str">
        <x:f>IF($B21&gt;INDEX('Portfoy'!$U$7:$U$26,MATCH('Panel'!$C$5,'Portfoy'!$A$7:$A$26,0)),"",INDEX('Gorevler'!$F$7:$F$206,MATCH($B21,'Gorevler'!$S$7:$S$206,0)))</x:f>
      </x:c>
      <x:c r="H21" s="5" t="str">
        <x:f>IF($B21&gt;INDEX('Portfoy'!$U$7:$U$26,MATCH('Panel'!$C$5,'Portfoy'!$A$7:$A$26,0)),"",INDEX('Gorevler'!$G$7:$G$206,MATCH($B21,'Gorevler'!$S$7:$S$206,0)))</x:f>
      </x:c>
      <x:c r="I21" s="37" t="str">
        <x:f>IF($B21&gt;INDEX('Portfoy'!$U$7:$U$26,MATCH('Panel'!$C$5,'Portfoy'!$A$7:$A$26,0)),"",INDEX('Gorevler'!$I$7:$I$206,MATCH($B21,'Gorevler'!$S$7:$S$206,0)))</x:f>
      </x:c>
      <x:c r="J21" s="5" t="str">
        <x:f>IF($B21&gt;INDEX('Portfoy'!$U$7:$U$26,MATCH('Panel'!$C$5,'Portfoy'!$A$7:$A$26,0)),"",INDEX('Gorevler'!$J$7:$J$206,MATCH($B21,'Gorevler'!$S$7:$S$206,0)))</x:f>
      </x:c>
      <x:c r="K21" s="2"/>
      <x:c r="L21" s="43" t="str">
        <x:f>IF($C21="","",IF(AND($I21&lt;1,L$6&lt;=$J21,L$6+6&gt;$H21,$J21&gt;$H21),3,IF(AND($I21&gt;0,L$6&lt;=$G21+($H21-$G21+1)*$I21-1,L$6+6&gt;=$G21),2,IF(AND(L$6&lt;=$H21,L$6+6&gt;=$G21),1,0))))</x:f>
      </x:c>
      <x:c r="M21" s="43" t="str">
        <x:f>IF($C21="","",IF(AND($I21&lt;1,M$6&lt;=$J21,M$6+6&gt;$H21,$J21&gt;$H21),3,IF(AND($I21&gt;0,M$6&lt;=$G21+($H21-$G21+1)*$I21-1,M$6+6&gt;=$G21),2,IF(AND(M$6&lt;=$H21,M$6+6&gt;=$G21),1,0))))</x:f>
      </x:c>
      <x:c r="N21" s="43" t="str">
        <x:f>IF($C21="","",IF(AND($I21&lt;1,N$6&lt;=$J21,N$6+6&gt;$H21,$J21&gt;$H21),3,IF(AND($I21&gt;0,N$6&lt;=$G21+($H21-$G21+1)*$I21-1,N$6+6&gt;=$G21),2,IF(AND(N$6&lt;=$H21,N$6+6&gt;=$G21),1,0))))</x:f>
      </x:c>
      <x:c r="O21" s="43" t="str">
        <x:f>IF($C21="","",IF(AND($I21&lt;1,O$6&lt;=$J21,O$6+6&gt;$H21,$J21&gt;$H21),3,IF(AND($I21&gt;0,O$6&lt;=$G21+($H21-$G21+1)*$I21-1,O$6+6&gt;=$G21),2,IF(AND(O$6&lt;=$H21,O$6+6&gt;=$G21),1,0))))</x:f>
      </x:c>
      <x:c r="P21" s="43" t="str">
        <x:f>IF($C21="","",IF(AND($I21&lt;1,P$6&lt;=$J21,P$6+6&gt;$H21,$J21&gt;$H21),3,IF(AND($I21&gt;0,P$6&lt;=$G21+($H21-$G21+1)*$I21-1,P$6+6&gt;=$G21),2,IF(AND(P$6&lt;=$H21,P$6+6&gt;=$G21),1,0))))</x:f>
      </x:c>
      <x:c r="Q21" s="43" t="str">
        <x:f>IF($C21="","",IF(AND($I21&lt;1,Q$6&lt;=$J21,Q$6+6&gt;$H21,$J21&gt;$H21),3,IF(AND($I21&gt;0,Q$6&lt;=$G21+($H21-$G21+1)*$I21-1,Q$6+6&gt;=$G21),2,IF(AND(Q$6&lt;=$H21,Q$6+6&gt;=$G21),1,0))))</x:f>
      </x:c>
      <x:c r="R21" s="43" t="str">
        <x:f>IF($C21="","",IF(AND($I21&lt;1,R$6&lt;=$J21,R$6+6&gt;$H21,$J21&gt;$H21),3,IF(AND($I21&gt;0,R$6&lt;=$G21+($H21-$G21+1)*$I21-1,R$6+6&gt;=$G21),2,IF(AND(R$6&lt;=$H21,R$6+6&gt;=$G21),1,0))))</x:f>
      </x:c>
      <x:c r="S21" s="43" t="str">
        <x:f>IF($C21="","",IF(AND($I21&lt;1,S$6&lt;=$J21,S$6+6&gt;$H21,$J21&gt;$H21),3,IF(AND($I21&gt;0,S$6&lt;=$G21+($H21-$G21+1)*$I21-1,S$6+6&gt;=$G21),2,IF(AND(S$6&lt;=$H21,S$6+6&gt;=$G21),1,0))))</x:f>
      </x:c>
      <x:c r="T21" s="43" t="str">
        <x:f>IF($C21="","",IF(AND($I21&lt;1,T$6&lt;=$J21,T$6+6&gt;$H21,$J21&gt;$H21),3,IF(AND($I21&gt;0,T$6&lt;=$G21+($H21-$G21+1)*$I21-1,T$6+6&gt;=$G21),2,IF(AND(T$6&lt;=$H21,T$6+6&gt;=$G21),1,0))))</x:f>
      </x:c>
      <x:c r="U21" s="43" t="str">
        <x:f>IF($C21="","",IF(AND($I21&lt;1,U$6&lt;=$J21,U$6+6&gt;$H21,$J21&gt;$H21),3,IF(AND($I21&gt;0,U$6&lt;=$G21+($H21-$G21+1)*$I21-1,U$6+6&gt;=$G21),2,IF(AND(U$6&lt;=$H21,U$6+6&gt;=$G21),1,0))))</x:f>
      </x:c>
      <x:c r="V21" s="43" t="str">
        <x:f>IF($C21="","",IF(AND($I21&lt;1,V$6&lt;=$J21,V$6+6&gt;$H21,$J21&gt;$H21),3,IF(AND($I21&gt;0,V$6&lt;=$G21+($H21-$G21+1)*$I21-1,V$6+6&gt;=$G21),2,IF(AND(V$6&lt;=$H21,V$6+6&gt;=$G21),1,0))))</x:f>
      </x:c>
      <x:c r="W21" s="43" t="str">
        <x:f>IF($C21="","",IF(AND($I21&lt;1,W$6&lt;=$J21,W$6+6&gt;$H21,$J21&gt;$H21),3,IF(AND($I21&gt;0,W$6&lt;=$G21+($H21-$G21+1)*$I21-1,W$6+6&gt;=$G21),2,IF(AND(W$6&lt;=$H21,W$6+6&gt;=$G21),1,0))))</x:f>
      </x:c>
      <x:c r="X21" s="43" t="str">
        <x:f>IF($C21="","",IF(AND($I21&lt;1,X$6&lt;=$J21,X$6+6&gt;$H21,$J21&gt;$H21),3,IF(AND($I21&gt;0,X$6&lt;=$G21+($H21-$G21+1)*$I21-1,X$6+6&gt;=$G21),2,IF(AND(X$6&lt;=$H21,X$6+6&gt;=$G21),1,0))))</x:f>
      </x:c>
      <x:c r="Y21" s="43" t="str">
        <x:f>IF($C21="","",IF(AND($I21&lt;1,Y$6&lt;=$J21,Y$6+6&gt;$H21,$J21&gt;$H21),3,IF(AND($I21&gt;0,Y$6&lt;=$G21+($H21-$G21+1)*$I21-1,Y$6+6&gt;=$G21),2,IF(AND(Y$6&lt;=$H21,Y$6+6&gt;=$G21),1,0))))</x:f>
      </x:c>
      <x:c r="Z21" s="43" t="str">
        <x:f>IF($C21="","",IF(AND($I21&lt;1,Z$6&lt;=$J21,Z$6+6&gt;$H21,$J21&gt;$H21),3,IF(AND($I21&gt;0,Z$6&lt;=$G21+($H21-$G21+1)*$I21-1,Z$6+6&gt;=$G21),2,IF(AND(Z$6&lt;=$H21,Z$6+6&gt;=$G21),1,0))))</x:f>
      </x:c>
      <x:c r="AA21" s="43" t="str">
        <x:f>IF($C21="","",IF(AND($I21&lt;1,AA$6&lt;=$J21,AA$6+6&gt;$H21,$J21&gt;$H21),3,IF(AND($I21&gt;0,AA$6&lt;=$G21+($H21-$G21+1)*$I21-1,AA$6+6&gt;=$G21),2,IF(AND(AA$6&lt;=$H21,AA$6+6&gt;=$G21),1,0))))</x:f>
      </x:c>
      <x:c r="AB21" s="43" t="str">
        <x:f>IF($C21="","",IF(AND($I21&lt;1,AB$6&lt;=$J21,AB$6+6&gt;$H21,$J21&gt;$H21),3,IF(AND($I21&gt;0,AB$6&lt;=$G21+($H21-$G21+1)*$I21-1,AB$6+6&gt;=$G21),2,IF(AND(AB$6&lt;=$H21,AB$6+6&gt;=$G21),1,0))))</x:f>
      </x:c>
      <x:c r="AC21" s="43" t="str">
        <x:f>IF($C21="","",IF(AND($I21&lt;1,AC$6&lt;=$J21,AC$6+6&gt;$H21,$J21&gt;$H21),3,IF(AND($I21&gt;0,AC$6&lt;=$G21+($H21-$G21+1)*$I21-1,AC$6+6&gt;=$G21),2,IF(AND(AC$6&lt;=$H21,AC$6+6&gt;=$G21),1,0))))</x:f>
      </x:c>
      <x:c r="AD21" s="43" t="str">
        <x:f>IF($C21="","",IF(AND($I21&lt;1,AD$6&lt;=$J21,AD$6+6&gt;$H21,$J21&gt;$H21),3,IF(AND($I21&gt;0,AD$6&lt;=$G21+($H21-$G21+1)*$I21-1,AD$6+6&gt;=$G21),2,IF(AND(AD$6&lt;=$H21,AD$6+6&gt;=$G21),1,0))))</x:f>
      </x:c>
      <x:c r="AE21" s="43" t="str">
        <x:f>IF($C21="","",IF(AND($I21&lt;1,AE$6&lt;=$J21,AE$6+6&gt;$H21,$J21&gt;$H21),3,IF(AND($I21&gt;0,AE$6&lt;=$G21+($H21-$G21+1)*$I21-1,AE$6+6&gt;=$G21),2,IF(AND(AE$6&lt;=$H21,AE$6+6&gt;=$G21),1,0))))</x:f>
      </x:c>
      <x:c r="AF21" s="43" t="str">
        <x:f>IF($C21="","",IF(AND($I21&lt;1,AF$6&lt;=$J21,AF$6+6&gt;$H21,$J21&gt;$H21),3,IF(AND($I21&gt;0,AF$6&lt;=$G21+($H21-$G21+1)*$I21-1,AF$6+6&gt;=$G21),2,IF(AND(AF$6&lt;=$H21,AF$6+6&gt;=$G21),1,0))))</x:f>
      </x:c>
      <x:c r="AG21" s="43" t="str">
        <x:f>IF($C21="","",IF(AND($I21&lt;1,AG$6&lt;=$J21,AG$6+6&gt;$H21,$J21&gt;$H21),3,IF(AND($I21&gt;0,AG$6&lt;=$G21+($H21-$G21+1)*$I21-1,AG$6+6&gt;=$G21),2,IF(AND(AG$6&lt;=$H21,AG$6+6&gt;=$G21),1,0))))</x:f>
      </x:c>
      <x:c r="AH21" s="43" t="str">
        <x:f>IF($C21="","",IF(AND($I21&lt;1,AH$6&lt;=$J21,AH$6+6&gt;$H21,$J21&gt;$H21),3,IF(AND($I21&gt;0,AH$6&lt;=$G21+($H21-$G21+1)*$I21-1,AH$6+6&gt;=$G21),2,IF(AND(AH$6&lt;=$H21,AH$6+6&gt;=$G21),1,0))))</x:f>
      </x:c>
      <x:c r="AI21" s="43" t="str">
        <x:f>IF($C21="","",IF(AND($I21&lt;1,AI$6&lt;=$J21,AI$6+6&gt;$H21,$J21&gt;$H21),3,IF(AND($I21&gt;0,AI$6&lt;=$G21+($H21-$G21+1)*$I21-1,AI$6+6&gt;=$G21),2,IF(AND(AI$6&lt;=$H21,AI$6+6&gt;=$G21),1,0))))</x:f>
      </x:c>
      <x:c r="AJ21" s="43" t="str">
        <x:f>IF($C21="","",IF(AND($I21&lt;1,AJ$6&lt;=$J21,AJ$6+6&gt;$H21,$J21&gt;$H21),3,IF(AND($I21&gt;0,AJ$6&lt;=$G21+($H21-$G21+1)*$I21-1,AJ$6+6&gt;=$G21),2,IF(AND(AJ$6&lt;=$H21,AJ$6+6&gt;=$G21),1,0))))</x:f>
      </x:c>
      <x:c r="AK21" s="43" t="str">
        <x:f>IF($C21="","",IF(AND($I21&lt;1,AK$6&lt;=$J21,AK$6+6&gt;$H21,$J21&gt;$H21),3,IF(AND($I21&gt;0,AK$6&lt;=$G21+($H21-$G21+1)*$I21-1,AK$6+6&gt;=$G21),2,IF(AND(AK$6&lt;=$H21,AK$6+6&gt;=$G21),1,0))))</x:f>
      </x:c>
    </x:row>
    <x:row r="22" ht="22" customHeight="1">
      <x:c r="A22" s="2"/>
      <x:c r="B22" s="2" t="n">
        <x:v>16</x:v>
      </x:c>
      <x:c r="C22" s="2" t="str">
        <x:f>IF($B22&gt;INDEX('Portfoy'!$U$7:$U$26,MATCH('Panel'!$C$5,'Portfoy'!$A$7:$A$26,0)),"",INDEX('Gorevler'!$A$7:$A$206,MATCH($B22,'Gorevler'!$S$7:$S$206,0)))</x:f>
      </x:c>
      <x:c r="D22" s="2" t="str">
        <x:f>IF($B22&gt;INDEX('Portfoy'!$U$7:$U$26,MATCH('Panel'!$C$5,'Portfoy'!$A$7:$A$26,0)),"",INDEX('Gorevler'!$C$7:$C$206,MATCH($B22,'Gorevler'!$S$7:$S$206,0)))</x:f>
      </x:c>
      <x:c r="E22" s="2" t="str">
        <x:f>IF($B22&gt;INDEX('Portfoy'!$U$7:$U$26,MATCH('Panel'!$C$5,'Portfoy'!$A$7:$A$26,0)),"",INDEX('Gorevler'!$D$7:$D$206,MATCH($B22,'Gorevler'!$S$7:$S$206,0)))</x:f>
      </x:c>
      <x:c r="F22" s="2" t="str">
        <x:f>IF($B22&gt;INDEX('Portfoy'!$U$7:$U$26,MATCH('Panel'!$C$5,'Portfoy'!$A$7:$A$26,0)),"",INDEX('Gorevler'!$K$7:$K$206,MATCH($B22,'Gorevler'!$S$7:$S$206,0)))</x:f>
      </x:c>
      <x:c r="G22" s="5" t="str">
        <x:f>IF($B22&gt;INDEX('Portfoy'!$U$7:$U$26,MATCH('Panel'!$C$5,'Portfoy'!$A$7:$A$26,0)),"",INDEX('Gorevler'!$F$7:$F$206,MATCH($B22,'Gorevler'!$S$7:$S$206,0)))</x:f>
      </x:c>
      <x:c r="H22" s="5" t="str">
        <x:f>IF($B22&gt;INDEX('Portfoy'!$U$7:$U$26,MATCH('Panel'!$C$5,'Portfoy'!$A$7:$A$26,0)),"",INDEX('Gorevler'!$G$7:$G$206,MATCH($B22,'Gorevler'!$S$7:$S$206,0)))</x:f>
      </x:c>
      <x:c r="I22" s="37" t="str">
        <x:f>IF($B22&gt;INDEX('Portfoy'!$U$7:$U$26,MATCH('Panel'!$C$5,'Portfoy'!$A$7:$A$26,0)),"",INDEX('Gorevler'!$I$7:$I$206,MATCH($B22,'Gorevler'!$S$7:$S$206,0)))</x:f>
      </x:c>
      <x:c r="J22" s="5" t="str">
        <x:f>IF($B22&gt;INDEX('Portfoy'!$U$7:$U$26,MATCH('Panel'!$C$5,'Portfoy'!$A$7:$A$26,0)),"",INDEX('Gorevler'!$J$7:$J$206,MATCH($B22,'Gorevler'!$S$7:$S$206,0)))</x:f>
      </x:c>
      <x:c r="K22" s="2"/>
      <x:c r="L22" s="43" t="str">
        <x:f>IF($C22="","",IF(AND($I22&lt;1,L$6&lt;=$J22,L$6+6&gt;$H22,$J22&gt;$H22),3,IF(AND($I22&gt;0,L$6&lt;=$G22+($H22-$G22+1)*$I22-1,L$6+6&gt;=$G22),2,IF(AND(L$6&lt;=$H22,L$6+6&gt;=$G22),1,0))))</x:f>
      </x:c>
      <x:c r="M22" s="43" t="str">
        <x:f>IF($C22="","",IF(AND($I22&lt;1,M$6&lt;=$J22,M$6+6&gt;$H22,$J22&gt;$H22),3,IF(AND($I22&gt;0,M$6&lt;=$G22+($H22-$G22+1)*$I22-1,M$6+6&gt;=$G22),2,IF(AND(M$6&lt;=$H22,M$6+6&gt;=$G22),1,0))))</x:f>
      </x:c>
      <x:c r="N22" s="43" t="str">
        <x:f>IF($C22="","",IF(AND($I22&lt;1,N$6&lt;=$J22,N$6+6&gt;$H22,$J22&gt;$H22),3,IF(AND($I22&gt;0,N$6&lt;=$G22+($H22-$G22+1)*$I22-1,N$6+6&gt;=$G22),2,IF(AND(N$6&lt;=$H22,N$6+6&gt;=$G22),1,0))))</x:f>
      </x:c>
      <x:c r="O22" s="43" t="str">
        <x:f>IF($C22="","",IF(AND($I22&lt;1,O$6&lt;=$J22,O$6+6&gt;$H22,$J22&gt;$H22),3,IF(AND($I22&gt;0,O$6&lt;=$G22+($H22-$G22+1)*$I22-1,O$6+6&gt;=$G22),2,IF(AND(O$6&lt;=$H22,O$6+6&gt;=$G22),1,0))))</x:f>
      </x:c>
      <x:c r="P22" s="43" t="str">
        <x:f>IF($C22="","",IF(AND($I22&lt;1,P$6&lt;=$J22,P$6+6&gt;$H22,$J22&gt;$H22),3,IF(AND($I22&gt;0,P$6&lt;=$G22+($H22-$G22+1)*$I22-1,P$6+6&gt;=$G22),2,IF(AND(P$6&lt;=$H22,P$6+6&gt;=$G22),1,0))))</x:f>
      </x:c>
      <x:c r="Q22" s="43" t="str">
        <x:f>IF($C22="","",IF(AND($I22&lt;1,Q$6&lt;=$J22,Q$6+6&gt;$H22,$J22&gt;$H22),3,IF(AND($I22&gt;0,Q$6&lt;=$G22+($H22-$G22+1)*$I22-1,Q$6+6&gt;=$G22),2,IF(AND(Q$6&lt;=$H22,Q$6+6&gt;=$G22),1,0))))</x:f>
      </x:c>
      <x:c r="R22" s="43" t="str">
        <x:f>IF($C22="","",IF(AND($I22&lt;1,R$6&lt;=$J22,R$6+6&gt;$H22,$J22&gt;$H22),3,IF(AND($I22&gt;0,R$6&lt;=$G22+($H22-$G22+1)*$I22-1,R$6+6&gt;=$G22),2,IF(AND(R$6&lt;=$H22,R$6+6&gt;=$G22),1,0))))</x:f>
      </x:c>
      <x:c r="S22" s="43" t="str">
        <x:f>IF($C22="","",IF(AND($I22&lt;1,S$6&lt;=$J22,S$6+6&gt;$H22,$J22&gt;$H22),3,IF(AND($I22&gt;0,S$6&lt;=$G22+($H22-$G22+1)*$I22-1,S$6+6&gt;=$G22),2,IF(AND(S$6&lt;=$H22,S$6+6&gt;=$G22),1,0))))</x:f>
      </x:c>
      <x:c r="T22" s="43" t="str">
        <x:f>IF($C22="","",IF(AND($I22&lt;1,T$6&lt;=$J22,T$6+6&gt;$H22,$J22&gt;$H22),3,IF(AND($I22&gt;0,T$6&lt;=$G22+($H22-$G22+1)*$I22-1,T$6+6&gt;=$G22),2,IF(AND(T$6&lt;=$H22,T$6+6&gt;=$G22),1,0))))</x:f>
      </x:c>
      <x:c r="U22" s="43" t="str">
        <x:f>IF($C22="","",IF(AND($I22&lt;1,U$6&lt;=$J22,U$6+6&gt;$H22,$J22&gt;$H22),3,IF(AND($I22&gt;0,U$6&lt;=$G22+($H22-$G22+1)*$I22-1,U$6+6&gt;=$G22),2,IF(AND(U$6&lt;=$H22,U$6+6&gt;=$G22),1,0))))</x:f>
      </x:c>
      <x:c r="V22" s="43" t="str">
        <x:f>IF($C22="","",IF(AND($I22&lt;1,V$6&lt;=$J22,V$6+6&gt;$H22,$J22&gt;$H22),3,IF(AND($I22&gt;0,V$6&lt;=$G22+($H22-$G22+1)*$I22-1,V$6+6&gt;=$G22),2,IF(AND(V$6&lt;=$H22,V$6+6&gt;=$G22),1,0))))</x:f>
      </x:c>
      <x:c r="W22" s="43" t="str">
        <x:f>IF($C22="","",IF(AND($I22&lt;1,W$6&lt;=$J22,W$6+6&gt;$H22,$J22&gt;$H22),3,IF(AND($I22&gt;0,W$6&lt;=$G22+($H22-$G22+1)*$I22-1,W$6+6&gt;=$G22),2,IF(AND(W$6&lt;=$H22,W$6+6&gt;=$G22),1,0))))</x:f>
      </x:c>
      <x:c r="X22" s="43" t="str">
        <x:f>IF($C22="","",IF(AND($I22&lt;1,X$6&lt;=$J22,X$6+6&gt;$H22,$J22&gt;$H22),3,IF(AND($I22&gt;0,X$6&lt;=$G22+($H22-$G22+1)*$I22-1,X$6+6&gt;=$G22),2,IF(AND(X$6&lt;=$H22,X$6+6&gt;=$G22),1,0))))</x:f>
      </x:c>
      <x:c r="Y22" s="43" t="str">
        <x:f>IF($C22="","",IF(AND($I22&lt;1,Y$6&lt;=$J22,Y$6+6&gt;$H22,$J22&gt;$H22),3,IF(AND($I22&gt;0,Y$6&lt;=$G22+($H22-$G22+1)*$I22-1,Y$6+6&gt;=$G22),2,IF(AND(Y$6&lt;=$H22,Y$6+6&gt;=$G22),1,0))))</x:f>
      </x:c>
      <x:c r="Z22" s="43" t="str">
        <x:f>IF($C22="","",IF(AND($I22&lt;1,Z$6&lt;=$J22,Z$6+6&gt;$H22,$J22&gt;$H22),3,IF(AND($I22&gt;0,Z$6&lt;=$G22+($H22-$G22+1)*$I22-1,Z$6+6&gt;=$G22),2,IF(AND(Z$6&lt;=$H22,Z$6+6&gt;=$G22),1,0))))</x:f>
      </x:c>
      <x:c r="AA22" s="43" t="str">
        <x:f>IF($C22="","",IF(AND($I22&lt;1,AA$6&lt;=$J22,AA$6+6&gt;$H22,$J22&gt;$H22),3,IF(AND($I22&gt;0,AA$6&lt;=$G22+($H22-$G22+1)*$I22-1,AA$6+6&gt;=$G22),2,IF(AND(AA$6&lt;=$H22,AA$6+6&gt;=$G22),1,0))))</x:f>
      </x:c>
      <x:c r="AB22" s="43" t="str">
        <x:f>IF($C22="","",IF(AND($I22&lt;1,AB$6&lt;=$J22,AB$6+6&gt;$H22,$J22&gt;$H22),3,IF(AND($I22&gt;0,AB$6&lt;=$G22+($H22-$G22+1)*$I22-1,AB$6+6&gt;=$G22),2,IF(AND(AB$6&lt;=$H22,AB$6+6&gt;=$G22),1,0))))</x:f>
      </x:c>
      <x:c r="AC22" s="43" t="str">
        <x:f>IF($C22="","",IF(AND($I22&lt;1,AC$6&lt;=$J22,AC$6+6&gt;$H22,$J22&gt;$H22),3,IF(AND($I22&gt;0,AC$6&lt;=$G22+($H22-$G22+1)*$I22-1,AC$6+6&gt;=$G22),2,IF(AND(AC$6&lt;=$H22,AC$6+6&gt;=$G22),1,0))))</x:f>
      </x:c>
      <x:c r="AD22" s="43" t="str">
        <x:f>IF($C22="","",IF(AND($I22&lt;1,AD$6&lt;=$J22,AD$6+6&gt;$H22,$J22&gt;$H22),3,IF(AND($I22&gt;0,AD$6&lt;=$G22+($H22-$G22+1)*$I22-1,AD$6+6&gt;=$G22),2,IF(AND(AD$6&lt;=$H22,AD$6+6&gt;=$G22),1,0))))</x:f>
      </x:c>
      <x:c r="AE22" s="43" t="str">
        <x:f>IF($C22="","",IF(AND($I22&lt;1,AE$6&lt;=$J22,AE$6+6&gt;$H22,$J22&gt;$H22),3,IF(AND($I22&gt;0,AE$6&lt;=$G22+($H22-$G22+1)*$I22-1,AE$6+6&gt;=$G22),2,IF(AND(AE$6&lt;=$H22,AE$6+6&gt;=$G22),1,0))))</x:f>
      </x:c>
      <x:c r="AF22" s="43" t="str">
        <x:f>IF($C22="","",IF(AND($I22&lt;1,AF$6&lt;=$J22,AF$6+6&gt;$H22,$J22&gt;$H22),3,IF(AND($I22&gt;0,AF$6&lt;=$G22+($H22-$G22+1)*$I22-1,AF$6+6&gt;=$G22),2,IF(AND(AF$6&lt;=$H22,AF$6+6&gt;=$G22),1,0))))</x:f>
      </x:c>
      <x:c r="AG22" s="43" t="str">
        <x:f>IF($C22="","",IF(AND($I22&lt;1,AG$6&lt;=$J22,AG$6+6&gt;$H22,$J22&gt;$H22),3,IF(AND($I22&gt;0,AG$6&lt;=$G22+($H22-$G22+1)*$I22-1,AG$6+6&gt;=$G22),2,IF(AND(AG$6&lt;=$H22,AG$6+6&gt;=$G22),1,0))))</x:f>
      </x:c>
      <x:c r="AH22" s="43" t="str">
        <x:f>IF($C22="","",IF(AND($I22&lt;1,AH$6&lt;=$J22,AH$6+6&gt;$H22,$J22&gt;$H22),3,IF(AND($I22&gt;0,AH$6&lt;=$G22+($H22-$G22+1)*$I22-1,AH$6+6&gt;=$G22),2,IF(AND(AH$6&lt;=$H22,AH$6+6&gt;=$G22),1,0))))</x:f>
      </x:c>
      <x:c r="AI22" s="43" t="str">
        <x:f>IF($C22="","",IF(AND($I22&lt;1,AI$6&lt;=$J22,AI$6+6&gt;$H22,$J22&gt;$H22),3,IF(AND($I22&gt;0,AI$6&lt;=$G22+($H22-$G22+1)*$I22-1,AI$6+6&gt;=$G22),2,IF(AND(AI$6&lt;=$H22,AI$6+6&gt;=$G22),1,0))))</x:f>
      </x:c>
      <x:c r="AJ22" s="43" t="str">
        <x:f>IF($C22="","",IF(AND($I22&lt;1,AJ$6&lt;=$J22,AJ$6+6&gt;$H22,$J22&gt;$H22),3,IF(AND($I22&gt;0,AJ$6&lt;=$G22+($H22-$G22+1)*$I22-1,AJ$6+6&gt;=$G22),2,IF(AND(AJ$6&lt;=$H22,AJ$6+6&gt;=$G22),1,0))))</x:f>
      </x:c>
      <x:c r="AK22" s="43" t="str">
        <x:f>IF($C22="","",IF(AND($I22&lt;1,AK$6&lt;=$J22,AK$6+6&gt;$H22,$J22&gt;$H22),3,IF(AND($I22&gt;0,AK$6&lt;=$G22+($H22-$G22+1)*$I22-1,AK$6+6&gt;=$G22),2,IF(AND(AK$6&lt;=$H22,AK$6+6&gt;=$G22),1,0))))</x:f>
      </x:c>
    </x:row>
    <x:row r="23" ht="22" customHeight="1">
      <x:c r="A23" s="2"/>
      <x:c r="B23" s="2" t="n">
        <x:v>17</x:v>
      </x:c>
      <x:c r="C23" s="2" t="str">
        <x:f>IF($B23&gt;INDEX('Portfoy'!$U$7:$U$26,MATCH('Panel'!$C$5,'Portfoy'!$A$7:$A$26,0)),"",INDEX('Gorevler'!$A$7:$A$206,MATCH($B23,'Gorevler'!$S$7:$S$206,0)))</x:f>
      </x:c>
      <x:c r="D23" s="2" t="str">
        <x:f>IF($B23&gt;INDEX('Portfoy'!$U$7:$U$26,MATCH('Panel'!$C$5,'Portfoy'!$A$7:$A$26,0)),"",INDEX('Gorevler'!$C$7:$C$206,MATCH($B23,'Gorevler'!$S$7:$S$206,0)))</x:f>
      </x:c>
      <x:c r="E23" s="2" t="str">
        <x:f>IF($B23&gt;INDEX('Portfoy'!$U$7:$U$26,MATCH('Panel'!$C$5,'Portfoy'!$A$7:$A$26,0)),"",INDEX('Gorevler'!$D$7:$D$206,MATCH($B23,'Gorevler'!$S$7:$S$206,0)))</x:f>
      </x:c>
      <x:c r="F23" s="2" t="str">
        <x:f>IF($B23&gt;INDEX('Portfoy'!$U$7:$U$26,MATCH('Panel'!$C$5,'Portfoy'!$A$7:$A$26,0)),"",INDEX('Gorevler'!$K$7:$K$206,MATCH($B23,'Gorevler'!$S$7:$S$206,0)))</x:f>
      </x:c>
      <x:c r="G23" s="5" t="str">
        <x:f>IF($B23&gt;INDEX('Portfoy'!$U$7:$U$26,MATCH('Panel'!$C$5,'Portfoy'!$A$7:$A$26,0)),"",INDEX('Gorevler'!$F$7:$F$206,MATCH($B23,'Gorevler'!$S$7:$S$206,0)))</x:f>
      </x:c>
      <x:c r="H23" s="5" t="str">
        <x:f>IF($B23&gt;INDEX('Portfoy'!$U$7:$U$26,MATCH('Panel'!$C$5,'Portfoy'!$A$7:$A$26,0)),"",INDEX('Gorevler'!$G$7:$G$206,MATCH($B23,'Gorevler'!$S$7:$S$206,0)))</x:f>
      </x:c>
      <x:c r="I23" s="37" t="str">
        <x:f>IF($B23&gt;INDEX('Portfoy'!$U$7:$U$26,MATCH('Panel'!$C$5,'Portfoy'!$A$7:$A$26,0)),"",INDEX('Gorevler'!$I$7:$I$206,MATCH($B23,'Gorevler'!$S$7:$S$206,0)))</x:f>
      </x:c>
      <x:c r="J23" s="5" t="str">
        <x:f>IF($B23&gt;INDEX('Portfoy'!$U$7:$U$26,MATCH('Panel'!$C$5,'Portfoy'!$A$7:$A$26,0)),"",INDEX('Gorevler'!$J$7:$J$206,MATCH($B23,'Gorevler'!$S$7:$S$206,0)))</x:f>
      </x:c>
      <x:c r="K23" s="2"/>
      <x:c r="L23" s="43" t="str">
        <x:f>IF($C23="","",IF(AND($I23&lt;1,L$6&lt;=$J23,L$6+6&gt;$H23,$J23&gt;$H23),3,IF(AND($I23&gt;0,L$6&lt;=$G23+($H23-$G23+1)*$I23-1,L$6+6&gt;=$G23),2,IF(AND(L$6&lt;=$H23,L$6+6&gt;=$G23),1,0))))</x:f>
      </x:c>
      <x:c r="M23" s="43" t="str">
        <x:f>IF($C23="","",IF(AND($I23&lt;1,M$6&lt;=$J23,M$6+6&gt;$H23,$J23&gt;$H23),3,IF(AND($I23&gt;0,M$6&lt;=$G23+($H23-$G23+1)*$I23-1,M$6+6&gt;=$G23),2,IF(AND(M$6&lt;=$H23,M$6+6&gt;=$G23),1,0))))</x:f>
      </x:c>
      <x:c r="N23" s="43" t="str">
        <x:f>IF($C23="","",IF(AND($I23&lt;1,N$6&lt;=$J23,N$6+6&gt;$H23,$J23&gt;$H23),3,IF(AND($I23&gt;0,N$6&lt;=$G23+($H23-$G23+1)*$I23-1,N$6+6&gt;=$G23),2,IF(AND(N$6&lt;=$H23,N$6+6&gt;=$G23),1,0))))</x:f>
      </x:c>
      <x:c r="O23" s="43" t="str">
        <x:f>IF($C23="","",IF(AND($I23&lt;1,O$6&lt;=$J23,O$6+6&gt;$H23,$J23&gt;$H23),3,IF(AND($I23&gt;0,O$6&lt;=$G23+($H23-$G23+1)*$I23-1,O$6+6&gt;=$G23),2,IF(AND(O$6&lt;=$H23,O$6+6&gt;=$G23),1,0))))</x:f>
      </x:c>
      <x:c r="P23" s="43" t="str">
        <x:f>IF($C23="","",IF(AND($I23&lt;1,P$6&lt;=$J23,P$6+6&gt;$H23,$J23&gt;$H23),3,IF(AND($I23&gt;0,P$6&lt;=$G23+($H23-$G23+1)*$I23-1,P$6+6&gt;=$G23),2,IF(AND(P$6&lt;=$H23,P$6+6&gt;=$G23),1,0))))</x:f>
      </x:c>
      <x:c r="Q23" s="43" t="str">
        <x:f>IF($C23="","",IF(AND($I23&lt;1,Q$6&lt;=$J23,Q$6+6&gt;$H23,$J23&gt;$H23),3,IF(AND($I23&gt;0,Q$6&lt;=$G23+($H23-$G23+1)*$I23-1,Q$6+6&gt;=$G23),2,IF(AND(Q$6&lt;=$H23,Q$6+6&gt;=$G23),1,0))))</x:f>
      </x:c>
      <x:c r="R23" s="43" t="str">
        <x:f>IF($C23="","",IF(AND($I23&lt;1,R$6&lt;=$J23,R$6+6&gt;$H23,$J23&gt;$H23),3,IF(AND($I23&gt;0,R$6&lt;=$G23+($H23-$G23+1)*$I23-1,R$6+6&gt;=$G23),2,IF(AND(R$6&lt;=$H23,R$6+6&gt;=$G23),1,0))))</x:f>
      </x:c>
      <x:c r="S23" s="43" t="str">
        <x:f>IF($C23="","",IF(AND($I23&lt;1,S$6&lt;=$J23,S$6+6&gt;$H23,$J23&gt;$H23),3,IF(AND($I23&gt;0,S$6&lt;=$G23+($H23-$G23+1)*$I23-1,S$6+6&gt;=$G23),2,IF(AND(S$6&lt;=$H23,S$6+6&gt;=$G23),1,0))))</x:f>
      </x:c>
      <x:c r="T23" s="43" t="str">
        <x:f>IF($C23="","",IF(AND($I23&lt;1,T$6&lt;=$J23,T$6+6&gt;$H23,$J23&gt;$H23),3,IF(AND($I23&gt;0,T$6&lt;=$G23+($H23-$G23+1)*$I23-1,T$6+6&gt;=$G23),2,IF(AND(T$6&lt;=$H23,T$6+6&gt;=$G23),1,0))))</x:f>
      </x:c>
      <x:c r="U23" s="43" t="str">
        <x:f>IF($C23="","",IF(AND($I23&lt;1,U$6&lt;=$J23,U$6+6&gt;$H23,$J23&gt;$H23),3,IF(AND($I23&gt;0,U$6&lt;=$G23+($H23-$G23+1)*$I23-1,U$6+6&gt;=$G23),2,IF(AND(U$6&lt;=$H23,U$6+6&gt;=$G23),1,0))))</x:f>
      </x:c>
      <x:c r="V23" s="43" t="str">
        <x:f>IF($C23="","",IF(AND($I23&lt;1,V$6&lt;=$J23,V$6+6&gt;$H23,$J23&gt;$H23),3,IF(AND($I23&gt;0,V$6&lt;=$G23+($H23-$G23+1)*$I23-1,V$6+6&gt;=$G23),2,IF(AND(V$6&lt;=$H23,V$6+6&gt;=$G23),1,0))))</x:f>
      </x:c>
      <x:c r="W23" s="43" t="str">
        <x:f>IF($C23="","",IF(AND($I23&lt;1,W$6&lt;=$J23,W$6+6&gt;$H23,$J23&gt;$H23),3,IF(AND($I23&gt;0,W$6&lt;=$G23+($H23-$G23+1)*$I23-1,W$6+6&gt;=$G23),2,IF(AND(W$6&lt;=$H23,W$6+6&gt;=$G23),1,0))))</x:f>
      </x:c>
      <x:c r="X23" s="43" t="str">
        <x:f>IF($C23="","",IF(AND($I23&lt;1,X$6&lt;=$J23,X$6+6&gt;$H23,$J23&gt;$H23),3,IF(AND($I23&gt;0,X$6&lt;=$G23+($H23-$G23+1)*$I23-1,X$6+6&gt;=$G23),2,IF(AND(X$6&lt;=$H23,X$6+6&gt;=$G23),1,0))))</x:f>
      </x:c>
      <x:c r="Y23" s="43" t="str">
        <x:f>IF($C23="","",IF(AND($I23&lt;1,Y$6&lt;=$J23,Y$6+6&gt;$H23,$J23&gt;$H23),3,IF(AND($I23&gt;0,Y$6&lt;=$G23+($H23-$G23+1)*$I23-1,Y$6+6&gt;=$G23),2,IF(AND(Y$6&lt;=$H23,Y$6+6&gt;=$G23),1,0))))</x:f>
      </x:c>
      <x:c r="Z23" s="43" t="str">
        <x:f>IF($C23="","",IF(AND($I23&lt;1,Z$6&lt;=$J23,Z$6+6&gt;$H23,$J23&gt;$H23),3,IF(AND($I23&gt;0,Z$6&lt;=$G23+($H23-$G23+1)*$I23-1,Z$6+6&gt;=$G23),2,IF(AND(Z$6&lt;=$H23,Z$6+6&gt;=$G23),1,0))))</x:f>
      </x:c>
      <x:c r="AA23" s="43" t="str">
        <x:f>IF($C23="","",IF(AND($I23&lt;1,AA$6&lt;=$J23,AA$6+6&gt;$H23,$J23&gt;$H23),3,IF(AND($I23&gt;0,AA$6&lt;=$G23+($H23-$G23+1)*$I23-1,AA$6+6&gt;=$G23),2,IF(AND(AA$6&lt;=$H23,AA$6+6&gt;=$G23),1,0))))</x:f>
      </x:c>
      <x:c r="AB23" s="43" t="str">
        <x:f>IF($C23="","",IF(AND($I23&lt;1,AB$6&lt;=$J23,AB$6+6&gt;$H23,$J23&gt;$H23),3,IF(AND($I23&gt;0,AB$6&lt;=$G23+($H23-$G23+1)*$I23-1,AB$6+6&gt;=$G23),2,IF(AND(AB$6&lt;=$H23,AB$6+6&gt;=$G23),1,0))))</x:f>
      </x:c>
      <x:c r="AC23" s="43" t="str">
        <x:f>IF($C23="","",IF(AND($I23&lt;1,AC$6&lt;=$J23,AC$6+6&gt;$H23,$J23&gt;$H23),3,IF(AND($I23&gt;0,AC$6&lt;=$G23+($H23-$G23+1)*$I23-1,AC$6+6&gt;=$G23),2,IF(AND(AC$6&lt;=$H23,AC$6+6&gt;=$G23),1,0))))</x:f>
      </x:c>
      <x:c r="AD23" s="43" t="str">
        <x:f>IF($C23="","",IF(AND($I23&lt;1,AD$6&lt;=$J23,AD$6+6&gt;$H23,$J23&gt;$H23),3,IF(AND($I23&gt;0,AD$6&lt;=$G23+($H23-$G23+1)*$I23-1,AD$6+6&gt;=$G23),2,IF(AND(AD$6&lt;=$H23,AD$6+6&gt;=$G23),1,0))))</x:f>
      </x:c>
      <x:c r="AE23" s="43" t="str">
        <x:f>IF($C23="","",IF(AND($I23&lt;1,AE$6&lt;=$J23,AE$6+6&gt;$H23,$J23&gt;$H23),3,IF(AND($I23&gt;0,AE$6&lt;=$G23+($H23-$G23+1)*$I23-1,AE$6+6&gt;=$G23),2,IF(AND(AE$6&lt;=$H23,AE$6+6&gt;=$G23),1,0))))</x:f>
      </x:c>
      <x:c r="AF23" s="43" t="str">
        <x:f>IF($C23="","",IF(AND($I23&lt;1,AF$6&lt;=$J23,AF$6+6&gt;$H23,$J23&gt;$H23),3,IF(AND($I23&gt;0,AF$6&lt;=$G23+($H23-$G23+1)*$I23-1,AF$6+6&gt;=$G23),2,IF(AND(AF$6&lt;=$H23,AF$6+6&gt;=$G23),1,0))))</x:f>
      </x:c>
      <x:c r="AG23" s="43" t="str">
        <x:f>IF($C23="","",IF(AND($I23&lt;1,AG$6&lt;=$J23,AG$6+6&gt;$H23,$J23&gt;$H23),3,IF(AND($I23&gt;0,AG$6&lt;=$G23+($H23-$G23+1)*$I23-1,AG$6+6&gt;=$G23),2,IF(AND(AG$6&lt;=$H23,AG$6+6&gt;=$G23),1,0))))</x:f>
      </x:c>
      <x:c r="AH23" s="43" t="str">
        <x:f>IF($C23="","",IF(AND($I23&lt;1,AH$6&lt;=$J23,AH$6+6&gt;$H23,$J23&gt;$H23),3,IF(AND($I23&gt;0,AH$6&lt;=$G23+($H23-$G23+1)*$I23-1,AH$6+6&gt;=$G23),2,IF(AND(AH$6&lt;=$H23,AH$6+6&gt;=$G23),1,0))))</x:f>
      </x:c>
      <x:c r="AI23" s="43" t="str">
        <x:f>IF($C23="","",IF(AND($I23&lt;1,AI$6&lt;=$J23,AI$6+6&gt;$H23,$J23&gt;$H23),3,IF(AND($I23&gt;0,AI$6&lt;=$G23+($H23-$G23+1)*$I23-1,AI$6+6&gt;=$G23),2,IF(AND(AI$6&lt;=$H23,AI$6+6&gt;=$G23),1,0))))</x:f>
      </x:c>
      <x:c r="AJ23" s="43" t="str">
        <x:f>IF($C23="","",IF(AND($I23&lt;1,AJ$6&lt;=$J23,AJ$6+6&gt;$H23,$J23&gt;$H23),3,IF(AND($I23&gt;0,AJ$6&lt;=$G23+($H23-$G23+1)*$I23-1,AJ$6+6&gt;=$G23),2,IF(AND(AJ$6&lt;=$H23,AJ$6+6&gt;=$G23),1,0))))</x:f>
      </x:c>
      <x:c r="AK23" s="43" t="str">
        <x:f>IF($C23="","",IF(AND($I23&lt;1,AK$6&lt;=$J23,AK$6+6&gt;$H23,$J23&gt;$H23),3,IF(AND($I23&gt;0,AK$6&lt;=$G23+($H23-$G23+1)*$I23-1,AK$6+6&gt;=$G23),2,IF(AND(AK$6&lt;=$H23,AK$6+6&gt;=$G23),1,0))))</x:f>
      </x:c>
    </x:row>
    <x:row r="24" ht="22" customHeight="1">
      <x:c r="A24" s="2"/>
      <x:c r="B24" s="2" t="n">
        <x:v>18</x:v>
      </x:c>
      <x:c r="C24" s="2" t="str">
        <x:f>IF($B24&gt;INDEX('Portfoy'!$U$7:$U$26,MATCH('Panel'!$C$5,'Portfoy'!$A$7:$A$26,0)),"",INDEX('Gorevler'!$A$7:$A$206,MATCH($B24,'Gorevler'!$S$7:$S$206,0)))</x:f>
      </x:c>
      <x:c r="D24" s="2" t="str">
        <x:f>IF($B24&gt;INDEX('Portfoy'!$U$7:$U$26,MATCH('Panel'!$C$5,'Portfoy'!$A$7:$A$26,0)),"",INDEX('Gorevler'!$C$7:$C$206,MATCH($B24,'Gorevler'!$S$7:$S$206,0)))</x:f>
      </x:c>
      <x:c r="E24" s="2" t="str">
        <x:f>IF($B24&gt;INDEX('Portfoy'!$U$7:$U$26,MATCH('Panel'!$C$5,'Portfoy'!$A$7:$A$26,0)),"",INDEX('Gorevler'!$D$7:$D$206,MATCH($B24,'Gorevler'!$S$7:$S$206,0)))</x:f>
      </x:c>
      <x:c r="F24" s="2" t="str">
        <x:f>IF($B24&gt;INDEX('Portfoy'!$U$7:$U$26,MATCH('Panel'!$C$5,'Portfoy'!$A$7:$A$26,0)),"",INDEX('Gorevler'!$K$7:$K$206,MATCH($B24,'Gorevler'!$S$7:$S$206,0)))</x:f>
      </x:c>
      <x:c r="G24" s="5" t="str">
        <x:f>IF($B24&gt;INDEX('Portfoy'!$U$7:$U$26,MATCH('Panel'!$C$5,'Portfoy'!$A$7:$A$26,0)),"",INDEX('Gorevler'!$F$7:$F$206,MATCH($B24,'Gorevler'!$S$7:$S$206,0)))</x:f>
      </x:c>
      <x:c r="H24" s="5" t="str">
        <x:f>IF($B24&gt;INDEX('Portfoy'!$U$7:$U$26,MATCH('Panel'!$C$5,'Portfoy'!$A$7:$A$26,0)),"",INDEX('Gorevler'!$G$7:$G$206,MATCH($B24,'Gorevler'!$S$7:$S$206,0)))</x:f>
      </x:c>
      <x:c r="I24" s="37" t="str">
        <x:f>IF($B24&gt;INDEX('Portfoy'!$U$7:$U$26,MATCH('Panel'!$C$5,'Portfoy'!$A$7:$A$26,0)),"",INDEX('Gorevler'!$I$7:$I$206,MATCH($B24,'Gorevler'!$S$7:$S$206,0)))</x:f>
      </x:c>
      <x:c r="J24" s="5" t="str">
        <x:f>IF($B24&gt;INDEX('Portfoy'!$U$7:$U$26,MATCH('Panel'!$C$5,'Portfoy'!$A$7:$A$26,0)),"",INDEX('Gorevler'!$J$7:$J$206,MATCH($B24,'Gorevler'!$S$7:$S$206,0)))</x:f>
      </x:c>
      <x:c r="K24" s="2"/>
      <x:c r="L24" s="43" t="str">
        <x:f>IF($C24="","",IF(AND($I24&lt;1,L$6&lt;=$J24,L$6+6&gt;$H24,$J24&gt;$H24),3,IF(AND($I24&gt;0,L$6&lt;=$G24+($H24-$G24+1)*$I24-1,L$6+6&gt;=$G24),2,IF(AND(L$6&lt;=$H24,L$6+6&gt;=$G24),1,0))))</x:f>
      </x:c>
      <x:c r="M24" s="43" t="str">
        <x:f>IF($C24="","",IF(AND($I24&lt;1,M$6&lt;=$J24,M$6+6&gt;$H24,$J24&gt;$H24),3,IF(AND($I24&gt;0,M$6&lt;=$G24+($H24-$G24+1)*$I24-1,M$6+6&gt;=$G24),2,IF(AND(M$6&lt;=$H24,M$6+6&gt;=$G24),1,0))))</x:f>
      </x:c>
      <x:c r="N24" s="43" t="str">
        <x:f>IF($C24="","",IF(AND($I24&lt;1,N$6&lt;=$J24,N$6+6&gt;$H24,$J24&gt;$H24),3,IF(AND($I24&gt;0,N$6&lt;=$G24+($H24-$G24+1)*$I24-1,N$6+6&gt;=$G24),2,IF(AND(N$6&lt;=$H24,N$6+6&gt;=$G24),1,0))))</x:f>
      </x:c>
      <x:c r="O24" s="43" t="str">
        <x:f>IF($C24="","",IF(AND($I24&lt;1,O$6&lt;=$J24,O$6+6&gt;$H24,$J24&gt;$H24),3,IF(AND($I24&gt;0,O$6&lt;=$G24+($H24-$G24+1)*$I24-1,O$6+6&gt;=$G24),2,IF(AND(O$6&lt;=$H24,O$6+6&gt;=$G24),1,0))))</x:f>
      </x:c>
      <x:c r="P24" s="43" t="str">
        <x:f>IF($C24="","",IF(AND($I24&lt;1,P$6&lt;=$J24,P$6+6&gt;$H24,$J24&gt;$H24),3,IF(AND($I24&gt;0,P$6&lt;=$G24+($H24-$G24+1)*$I24-1,P$6+6&gt;=$G24),2,IF(AND(P$6&lt;=$H24,P$6+6&gt;=$G24),1,0))))</x:f>
      </x:c>
      <x:c r="Q24" s="43" t="str">
        <x:f>IF($C24="","",IF(AND($I24&lt;1,Q$6&lt;=$J24,Q$6+6&gt;$H24,$J24&gt;$H24),3,IF(AND($I24&gt;0,Q$6&lt;=$G24+($H24-$G24+1)*$I24-1,Q$6+6&gt;=$G24),2,IF(AND(Q$6&lt;=$H24,Q$6+6&gt;=$G24),1,0))))</x:f>
      </x:c>
      <x:c r="R24" s="43" t="str">
        <x:f>IF($C24="","",IF(AND($I24&lt;1,R$6&lt;=$J24,R$6+6&gt;$H24,$J24&gt;$H24),3,IF(AND($I24&gt;0,R$6&lt;=$G24+($H24-$G24+1)*$I24-1,R$6+6&gt;=$G24),2,IF(AND(R$6&lt;=$H24,R$6+6&gt;=$G24),1,0))))</x:f>
      </x:c>
      <x:c r="S24" s="43" t="str">
        <x:f>IF($C24="","",IF(AND($I24&lt;1,S$6&lt;=$J24,S$6+6&gt;$H24,$J24&gt;$H24),3,IF(AND($I24&gt;0,S$6&lt;=$G24+($H24-$G24+1)*$I24-1,S$6+6&gt;=$G24),2,IF(AND(S$6&lt;=$H24,S$6+6&gt;=$G24),1,0))))</x:f>
      </x:c>
      <x:c r="T24" s="43" t="str">
        <x:f>IF($C24="","",IF(AND($I24&lt;1,T$6&lt;=$J24,T$6+6&gt;$H24,$J24&gt;$H24),3,IF(AND($I24&gt;0,T$6&lt;=$G24+($H24-$G24+1)*$I24-1,T$6+6&gt;=$G24),2,IF(AND(T$6&lt;=$H24,T$6+6&gt;=$G24),1,0))))</x:f>
      </x:c>
      <x:c r="U24" s="43" t="str">
        <x:f>IF($C24="","",IF(AND($I24&lt;1,U$6&lt;=$J24,U$6+6&gt;$H24,$J24&gt;$H24),3,IF(AND($I24&gt;0,U$6&lt;=$G24+($H24-$G24+1)*$I24-1,U$6+6&gt;=$G24),2,IF(AND(U$6&lt;=$H24,U$6+6&gt;=$G24),1,0))))</x:f>
      </x:c>
      <x:c r="V24" s="43" t="str">
        <x:f>IF($C24="","",IF(AND($I24&lt;1,V$6&lt;=$J24,V$6+6&gt;$H24,$J24&gt;$H24),3,IF(AND($I24&gt;0,V$6&lt;=$G24+($H24-$G24+1)*$I24-1,V$6+6&gt;=$G24),2,IF(AND(V$6&lt;=$H24,V$6+6&gt;=$G24),1,0))))</x:f>
      </x:c>
      <x:c r="W24" s="43" t="str">
        <x:f>IF($C24="","",IF(AND($I24&lt;1,W$6&lt;=$J24,W$6+6&gt;$H24,$J24&gt;$H24),3,IF(AND($I24&gt;0,W$6&lt;=$G24+($H24-$G24+1)*$I24-1,W$6+6&gt;=$G24),2,IF(AND(W$6&lt;=$H24,W$6+6&gt;=$G24),1,0))))</x:f>
      </x:c>
      <x:c r="X24" s="43" t="str">
        <x:f>IF($C24="","",IF(AND($I24&lt;1,X$6&lt;=$J24,X$6+6&gt;$H24,$J24&gt;$H24),3,IF(AND($I24&gt;0,X$6&lt;=$G24+($H24-$G24+1)*$I24-1,X$6+6&gt;=$G24),2,IF(AND(X$6&lt;=$H24,X$6+6&gt;=$G24),1,0))))</x:f>
      </x:c>
      <x:c r="Y24" s="43" t="str">
        <x:f>IF($C24="","",IF(AND($I24&lt;1,Y$6&lt;=$J24,Y$6+6&gt;$H24,$J24&gt;$H24),3,IF(AND($I24&gt;0,Y$6&lt;=$G24+($H24-$G24+1)*$I24-1,Y$6+6&gt;=$G24),2,IF(AND(Y$6&lt;=$H24,Y$6+6&gt;=$G24),1,0))))</x:f>
      </x:c>
      <x:c r="Z24" s="43" t="str">
        <x:f>IF($C24="","",IF(AND($I24&lt;1,Z$6&lt;=$J24,Z$6+6&gt;$H24,$J24&gt;$H24),3,IF(AND($I24&gt;0,Z$6&lt;=$G24+($H24-$G24+1)*$I24-1,Z$6+6&gt;=$G24),2,IF(AND(Z$6&lt;=$H24,Z$6+6&gt;=$G24),1,0))))</x:f>
      </x:c>
      <x:c r="AA24" s="43" t="str">
        <x:f>IF($C24="","",IF(AND($I24&lt;1,AA$6&lt;=$J24,AA$6+6&gt;$H24,$J24&gt;$H24),3,IF(AND($I24&gt;0,AA$6&lt;=$G24+($H24-$G24+1)*$I24-1,AA$6+6&gt;=$G24),2,IF(AND(AA$6&lt;=$H24,AA$6+6&gt;=$G24),1,0))))</x:f>
      </x:c>
      <x:c r="AB24" s="43" t="str">
        <x:f>IF($C24="","",IF(AND($I24&lt;1,AB$6&lt;=$J24,AB$6+6&gt;$H24,$J24&gt;$H24),3,IF(AND($I24&gt;0,AB$6&lt;=$G24+($H24-$G24+1)*$I24-1,AB$6+6&gt;=$G24),2,IF(AND(AB$6&lt;=$H24,AB$6+6&gt;=$G24),1,0))))</x:f>
      </x:c>
      <x:c r="AC24" s="43" t="str">
        <x:f>IF($C24="","",IF(AND($I24&lt;1,AC$6&lt;=$J24,AC$6+6&gt;$H24,$J24&gt;$H24),3,IF(AND($I24&gt;0,AC$6&lt;=$G24+($H24-$G24+1)*$I24-1,AC$6+6&gt;=$G24),2,IF(AND(AC$6&lt;=$H24,AC$6+6&gt;=$G24),1,0))))</x:f>
      </x:c>
      <x:c r="AD24" s="43" t="str">
        <x:f>IF($C24="","",IF(AND($I24&lt;1,AD$6&lt;=$J24,AD$6+6&gt;$H24,$J24&gt;$H24),3,IF(AND($I24&gt;0,AD$6&lt;=$G24+($H24-$G24+1)*$I24-1,AD$6+6&gt;=$G24),2,IF(AND(AD$6&lt;=$H24,AD$6+6&gt;=$G24),1,0))))</x:f>
      </x:c>
      <x:c r="AE24" s="43" t="str">
        <x:f>IF($C24="","",IF(AND($I24&lt;1,AE$6&lt;=$J24,AE$6+6&gt;$H24,$J24&gt;$H24),3,IF(AND($I24&gt;0,AE$6&lt;=$G24+($H24-$G24+1)*$I24-1,AE$6+6&gt;=$G24),2,IF(AND(AE$6&lt;=$H24,AE$6+6&gt;=$G24),1,0))))</x:f>
      </x:c>
      <x:c r="AF24" s="43" t="str">
        <x:f>IF($C24="","",IF(AND($I24&lt;1,AF$6&lt;=$J24,AF$6+6&gt;$H24,$J24&gt;$H24),3,IF(AND($I24&gt;0,AF$6&lt;=$G24+($H24-$G24+1)*$I24-1,AF$6+6&gt;=$G24),2,IF(AND(AF$6&lt;=$H24,AF$6+6&gt;=$G24),1,0))))</x:f>
      </x:c>
      <x:c r="AG24" s="43" t="str">
        <x:f>IF($C24="","",IF(AND($I24&lt;1,AG$6&lt;=$J24,AG$6+6&gt;$H24,$J24&gt;$H24),3,IF(AND($I24&gt;0,AG$6&lt;=$G24+($H24-$G24+1)*$I24-1,AG$6+6&gt;=$G24),2,IF(AND(AG$6&lt;=$H24,AG$6+6&gt;=$G24),1,0))))</x:f>
      </x:c>
      <x:c r="AH24" s="43" t="str">
        <x:f>IF($C24="","",IF(AND($I24&lt;1,AH$6&lt;=$J24,AH$6+6&gt;$H24,$J24&gt;$H24),3,IF(AND($I24&gt;0,AH$6&lt;=$G24+($H24-$G24+1)*$I24-1,AH$6+6&gt;=$G24),2,IF(AND(AH$6&lt;=$H24,AH$6+6&gt;=$G24),1,0))))</x:f>
      </x:c>
      <x:c r="AI24" s="43" t="str">
        <x:f>IF($C24="","",IF(AND($I24&lt;1,AI$6&lt;=$J24,AI$6+6&gt;$H24,$J24&gt;$H24),3,IF(AND($I24&gt;0,AI$6&lt;=$G24+($H24-$G24+1)*$I24-1,AI$6+6&gt;=$G24),2,IF(AND(AI$6&lt;=$H24,AI$6+6&gt;=$G24),1,0))))</x:f>
      </x:c>
      <x:c r="AJ24" s="43" t="str">
        <x:f>IF($C24="","",IF(AND($I24&lt;1,AJ$6&lt;=$J24,AJ$6+6&gt;$H24,$J24&gt;$H24),3,IF(AND($I24&gt;0,AJ$6&lt;=$G24+($H24-$G24+1)*$I24-1,AJ$6+6&gt;=$G24),2,IF(AND(AJ$6&lt;=$H24,AJ$6+6&gt;=$G24),1,0))))</x:f>
      </x:c>
      <x:c r="AK24" s="43" t="str">
        <x:f>IF($C24="","",IF(AND($I24&lt;1,AK$6&lt;=$J24,AK$6+6&gt;$H24,$J24&gt;$H24),3,IF(AND($I24&gt;0,AK$6&lt;=$G24+($H24-$G24+1)*$I24-1,AK$6+6&gt;=$G24),2,IF(AND(AK$6&lt;=$H24,AK$6+6&gt;=$G24),1,0))))</x:f>
      </x:c>
    </x:row>
    <x:row r="25" ht="22" customHeight="1">
      <x:c r="A25" s="2"/>
      <x:c r="B25" s="2" t="n">
        <x:v>19</x:v>
      </x:c>
      <x:c r="C25" s="2" t="str">
        <x:f>IF($B25&gt;INDEX('Portfoy'!$U$7:$U$26,MATCH('Panel'!$C$5,'Portfoy'!$A$7:$A$26,0)),"",INDEX('Gorevler'!$A$7:$A$206,MATCH($B25,'Gorevler'!$S$7:$S$206,0)))</x:f>
      </x:c>
      <x:c r="D25" s="2" t="str">
        <x:f>IF($B25&gt;INDEX('Portfoy'!$U$7:$U$26,MATCH('Panel'!$C$5,'Portfoy'!$A$7:$A$26,0)),"",INDEX('Gorevler'!$C$7:$C$206,MATCH($B25,'Gorevler'!$S$7:$S$206,0)))</x:f>
      </x:c>
      <x:c r="E25" s="2" t="str">
        <x:f>IF($B25&gt;INDEX('Portfoy'!$U$7:$U$26,MATCH('Panel'!$C$5,'Portfoy'!$A$7:$A$26,0)),"",INDEX('Gorevler'!$D$7:$D$206,MATCH($B25,'Gorevler'!$S$7:$S$206,0)))</x:f>
      </x:c>
      <x:c r="F25" s="2" t="str">
        <x:f>IF($B25&gt;INDEX('Portfoy'!$U$7:$U$26,MATCH('Panel'!$C$5,'Portfoy'!$A$7:$A$26,0)),"",INDEX('Gorevler'!$K$7:$K$206,MATCH($B25,'Gorevler'!$S$7:$S$206,0)))</x:f>
      </x:c>
      <x:c r="G25" s="5" t="str">
        <x:f>IF($B25&gt;INDEX('Portfoy'!$U$7:$U$26,MATCH('Panel'!$C$5,'Portfoy'!$A$7:$A$26,0)),"",INDEX('Gorevler'!$F$7:$F$206,MATCH($B25,'Gorevler'!$S$7:$S$206,0)))</x:f>
      </x:c>
      <x:c r="H25" s="5" t="str">
        <x:f>IF($B25&gt;INDEX('Portfoy'!$U$7:$U$26,MATCH('Panel'!$C$5,'Portfoy'!$A$7:$A$26,0)),"",INDEX('Gorevler'!$G$7:$G$206,MATCH($B25,'Gorevler'!$S$7:$S$206,0)))</x:f>
      </x:c>
      <x:c r="I25" s="37" t="str">
        <x:f>IF($B25&gt;INDEX('Portfoy'!$U$7:$U$26,MATCH('Panel'!$C$5,'Portfoy'!$A$7:$A$26,0)),"",INDEX('Gorevler'!$I$7:$I$206,MATCH($B25,'Gorevler'!$S$7:$S$206,0)))</x:f>
      </x:c>
      <x:c r="J25" s="5" t="str">
        <x:f>IF($B25&gt;INDEX('Portfoy'!$U$7:$U$26,MATCH('Panel'!$C$5,'Portfoy'!$A$7:$A$26,0)),"",INDEX('Gorevler'!$J$7:$J$206,MATCH($B25,'Gorevler'!$S$7:$S$206,0)))</x:f>
      </x:c>
      <x:c r="K25" s="2"/>
      <x:c r="L25" s="43" t="str">
        <x:f>IF($C25="","",IF(AND($I25&lt;1,L$6&lt;=$J25,L$6+6&gt;$H25,$J25&gt;$H25),3,IF(AND($I25&gt;0,L$6&lt;=$G25+($H25-$G25+1)*$I25-1,L$6+6&gt;=$G25),2,IF(AND(L$6&lt;=$H25,L$6+6&gt;=$G25),1,0))))</x:f>
      </x:c>
      <x:c r="M25" s="43" t="str">
        <x:f>IF($C25="","",IF(AND($I25&lt;1,M$6&lt;=$J25,M$6+6&gt;$H25,$J25&gt;$H25),3,IF(AND($I25&gt;0,M$6&lt;=$G25+($H25-$G25+1)*$I25-1,M$6+6&gt;=$G25),2,IF(AND(M$6&lt;=$H25,M$6+6&gt;=$G25),1,0))))</x:f>
      </x:c>
      <x:c r="N25" s="43" t="str">
        <x:f>IF($C25="","",IF(AND($I25&lt;1,N$6&lt;=$J25,N$6+6&gt;$H25,$J25&gt;$H25),3,IF(AND($I25&gt;0,N$6&lt;=$G25+($H25-$G25+1)*$I25-1,N$6+6&gt;=$G25),2,IF(AND(N$6&lt;=$H25,N$6+6&gt;=$G25),1,0))))</x:f>
      </x:c>
      <x:c r="O25" s="43" t="str">
        <x:f>IF($C25="","",IF(AND($I25&lt;1,O$6&lt;=$J25,O$6+6&gt;$H25,$J25&gt;$H25),3,IF(AND($I25&gt;0,O$6&lt;=$G25+($H25-$G25+1)*$I25-1,O$6+6&gt;=$G25),2,IF(AND(O$6&lt;=$H25,O$6+6&gt;=$G25),1,0))))</x:f>
      </x:c>
      <x:c r="P25" s="43" t="str">
        <x:f>IF($C25="","",IF(AND($I25&lt;1,P$6&lt;=$J25,P$6+6&gt;$H25,$J25&gt;$H25),3,IF(AND($I25&gt;0,P$6&lt;=$G25+($H25-$G25+1)*$I25-1,P$6+6&gt;=$G25),2,IF(AND(P$6&lt;=$H25,P$6+6&gt;=$G25),1,0))))</x:f>
      </x:c>
      <x:c r="Q25" s="43" t="str">
        <x:f>IF($C25="","",IF(AND($I25&lt;1,Q$6&lt;=$J25,Q$6+6&gt;$H25,$J25&gt;$H25),3,IF(AND($I25&gt;0,Q$6&lt;=$G25+($H25-$G25+1)*$I25-1,Q$6+6&gt;=$G25),2,IF(AND(Q$6&lt;=$H25,Q$6+6&gt;=$G25),1,0))))</x:f>
      </x:c>
      <x:c r="R25" s="43" t="str">
        <x:f>IF($C25="","",IF(AND($I25&lt;1,R$6&lt;=$J25,R$6+6&gt;$H25,$J25&gt;$H25),3,IF(AND($I25&gt;0,R$6&lt;=$G25+($H25-$G25+1)*$I25-1,R$6+6&gt;=$G25),2,IF(AND(R$6&lt;=$H25,R$6+6&gt;=$G25),1,0))))</x:f>
      </x:c>
      <x:c r="S25" s="43" t="str">
        <x:f>IF($C25="","",IF(AND($I25&lt;1,S$6&lt;=$J25,S$6+6&gt;$H25,$J25&gt;$H25),3,IF(AND($I25&gt;0,S$6&lt;=$G25+($H25-$G25+1)*$I25-1,S$6+6&gt;=$G25),2,IF(AND(S$6&lt;=$H25,S$6+6&gt;=$G25),1,0))))</x:f>
      </x:c>
      <x:c r="T25" s="43" t="str">
        <x:f>IF($C25="","",IF(AND($I25&lt;1,T$6&lt;=$J25,T$6+6&gt;$H25,$J25&gt;$H25),3,IF(AND($I25&gt;0,T$6&lt;=$G25+($H25-$G25+1)*$I25-1,T$6+6&gt;=$G25),2,IF(AND(T$6&lt;=$H25,T$6+6&gt;=$G25),1,0))))</x:f>
      </x:c>
      <x:c r="U25" s="43" t="str">
        <x:f>IF($C25="","",IF(AND($I25&lt;1,U$6&lt;=$J25,U$6+6&gt;$H25,$J25&gt;$H25),3,IF(AND($I25&gt;0,U$6&lt;=$G25+($H25-$G25+1)*$I25-1,U$6+6&gt;=$G25),2,IF(AND(U$6&lt;=$H25,U$6+6&gt;=$G25),1,0))))</x:f>
      </x:c>
      <x:c r="V25" s="43" t="str">
        <x:f>IF($C25="","",IF(AND($I25&lt;1,V$6&lt;=$J25,V$6+6&gt;$H25,$J25&gt;$H25),3,IF(AND($I25&gt;0,V$6&lt;=$G25+($H25-$G25+1)*$I25-1,V$6+6&gt;=$G25),2,IF(AND(V$6&lt;=$H25,V$6+6&gt;=$G25),1,0))))</x:f>
      </x:c>
      <x:c r="W25" s="43" t="str">
        <x:f>IF($C25="","",IF(AND($I25&lt;1,W$6&lt;=$J25,W$6+6&gt;$H25,$J25&gt;$H25),3,IF(AND($I25&gt;0,W$6&lt;=$G25+($H25-$G25+1)*$I25-1,W$6+6&gt;=$G25),2,IF(AND(W$6&lt;=$H25,W$6+6&gt;=$G25),1,0))))</x:f>
      </x:c>
      <x:c r="X25" s="43" t="str">
        <x:f>IF($C25="","",IF(AND($I25&lt;1,X$6&lt;=$J25,X$6+6&gt;$H25,$J25&gt;$H25),3,IF(AND($I25&gt;0,X$6&lt;=$G25+($H25-$G25+1)*$I25-1,X$6+6&gt;=$G25),2,IF(AND(X$6&lt;=$H25,X$6+6&gt;=$G25),1,0))))</x:f>
      </x:c>
      <x:c r="Y25" s="43" t="str">
        <x:f>IF($C25="","",IF(AND($I25&lt;1,Y$6&lt;=$J25,Y$6+6&gt;$H25,$J25&gt;$H25),3,IF(AND($I25&gt;0,Y$6&lt;=$G25+($H25-$G25+1)*$I25-1,Y$6+6&gt;=$G25),2,IF(AND(Y$6&lt;=$H25,Y$6+6&gt;=$G25),1,0))))</x:f>
      </x:c>
      <x:c r="Z25" s="43" t="str">
        <x:f>IF($C25="","",IF(AND($I25&lt;1,Z$6&lt;=$J25,Z$6+6&gt;$H25,$J25&gt;$H25),3,IF(AND($I25&gt;0,Z$6&lt;=$G25+($H25-$G25+1)*$I25-1,Z$6+6&gt;=$G25),2,IF(AND(Z$6&lt;=$H25,Z$6+6&gt;=$G25),1,0))))</x:f>
      </x:c>
      <x:c r="AA25" s="43" t="str">
        <x:f>IF($C25="","",IF(AND($I25&lt;1,AA$6&lt;=$J25,AA$6+6&gt;$H25,$J25&gt;$H25),3,IF(AND($I25&gt;0,AA$6&lt;=$G25+($H25-$G25+1)*$I25-1,AA$6+6&gt;=$G25),2,IF(AND(AA$6&lt;=$H25,AA$6+6&gt;=$G25),1,0))))</x:f>
      </x:c>
      <x:c r="AB25" s="43" t="str">
        <x:f>IF($C25="","",IF(AND($I25&lt;1,AB$6&lt;=$J25,AB$6+6&gt;$H25,$J25&gt;$H25),3,IF(AND($I25&gt;0,AB$6&lt;=$G25+($H25-$G25+1)*$I25-1,AB$6+6&gt;=$G25),2,IF(AND(AB$6&lt;=$H25,AB$6+6&gt;=$G25),1,0))))</x:f>
      </x:c>
      <x:c r="AC25" s="43" t="str">
        <x:f>IF($C25="","",IF(AND($I25&lt;1,AC$6&lt;=$J25,AC$6+6&gt;$H25,$J25&gt;$H25),3,IF(AND($I25&gt;0,AC$6&lt;=$G25+($H25-$G25+1)*$I25-1,AC$6+6&gt;=$G25),2,IF(AND(AC$6&lt;=$H25,AC$6+6&gt;=$G25),1,0))))</x:f>
      </x:c>
      <x:c r="AD25" s="43" t="str">
        <x:f>IF($C25="","",IF(AND($I25&lt;1,AD$6&lt;=$J25,AD$6+6&gt;$H25,$J25&gt;$H25),3,IF(AND($I25&gt;0,AD$6&lt;=$G25+($H25-$G25+1)*$I25-1,AD$6+6&gt;=$G25),2,IF(AND(AD$6&lt;=$H25,AD$6+6&gt;=$G25),1,0))))</x:f>
      </x:c>
      <x:c r="AE25" s="43" t="str">
        <x:f>IF($C25="","",IF(AND($I25&lt;1,AE$6&lt;=$J25,AE$6+6&gt;$H25,$J25&gt;$H25),3,IF(AND($I25&gt;0,AE$6&lt;=$G25+($H25-$G25+1)*$I25-1,AE$6+6&gt;=$G25),2,IF(AND(AE$6&lt;=$H25,AE$6+6&gt;=$G25),1,0))))</x:f>
      </x:c>
      <x:c r="AF25" s="43" t="str">
        <x:f>IF($C25="","",IF(AND($I25&lt;1,AF$6&lt;=$J25,AF$6+6&gt;$H25,$J25&gt;$H25),3,IF(AND($I25&gt;0,AF$6&lt;=$G25+($H25-$G25+1)*$I25-1,AF$6+6&gt;=$G25),2,IF(AND(AF$6&lt;=$H25,AF$6+6&gt;=$G25),1,0))))</x:f>
      </x:c>
      <x:c r="AG25" s="43" t="str">
        <x:f>IF($C25="","",IF(AND($I25&lt;1,AG$6&lt;=$J25,AG$6+6&gt;$H25,$J25&gt;$H25),3,IF(AND($I25&gt;0,AG$6&lt;=$G25+($H25-$G25+1)*$I25-1,AG$6+6&gt;=$G25),2,IF(AND(AG$6&lt;=$H25,AG$6+6&gt;=$G25),1,0))))</x:f>
      </x:c>
      <x:c r="AH25" s="43" t="str">
        <x:f>IF($C25="","",IF(AND($I25&lt;1,AH$6&lt;=$J25,AH$6+6&gt;$H25,$J25&gt;$H25),3,IF(AND($I25&gt;0,AH$6&lt;=$G25+($H25-$G25+1)*$I25-1,AH$6+6&gt;=$G25),2,IF(AND(AH$6&lt;=$H25,AH$6+6&gt;=$G25),1,0))))</x:f>
      </x:c>
      <x:c r="AI25" s="43" t="str">
        <x:f>IF($C25="","",IF(AND($I25&lt;1,AI$6&lt;=$J25,AI$6+6&gt;$H25,$J25&gt;$H25),3,IF(AND($I25&gt;0,AI$6&lt;=$G25+($H25-$G25+1)*$I25-1,AI$6+6&gt;=$G25),2,IF(AND(AI$6&lt;=$H25,AI$6+6&gt;=$G25),1,0))))</x:f>
      </x:c>
      <x:c r="AJ25" s="43" t="str">
        <x:f>IF($C25="","",IF(AND($I25&lt;1,AJ$6&lt;=$J25,AJ$6+6&gt;$H25,$J25&gt;$H25),3,IF(AND($I25&gt;0,AJ$6&lt;=$G25+($H25-$G25+1)*$I25-1,AJ$6+6&gt;=$G25),2,IF(AND(AJ$6&lt;=$H25,AJ$6+6&gt;=$G25),1,0))))</x:f>
      </x:c>
      <x:c r="AK25" s="43" t="str">
        <x:f>IF($C25="","",IF(AND($I25&lt;1,AK$6&lt;=$J25,AK$6+6&gt;$H25,$J25&gt;$H25),3,IF(AND($I25&gt;0,AK$6&lt;=$G25+($H25-$G25+1)*$I25-1,AK$6+6&gt;=$G25),2,IF(AND(AK$6&lt;=$H25,AK$6+6&gt;=$G25),1,0))))</x:f>
      </x:c>
    </x:row>
    <x:row r="26" ht="22" customHeight="1">
      <x:c r="A26" s="2"/>
      <x:c r="B26" s="2" t="n">
        <x:v>20</x:v>
      </x:c>
      <x:c r="C26" s="2" t="str">
        <x:f>IF($B26&gt;INDEX('Portfoy'!$U$7:$U$26,MATCH('Panel'!$C$5,'Portfoy'!$A$7:$A$26,0)),"",INDEX('Gorevler'!$A$7:$A$206,MATCH($B26,'Gorevler'!$S$7:$S$206,0)))</x:f>
      </x:c>
      <x:c r="D26" s="2" t="str">
        <x:f>IF($B26&gt;INDEX('Portfoy'!$U$7:$U$26,MATCH('Panel'!$C$5,'Portfoy'!$A$7:$A$26,0)),"",INDEX('Gorevler'!$C$7:$C$206,MATCH($B26,'Gorevler'!$S$7:$S$206,0)))</x:f>
      </x:c>
      <x:c r="E26" s="2" t="str">
        <x:f>IF($B26&gt;INDEX('Portfoy'!$U$7:$U$26,MATCH('Panel'!$C$5,'Portfoy'!$A$7:$A$26,0)),"",INDEX('Gorevler'!$D$7:$D$206,MATCH($B26,'Gorevler'!$S$7:$S$206,0)))</x:f>
      </x:c>
      <x:c r="F26" s="2" t="str">
        <x:f>IF($B26&gt;INDEX('Portfoy'!$U$7:$U$26,MATCH('Panel'!$C$5,'Portfoy'!$A$7:$A$26,0)),"",INDEX('Gorevler'!$K$7:$K$206,MATCH($B26,'Gorevler'!$S$7:$S$206,0)))</x:f>
      </x:c>
      <x:c r="G26" s="5" t="str">
        <x:f>IF($B26&gt;INDEX('Portfoy'!$U$7:$U$26,MATCH('Panel'!$C$5,'Portfoy'!$A$7:$A$26,0)),"",INDEX('Gorevler'!$F$7:$F$206,MATCH($B26,'Gorevler'!$S$7:$S$206,0)))</x:f>
      </x:c>
      <x:c r="H26" s="5" t="str">
        <x:f>IF($B26&gt;INDEX('Portfoy'!$U$7:$U$26,MATCH('Panel'!$C$5,'Portfoy'!$A$7:$A$26,0)),"",INDEX('Gorevler'!$G$7:$G$206,MATCH($B26,'Gorevler'!$S$7:$S$206,0)))</x:f>
      </x:c>
      <x:c r="I26" s="37" t="str">
        <x:f>IF($B26&gt;INDEX('Portfoy'!$U$7:$U$26,MATCH('Panel'!$C$5,'Portfoy'!$A$7:$A$26,0)),"",INDEX('Gorevler'!$I$7:$I$206,MATCH($B26,'Gorevler'!$S$7:$S$206,0)))</x:f>
      </x:c>
      <x:c r="J26" s="5" t="str">
        <x:f>IF($B26&gt;INDEX('Portfoy'!$U$7:$U$26,MATCH('Panel'!$C$5,'Portfoy'!$A$7:$A$26,0)),"",INDEX('Gorevler'!$J$7:$J$206,MATCH($B26,'Gorevler'!$S$7:$S$206,0)))</x:f>
      </x:c>
      <x:c r="K26" s="2"/>
      <x:c r="L26" s="43" t="str">
        <x:f>IF($C26="","",IF(AND($I26&lt;1,L$6&lt;=$J26,L$6+6&gt;$H26,$J26&gt;$H26),3,IF(AND($I26&gt;0,L$6&lt;=$G26+($H26-$G26+1)*$I26-1,L$6+6&gt;=$G26),2,IF(AND(L$6&lt;=$H26,L$6+6&gt;=$G26),1,0))))</x:f>
      </x:c>
      <x:c r="M26" s="43" t="str">
        <x:f>IF($C26="","",IF(AND($I26&lt;1,M$6&lt;=$J26,M$6+6&gt;$H26,$J26&gt;$H26),3,IF(AND($I26&gt;0,M$6&lt;=$G26+($H26-$G26+1)*$I26-1,M$6+6&gt;=$G26),2,IF(AND(M$6&lt;=$H26,M$6+6&gt;=$G26),1,0))))</x:f>
      </x:c>
      <x:c r="N26" s="43" t="str">
        <x:f>IF($C26="","",IF(AND($I26&lt;1,N$6&lt;=$J26,N$6+6&gt;$H26,$J26&gt;$H26),3,IF(AND($I26&gt;0,N$6&lt;=$G26+($H26-$G26+1)*$I26-1,N$6+6&gt;=$G26),2,IF(AND(N$6&lt;=$H26,N$6+6&gt;=$G26),1,0))))</x:f>
      </x:c>
      <x:c r="O26" s="43" t="str">
        <x:f>IF($C26="","",IF(AND($I26&lt;1,O$6&lt;=$J26,O$6+6&gt;$H26,$J26&gt;$H26),3,IF(AND($I26&gt;0,O$6&lt;=$G26+($H26-$G26+1)*$I26-1,O$6+6&gt;=$G26),2,IF(AND(O$6&lt;=$H26,O$6+6&gt;=$G26),1,0))))</x:f>
      </x:c>
      <x:c r="P26" s="43" t="str">
        <x:f>IF($C26="","",IF(AND($I26&lt;1,P$6&lt;=$J26,P$6+6&gt;$H26,$J26&gt;$H26),3,IF(AND($I26&gt;0,P$6&lt;=$G26+($H26-$G26+1)*$I26-1,P$6+6&gt;=$G26),2,IF(AND(P$6&lt;=$H26,P$6+6&gt;=$G26),1,0))))</x:f>
      </x:c>
      <x:c r="Q26" s="43" t="str">
        <x:f>IF($C26="","",IF(AND($I26&lt;1,Q$6&lt;=$J26,Q$6+6&gt;$H26,$J26&gt;$H26),3,IF(AND($I26&gt;0,Q$6&lt;=$G26+($H26-$G26+1)*$I26-1,Q$6+6&gt;=$G26),2,IF(AND(Q$6&lt;=$H26,Q$6+6&gt;=$G26),1,0))))</x:f>
      </x:c>
      <x:c r="R26" s="43" t="str">
        <x:f>IF($C26="","",IF(AND($I26&lt;1,R$6&lt;=$J26,R$6+6&gt;$H26,$J26&gt;$H26),3,IF(AND($I26&gt;0,R$6&lt;=$G26+($H26-$G26+1)*$I26-1,R$6+6&gt;=$G26),2,IF(AND(R$6&lt;=$H26,R$6+6&gt;=$G26),1,0))))</x:f>
      </x:c>
      <x:c r="S26" s="43" t="str">
        <x:f>IF($C26="","",IF(AND($I26&lt;1,S$6&lt;=$J26,S$6+6&gt;$H26,$J26&gt;$H26),3,IF(AND($I26&gt;0,S$6&lt;=$G26+($H26-$G26+1)*$I26-1,S$6+6&gt;=$G26),2,IF(AND(S$6&lt;=$H26,S$6+6&gt;=$G26),1,0))))</x:f>
      </x:c>
      <x:c r="T26" s="43" t="str">
        <x:f>IF($C26="","",IF(AND($I26&lt;1,T$6&lt;=$J26,T$6+6&gt;$H26,$J26&gt;$H26),3,IF(AND($I26&gt;0,T$6&lt;=$G26+($H26-$G26+1)*$I26-1,T$6+6&gt;=$G26),2,IF(AND(T$6&lt;=$H26,T$6+6&gt;=$G26),1,0))))</x:f>
      </x:c>
      <x:c r="U26" s="43" t="str">
        <x:f>IF($C26="","",IF(AND($I26&lt;1,U$6&lt;=$J26,U$6+6&gt;$H26,$J26&gt;$H26),3,IF(AND($I26&gt;0,U$6&lt;=$G26+($H26-$G26+1)*$I26-1,U$6+6&gt;=$G26),2,IF(AND(U$6&lt;=$H26,U$6+6&gt;=$G26),1,0))))</x:f>
      </x:c>
      <x:c r="V26" s="43" t="str">
        <x:f>IF($C26="","",IF(AND($I26&lt;1,V$6&lt;=$J26,V$6+6&gt;$H26,$J26&gt;$H26),3,IF(AND($I26&gt;0,V$6&lt;=$G26+($H26-$G26+1)*$I26-1,V$6+6&gt;=$G26),2,IF(AND(V$6&lt;=$H26,V$6+6&gt;=$G26),1,0))))</x:f>
      </x:c>
      <x:c r="W26" s="43" t="str">
        <x:f>IF($C26="","",IF(AND($I26&lt;1,W$6&lt;=$J26,W$6+6&gt;$H26,$J26&gt;$H26),3,IF(AND($I26&gt;0,W$6&lt;=$G26+($H26-$G26+1)*$I26-1,W$6+6&gt;=$G26),2,IF(AND(W$6&lt;=$H26,W$6+6&gt;=$G26),1,0))))</x:f>
      </x:c>
      <x:c r="X26" s="43" t="str">
        <x:f>IF($C26="","",IF(AND($I26&lt;1,X$6&lt;=$J26,X$6+6&gt;$H26,$J26&gt;$H26),3,IF(AND($I26&gt;0,X$6&lt;=$G26+($H26-$G26+1)*$I26-1,X$6+6&gt;=$G26),2,IF(AND(X$6&lt;=$H26,X$6+6&gt;=$G26),1,0))))</x:f>
      </x:c>
      <x:c r="Y26" s="43" t="str">
        <x:f>IF($C26="","",IF(AND($I26&lt;1,Y$6&lt;=$J26,Y$6+6&gt;$H26,$J26&gt;$H26),3,IF(AND($I26&gt;0,Y$6&lt;=$G26+($H26-$G26+1)*$I26-1,Y$6+6&gt;=$G26),2,IF(AND(Y$6&lt;=$H26,Y$6+6&gt;=$G26),1,0))))</x:f>
      </x:c>
      <x:c r="Z26" s="43" t="str">
        <x:f>IF($C26="","",IF(AND($I26&lt;1,Z$6&lt;=$J26,Z$6+6&gt;$H26,$J26&gt;$H26),3,IF(AND($I26&gt;0,Z$6&lt;=$G26+($H26-$G26+1)*$I26-1,Z$6+6&gt;=$G26),2,IF(AND(Z$6&lt;=$H26,Z$6+6&gt;=$G26),1,0))))</x:f>
      </x:c>
      <x:c r="AA26" s="43" t="str">
        <x:f>IF($C26="","",IF(AND($I26&lt;1,AA$6&lt;=$J26,AA$6+6&gt;$H26,$J26&gt;$H26),3,IF(AND($I26&gt;0,AA$6&lt;=$G26+($H26-$G26+1)*$I26-1,AA$6+6&gt;=$G26),2,IF(AND(AA$6&lt;=$H26,AA$6+6&gt;=$G26),1,0))))</x:f>
      </x:c>
      <x:c r="AB26" s="43" t="str">
        <x:f>IF($C26="","",IF(AND($I26&lt;1,AB$6&lt;=$J26,AB$6+6&gt;$H26,$J26&gt;$H26),3,IF(AND($I26&gt;0,AB$6&lt;=$G26+($H26-$G26+1)*$I26-1,AB$6+6&gt;=$G26),2,IF(AND(AB$6&lt;=$H26,AB$6+6&gt;=$G26),1,0))))</x:f>
      </x:c>
      <x:c r="AC26" s="43" t="str">
        <x:f>IF($C26="","",IF(AND($I26&lt;1,AC$6&lt;=$J26,AC$6+6&gt;$H26,$J26&gt;$H26),3,IF(AND($I26&gt;0,AC$6&lt;=$G26+($H26-$G26+1)*$I26-1,AC$6+6&gt;=$G26),2,IF(AND(AC$6&lt;=$H26,AC$6+6&gt;=$G26),1,0))))</x:f>
      </x:c>
      <x:c r="AD26" s="43" t="str">
        <x:f>IF($C26="","",IF(AND($I26&lt;1,AD$6&lt;=$J26,AD$6+6&gt;$H26,$J26&gt;$H26),3,IF(AND($I26&gt;0,AD$6&lt;=$G26+($H26-$G26+1)*$I26-1,AD$6+6&gt;=$G26),2,IF(AND(AD$6&lt;=$H26,AD$6+6&gt;=$G26),1,0))))</x:f>
      </x:c>
      <x:c r="AE26" s="43" t="str">
        <x:f>IF($C26="","",IF(AND($I26&lt;1,AE$6&lt;=$J26,AE$6+6&gt;$H26,$J26&gt;$H26),3,IF(AND($I26&gt;0,AE$6&lt;=$G26+($H26-$G26+1)*$I26-1,AE$6+6&gt;=$G26),2,IF(AND(AE$6&lt;=$H26,AE$6+6&gt;=$G26),1,0))))</x:f>
      </x:c>
      <x:c r="AF26" s="43" t="str">
        <x:f>IF($C26="","",IF(AND($I26&lt;1,AF$6&lt;=$J26,AF$6+6&gt;$H26,$J26&gt;$H26),3,IF(AND($I26&gt;0,AF$6&lt;=$G26+($H26-$G26+1)*$I26-1,AF$6+6&gt;=$G26),2,IF(AND(AF$6&lt;=$H26,AF$6+6&gt;=$G26),1,0))))</x:f>
      </x:c>
      <x:c r="AG26" s="43" t="str">
        <x:f>IF($C26="","",IF(AND($I26&lt;1,AG$6&lt;=$J26,AG$6+6&gt;$H26,$J26&gt;$H26),3,IF(AND($I26&gt;0,AG$6&lt;=$G26+($H26-$G26+1)*$I26-1,AG$6+6&gt;=$G26),2,IF(AND(AG$6&lt;=$H26,AG$6+6&gt;=$G26),1,0))))</x:f>
      </x:c>
      <x:c r="AH26" s="43" t="str">
        <x:f>IF($C26="","",IF(AND($I26&lt;1,AH$6&lt;=$J26,AH$6+6&gt;$H26,$J26&gt;$H26),3,IF(AND($I26&gt;0,AH$6&lt;=$G26+($H26-$G26+1)*$I26-1,AH$6+6&gt;=$G26),2,IF(AND(AH$6&lt;=$H26,AH$6+6&gt;=$G26),1,0))))</x:f>
      </x:c>
      <x:c r="AI26" s="43" t="str">
        <x:f>IF($C26="","",IF(AND($I26&lt;1,AI$6&lt;=$J26,AI$6+6&gt;$H26,$J26&gt;$H26),3,IF(AND($I26&gt;0,AI$6&lt;=$G26+($H26-$G26+1)*$I26-1,AI$6+6&gt;=$G26),2,IF(AND(AI$6&lt;=$H26,AI$6+6&gt;=$G26),1,0))))</x:f>
      </x:c>
      <x:c r="AJ26" s="43" t="str">
        <x:f>IF($C26="","",IF(AND($I26&lt;1,AJ$6&lt;=$J26,AJ$6+6&gt;$H26,$J26&gt;$H26),3,IF(AND($I26&gt;0,AJ$6&lt;=$G26+($H26-$G26+1)*$I26-1,AJ$6+6&gt;=$G26),2,IF(AND(AJ$6&lt;=$H26,AJ$6+6&gt;=$G26),1,0))))</x:f>
      </x:c>
      <x:c r="AK26" s="43" t="str">
        <x:f>IF($C26="","",IF(AND($I26&lt;1,AK$6&lt;=$J26,AK$6+6&gt;$H26,$J26&gt;$H26),3,IF(AND($I26&gt;0,AK$6&lt;=$G26+($H26-$G26+1)*$I26-1,AK$6+6&gt;=$G26),2,IF(AND(AK$6&lt;=$H26,AK$6+6&gt;=$G26),1,0))))</x:f>
      </x:c>
    </x:row>
    <x:row r="27" ht="22" customHeight="1">
      <x:c r="A27" s="2"/>
      <x:c r="B27" s="2" t="n">
        <x:v>21</x:v>
      </x:c>
      <x:c r="C27" s="2" t="str">
        <x:f>IF($B27&gt;INDEX('Portfoy'!$U$7:$U$26,MATCH('Panel'!$C$5,'Portfoy'!$A$7:$A$26,0)),"",INDEX('Gorevler'!$A$7:$A$206,MATCH($B27,'Gorevler'!$S$7:$S$206,0)))</x:f>
      </x:c>
      <x:c r="D27" s="2" t="str">
        <x:f>IF($B27&gt;INDEX('Portfoy'!$U$7:$U$26,MATCH('Panel'!$C$5,'Portfoy'!$A$7:$A$26,0)),"",INDEX('Gorevler'!$C$7:$C$206,MATCH($B27,'Gorevler'!$S$7:$S$206,0)))</x:f>
      </x:c>
      <x:c r="E27" s="2" t="str">
        <x:f>IF($B27&gt;INDEX('Portfoy'!$U$7:$U$26,MATCH('Panel'!$C$5,'Portfoy'!$A$7:$A$26,0)),"",INDEX('Gorevler'!$D$7:$D$206,MATCH($B27,'Gorevler'!$S$7:$S$206,0)))</x:f>
      </x:c>
      <x:c r="F27" s="2" t="str">
        <x:f>IF($B27&gt;INDEX('Portfoy'!$U$7:$U$26,MATCH('Panel'!$C$5,'Portfoy'!$A$7:$A$26,0)),"",INDEX('Gorevler'!$K$7:$K$206,MATCH($B27,'Gorevler'!$S$7:$S$206,0)))</x:f>
      </x:c>
      <x:c r="G27" s="5" t="str">
        <x:f>IF($B27&gt;INDEX('Portfoy'!$U$7:$U$26,MATCH('Panel'!$C$5,'Portfoy'!$A$7:$A$26,0)),"",INDEX('Gorevler'!$F$7:$F$206,MATCH($B27,'Gorevler'!$S$7:$S$206,0)))</x:f>
      </x:c>
      <x:c r="H27" s="5" t="str">
        <x:f>IF($B27&gt;INDEX('Portfoy'!$U$7:$U$26,MATCH('Panel'!$C$5,'Portfoy'!$A$7:$A$26,0)),"",INDEX('Gorevler'!$G$7:$G$206,MATCH($B27,'Gorevler'!$S$7:$S$206,0)))</x:f>
      </x:c>
      <x:c r="I27" s="37" t="str">
        <x:f>IF($B27&gt;INDEX('Portfoy'!$U$7:$U$26,MATCH('Panel'!$C$5,'Portfoy'!$A$7:$A$26,0)),"",INDEX('Gorevler'!$I$7:$I$206,MATCH($B27,'Gorevler'!$S$7:$S$206,0)))</x:f>
      </x:c>
      <x:c r="J27" s="5" t="str">
        <x:f>IF($B27&gt;INDEX('Portfoy'!$U$7:$U$26,MATCH('Panel'!$C$5,'Portfoy'!$A$7:$A$26,0)),"",INDEX('Gorevler'!$J$7:$J$206,MATCH($B27,'Gorevler'!$S$7:$S$206,0)))</x:f>
      </x:c>
      <x:c r="K27" s="2"/>
      <x:c r="L27" s="43" t="str">
        <x:f>IF($C27="","",IF(AND($I27&lt;1,L$6&lt;=$J27,L$6+6&gt;$H27,$J27&gt;$H27),3,IF(AND($I27&gt;0,L$6&lt;=$G27+($H27-$G27+1)*$I27-1,L$6+6&gt;=$G27),2,IF(AND(L$6&lt;=$H27,L$6+6&gt;=$G27),1,0))))</x:f>
      </x:c>
      <x:c r="M27" s="43" t="str">
        <x:f>IF($C27="","",IF(AND($I27&lt;1,M$6&lt;=$J27,M$6+6&gt;$H27,$J27&gt;$H27),3,IF(AND($I27&gt;0,M$6&lt;=$G27+($H27-$G27+1)*$I27-1,M$6+6&gt;=$G27),2,IF(AND(M$6&lt;=$H27,M$6+6&gt;=$G27),1,0))))</x:f>
      </x:c>
      <x:c r="N27" s="43" t="str">
        <x:f>IF($C27="","",IF(AND($I27&lt;1,N$6&lt;=$J27,N$6+6&gt;$H27,$J27&gt;$H27),3,IF(AND($I27&gt;0,N$6&lt;=$G27+($H27-$G27+1)*$I27-1,N$6+6&gt;=$G27),2,IF(AND(N$6&lt;=$H27,N$6+6&gt;=$G27),1,0))))</x:f>
      </x:c>
      <x:c r="O27" s="43" t="str">
        <x:f>IF($C27="","",IF(AND($I27&lt;1,O$6&lt;=$J27,O$6+6&gt;$H27,$J27&gt;$H27),3,IF(AND($I27&gt;0,O$6&lt;=$G27+($H27-$G27+1)*$I27-1,O$6+6&gt;=$G27),2,IF(AND(O$6&lt;=$H27,O$6+6&gt;=$G27),1,0))))</x:f>
      </x:c>
      <x:c r="P27" s="43" t="str">
        <x:f>IF($C27="","",IF(AND($I27&lt;1,P$6&lt;=$J27,P$6+6&gt;$H27,$J27&gt;$H27),3,IF(AND($I27&gt;0,P$6&lt;=$G27+($H27-$G27+1)*$I27-1,P$6+6&gt;=$G27),2,IF(AND(P$6&lt;=$H27,P$6+6&gt;=$G27),1,0))))</x:f>
      </x:c>
      <x:c r="Q27" s="43" t="str">
        <x:f>IF($C27="","",IF(AND($I27&lt;1,Q$6&lt;=$J27,Q$6+6&gt;$H27,$J27&gt;$H27),3,IF(AND($I27&gt;0,Q$6&lt;=$G27+($H27-$G27+1)*$I27-1,Q$6+6&gt;=$G27),2,IF(AND(Q$6&lt;=$H27,Q$6+6&gt;=$G27),1,0))))</x:f>
      </x:c>
      <x:c r="R27" s="43" t="str">
        <x:f>IF($C27="","",IF(AND($I27&lt;1,R$6&lt;=$J27,R$6+6&gt;$H27,$J27&gt;$H27),3,IF(AND($I27&gt;0,R$6&lt;=$G27+($H27-$G27+1)*$I27-1,R$6+6&gt;=$G27),2,IF(AND(R$6&lt;=$H27,R$6+6&gt;=$G27),1,0))))</x:f>
      </x:c>
      <x:c r="S27" s="43" t="str">
        <x:f>IF($C27="","",IF(AND($I27&lt;1,S$6&lt;=$J27,S$6+6&gt;$H27,$J27&gt;$H27),3,IF(AND($I27&gt;0,S$6&lt;=$G27+($H27-$G27+1)*$I27-1,S$6+6&gt;=$G27),2,IF(AND(S$6&lt;=$H27,S$6+6&gt;=$G27),1,0))))</x:f>
      </x:c>
      <x:c r="T27" s="43" t="str">
        <x:f>IF($C27="","",IF(AND($I27&lt;1,T$6&lt;=$J27,T$6+6&gt;$H27,$J27&gt;$H27),3,IF(AND($I27&gt;0,T$6&lt;=$G27+($H27-$G27+1)*$I27-1,T$6+6&gt;=$G27),2,IF(AND(T$6&lt;=$H27,T$6+6&gt;=$G27),1,0))))</x:f>
      </x:c>
      <x:c r="U27" s="43" t="str">
        <x:f>IF($C27="","",IF(AND($I27&lt;1,U$6&lt;=$J27,U$6+6&gt;$H27,$J27&gt;$H27),3,IF(AND($I27&gt;0,U$6&lt;=$G27+($H27-$G27+1)*$I27-1,U$6+6&gt;=$G27),2,IF(AND(U$6&lt;=$H27,U$6+6&gt;=$G27),1,0))))</x:f>
      </x:c>
      <x:c r="V27" s="43" t="str">
        <x:f>IF($C27="","",IF(AND($I27&lt;1,V$6&lt;=$J27,V$6+6&gt;$H27,$J27&gt;$H27),3,IF(AND($I27&gt;0,V$6&lt;=$G27+($H27-$G27+1)*$I27-1,V$6+6&gt;=$G27),2,IF(AND(V$6&lt;=$H27,V$6+6&gt;=$G27),1,0))))</x:f>
      </x:c>
      <x:c r="W27" s="43" t="str">
        <x:f>IF($C27="","",IF(AND($I27&lt;1,W$6&lt;=$J27,W$6+6&gt;$H27,$J27&gt;$H27),3,IF(AND($I27&gt;0,W$6&lt;=$G27+($H27-$G27+1)*$I27-1,W$6+6&gt;=$G27),2,IF(AND(W$6&lt;=$H27,W$6+6&gt;=$G27),1,0))))</x:f>
      </x:c>
      <x:c r="X27" s="43" t="str">
        <x:f>IF($C27="","",IF(AND($I27&lt;1,X$6&lt;=$J27,X$6+6&gt;$H27,$J27&gt;$H27),3,IF(AND($I27&gt;0,X$6&lt;=$G27+($H27-$G27+1)*$I27-1,X$6+6&gt;=$G27),2,IF(AND(X$6&lt;=$H27,X$6+6&gt;=$G27),1,0))))</x:f>
      </x:c>
      <x:c r="Y27" s="43" t="str">
        <x:f>IF($C27="","",IF(AND($I27&lt;1,Y$6&lt;=$J27,Y$6+6&gt;$H27,$J27&gt;$H27),3,IF(AND($I27&gt;0,Y$6&lt;=$G27+($H27-$G27+1)*$I27-1,Y$6+6&gt;=$G27),2,IF(AND(Y$6&lt;=$H27,Y$6+6&gt;=$G27),1,0))))</x:f>
      </x:c>
      <x:c r="Z27" s="43" t="str">
        <x:f>IF($C27="","",IF(AND($I27&lt;1,Z$6&lt;=$J27,Z$6+6&gt;$H27,$J27&gt;$H27),3,IF(AND($I27&gt;0,Z$6&lt;=$G27+($H27-$G27+1)*$I27-1,Z$6+6&gt;=$G27),2,IF(AND(Z$6&lt;=$H27,Z$6+6&gt;=$G27),1,0))))</x:f>
      </x:c>
      <x:c r="AA27" s="43" t="str">
        <x:f>IF($C27="","",IF(AND($I27&lt;1,AA$6&lt;=$J27,AA$6+6&gt;$H27,$J27&gt;$H27),3,IF(AND($I27&gt;0,AA$6&lt;=$G27+($H27-$G27+1)*$I27-1,AA$6+6&gt;=$G27),2,IF(AND(AA$6&lt;=$H27,AA$6+6&gt;=$G27),1,0))))</x:f>
      </x:c>
      <x:c r="AB27" s="43" t="str">
        <x:f>IF($C27="","",IF(AND($I27&lt;1,AB$6&lt;=$J27,AB$6+6&gt;$H27,$J27&gt;$H27),3,IF(AND($I27&gt;0,AB$6&lt;=$G27+($H27-$G27+1)*$I27-1,AB$6+6&gt;=$G27),2,IF(AND(AB$6&lt;=$H27,AB$6+6&gt;=$G27),1,0))))</x:f>
      </x:c>
      <x:c r="AC27" s="43" t="str">
        <x:f>IF($C27="","",IF(AND($I27&lt;1,AC$6&lt;=$J27,AC$6+6&gt;$H27,$J27&gt;$H27),3,IF(AND($I27&gt;0,AC$6&lt;=$G27+($H27-$G27+1)*$I27-1,AC$6+6&gt;=$G27),2,IF(AND(AC$6&lt;=$H27,AC$6+6&gt;=$G27),1,0))))</x:f>
      </x:c>
      <x:c r="AD27" s="43" t="str">
        <x:f>IF($C27="","",IF(AND($I27&lt;1,AD$6&lt;=$J27,AD$6+6&gt;$H27,$J27&gt;$H27),3,IF(AND($I27&gt;0,AD$6&lt;=$G27+($H27-$G27+1)*$I27-1,AD$6+6&gt;=$G27),2,IF(AND(AD$6&lt;=$H27,AD$6+6&gt;=$G27),1,0))))</x:f>
      </x:c>
      <x:c r="AE27" s="43" t="str">
        <x:f>IF($C27="","",IF(AND($I27&lt;1,AE$6&lt;=$J27,AE$6+6&gt;$H27,$J27&gt;$H27),3,IF(AND($I27&gt;0,AE$6&lt;=$G27+($H27-$G27+1)*$I27-1,AE$6+6&gt;=$G27),2,IF(AND(AE$6&lt;=$H27,AE$6+6&gt;=$G27),1,0))))</x:f>
      </x:c>
      <x:c r="AF27" s="43" t="str">
        <x:f>IF($C27="","",IF(AND($I27&lt;1,AF$6&lt;=$J27,AF$6+6&gt;$H27,$J27&gt;$H27),3,IF(AND($I27&gt;0,AF$6&lt;=$G27+($H27-$G27+1)*$I27-1,AF$6+6&gt;=$G27),2,IF(AND(AF$6&lt;=$H27,AF$6+6&gt;=$G27),1,0))))</x:f>
      </x:c>
      <x:c r="AG27" s="43" t="str">
        <x:f>IF($C27="","",IF(AND($I27&lt;1,AG$6&lt;=$J27,AG$6+6&gt;$H27,$J27&gt;$H27),3,IF(AND($I27&gt;0,AG$6&lt;=$G27+($H27-$G27+1)*$I27-1,AG$6+6&gt;=$G27),2,IF(AND(AG$6&lt;=$H27,AG$6+6&gt;=$G27),1,0))))</x:f>
      </x:c>
      <x:c r="AH27" s="43" t="str">
        <x:f>IF($C27="","",IF(AND($I27&lt;1,AH$6&lt;=$J27,AH$6+6&gt;$H27,$J27&gt;$H27),3,IF(AND($I27&gt;0,AH$6&lt;=$G27+($H27-$G27+1)*$I27-1,AH$6+6&gt;=$G27),2,IF(AND(AH$6&lt;=$H27,AH$6+6&gt;=$G27),1,0))))</x:f>
      </x:c>
      <x:c r="AI27" s="43" t="str">
        <x:f>IF($C27="","",IF(AND($I27&lt;1,AI$6&lt;=$J27,AI$6+6&gt;$H27,$J27&gt;$H27),3,IF(AND($I27&gt;0,AI$6&lt;=$G27+($H27-$G27+1)*$I27-1,AI$6+6&gt;=$G27),2,IF(AND(AI$6&lt;=$H27,AI$6+6&gt;=$G27),1,0))))</x:f>
      </x:c>
      <x:c r="AJ27" s="43" t="str">
        <x:f>IF($C27="","",IF(AND($I27&lt;1,AJ$6&lt;=$J27,AJ$6+6&gt;$H27,$J27&gt;$H27),3,IF(AND($I27&gt;0,AJ$6&lt;=$G27+($H27-$G27+1)*$I27-1,AJ$6+6&gt;=$G27),2,IF(AND(AJ$6&lt;=$H27,AJ$6+6&gt;=$G27),1,0))))</x:f>
      </x:c>
      <x:c r="AK27" s="43" t="str">
        <x:f>IF($C27="","",IF(AND($I27&lt;1,AK$6&lt;=$J27,AK$6+6&gt;$H27,$J27&gt;$H27),3,IF(AND($I27&gt;0,AK$6&lt;=$G27+($H27-$G27+1)*$I27-1,AK$6+6&gt;=$G27),2,IF(AND(AK$6&lt;=$H27,AK$6+6&gt;=$G27),1,0))))</x:f>
      </x:c>
    </x:row>
    <x:row r="28" ht="22" customHeight="1">
      <x:c r="A28" s="2"/>
      <x:c r="B28" s="2" t="n">
        <x:v>22</x:v>
      </x:c>
      <x:c r="C28" s="2" t="str">
        <x:f>IF($B28&gt;INDEX('Portfoy'!$U$7:$U$26,MATCH('Panel'!$C$5,'Portfoy'!$A$7:$A$26,0)),"",INDEX('Gorevler'!$A$7:$A$206,MATCH($B28,'Gorevler'!$S$7:$S$206,0)))</x:f>
      </x:c>
      <x:c r="D28" s="2" t="str">
        <x:f>IF($B28&gt;INDEX('Portfoy'!$U$7:$U$26,MATCH('Panel'!$C$5,'Portfoy'!$A$7:$A$26,0)),"",INDEX('Gorevler'!$C$7:$C$206,MATCH($B28,'Gorevler'!$S$7:$S$206,0)))</x:f>
      </x:c>
      <x:c r="E28" s="2" t="str">
        <x:f>IF($B28&gt;INDEX('Portfoy'!$U$7:$U$26,MATCH('Panel'!$C$5,'Portfoy'!$A$7:$A$26,0)),"",INDEX('Gorevler'!$D$7:$D$206,MATCH($B28,'Gorevler'!$S$7:$S$206,0)))</x:f>
      </x:c>
      <x:c r="F28" s="2" t="str">
        <x:f>IF($B28&gt;INDEX('Portfoy'!$U$7:$U$26,MATCH('Panel'!$C$5,'Portfoy'!$A$7:$A$26,0)),"",INDEX('Gorevler'!$K$7:$K$206,MATCH($B28,'Gorevler'!$S$7:$S$206,0)))</x:f>
      </x:c>
      <x:c r="G28" s="5" t="str">
        <x:f>IF($B28&gt;INDEX('Portfoy'!$U$7:$U$26,MATCH('Panel'!$C$5,'Portfoy'!$A$7:$A$26,0)),"",INDEX('Gorevler'!$F$7:$F$206,MATCH($B28,'Gorevler'!$S$7:$S$206,0)))</x:f>
      </x:c>
      <x:c r="H28" s="5" t="str">
        <x:f>IF($B28&gt;INDEX('Portfoy'!$U$7:$U$26,MATCH('Panel'!$C$5,'Portfoy'!$A$7:$A$26,0)),"",INDEX('Gorevler'!$G$7:$G$206,MATCH($B28,'Gorevler'!$S$7:$S$206,0)))</x:f>
      </x:c>
      <x:c r="I28" s="37" t="str">
        <x:f>IF($B28&gt;INDEX('Portfoy'!$U$7:$U$26,MATCH('Panel'!$C$5,'Portfoy'!$A$7:$A$26,0)),"",INDEX('Gorevler'!$I$7:$I$206,MATCH($B28,'Gorevler'!$S$7:$S$206,0)))</x:f>
      </x:c>
      <x:c r="J28" s="5" t="str">
        <x:f>IF($B28&gt;INDEX('Portfoy'!$U$7:$U$26,MATCH('Panel'!$C$5,'Portfoy'!$A$7:$A$26,0)),"",INDEX('Gorevler'!$J$7:$J$206,MATCH($B28,'Gorevler'!$S$7:$S$206,0)))</x:f>
      </x:c>
      <x:c r="K28" s="2"/>
      <x:c r="L28" s="43" t="str">
        <x:f>IF($C28="","",IF(AND($I28&lt;1,L$6&lt;=$J28,L$6+6&gt;$H28,$J28&gt;$H28),3,IF(AND($I28&gt;0,L$6&lt;=$G28+($H28-$G28+1)*$I28-1,L$6+6&gt;=$G28),2,IF(AND(L$6&lt;=$H28,L$6+6&gt;=$G28),1,0))))</x:f>
      </x:c>
      <x:c r="M28" s="43" t="str">
        <x:f>IF($C28="","",IF(AND($I28&lt;1,M$6&lt;=$J28,M$6+6&gt;$H28,$J28&gt;$H28),3,IF(AND($I28&gt;0,M$6&lt;=$G28+($H28-$G28+1)*$I28-1,M$6+6&gt;=$G28),2,IF(AND(M$6&lt;=$H28,M$6+6&gt;=$G28),1,0))))</x:f>
      </x:c>
      <x:c r="N28" s="43" t="str">
        <x:f>IF($C28="","",IF(AND($I28&lt;1,N$6&lt;=$J28,N$6+6&gt;$H28,$J28&gt;$H28),3,IF(AND($I28&gt;0,N$6&lt;=$G28+($H28-$G28+1)*$I28-1,N$6+6&gt;=$G28),2,IF(AND(N$6&lt;=$H28,N$6+6&gt;=$G28),1,0))))</x:f>
      </x:c>
      <x:c r="O28" s="43" t="str">
        <x:f>IF($C28="","",IF(AND($I28&lt;1,O$6&lt;=$J28,O$6+6&gt;$H28,$J28&gt;$H28),3,IF(AND($I28&gt;0,O$6&lt;=$G28+($H28-$G28+1)*$I28-1,O$6+6&gt;=$G28),2,IF(AND(O$6&lt;=$H28,O$6+6&gt;=$G28),1,0))))</x:f>
      </x:c>
      <x:c r="P28" s="43" t="str">
        <x:f>IF($C28="","",IF(AND($I28&lt;1,P$6&lt;=$J28,P$6+6&gt;$H28,$J28&gt;$H28),3,IF(AND($I28&gt;0,P$6&lt;=$G28+($H28-$G28+1)*$I28-1,P$6+6&gt;=$G28),2,IF(AND(P$6&lt;=$H28,P$6+6&gt;=$G28),1,0))))</x:f>
      </x:c>
      <x:c r="Q28" s="43" t="str">
        <x:f>IF($C28="","",IF(AND($I28&lt;1,Q$6&lt;=$J28,Q$6+6&gt;$H28,$J28&gt;$H28),3,IF(AND($I28&gt;0,Q$6&lt;=$G28+($H28-$G28+1)*$I28-1,Q$6+6&gt;=$G28),2,IF(AND(Q$6&lt;=$H28,Q$6+6&gt;=$G28),1,0))))</x:f>
      </x:c>
      <x:c r="R28" s="43" t="str">
        <x:f>IF($C28="","",IF(AND($I28&lt;1,R$6&lt;=$J28,R$6+6&gt;$H28,$J28&gt;$H28),3,IF(AND($I28&gt;0,R$6&lt;=$G28+($H28-$G28+1)*$I28-1,R$6+6&gt;=$G28),2,IF(AND(R$6&lt;=$H28,R$6+6&gt;=$G28),1,0))))</x:f>
      </x:c>
      <x:c r="S28" s="43" t="str">
        <x:f>IF($C28="","",IF(AND($I28&lt;1,S$6&lt;=$J28,S$6+6&gt;$H28,$J28&gt;$H28),3,IF(AND($I28&gt;0,S$6&lt;=$G28+($H28-$G28+1)*$I28-1,S$6+6&gt;=$G28),2,IF(AND(S$6&lt;=$H28,S$6+6&gt;=$G28),1,0))))</x:f>
      </x:c>
      <x:c r="T28" s="43" t="str">
        <x:f>IF($C28="","",IF(AND($I28&lt;1,T$6&lt;=$J28,T$6+6&gt;$H28,$J28&gt;$H28),3,IF(AND($I28&gt;0,T$6&lt;=$G28+($H28-$G28+1)*$I28-1,T$6+6&gt;=$G28),2,IF(AND(T$6&lt;=$H28,T$6+6&gt;=$G28),1,0))))</x:f>
      </x:c>
      <x:c r="U28" s="43" t="str">
        <x:f>IF($C28="","",IF(AND($I28&lt;1,U$6&lt;=$J28,U$6+6&gt;$H28,$J28&gt;$H28),3,IF(AND($I28&gt;0,U$6&lt;=$G28+($H28-$G28+1)*$I28-1,U$6+6&gt;=$G28),2,IF(AND(U$6&lt;=$H28,U$6+6&gt;=$G28),1,0))))</x:f>
      </x:c>
      <x:c r="V28" s="43" t="str">
        <x:f>IF($C28="","",IF(AND($I28&lt;1,V$6&lt;=$J28,V$6+6&gt;$H28,$J28&gt;$H28),3,IF(AND($I28&gt;0,V$6&lt;=$G28+($H28-$G28+1)*$I28-1,V$6+6&gt;=$G28),2,IF(AND(V$6&lt;=$H28,V$6+6&gt;=$G28),1,0))))</x:f>
      </x:c>
      <x:c r="W28" s="43" t="str">
        <x:f>IF($C28="","",IF(AND($I28&lt;1,W$6&lt;=$J28,W$6+6&gt;$H28,$J28&gt;$H28),3,IF(AND($I28&gt;0,W$6&lt;=$G28+($H28-$G28+1)*$I28-1,W$6+6&gt;=$G28),2,IF(AND(W$6&lt;=$H28,W$6+6&gt;=$G28),1,0))))</x:f>
      </x:c>
      <x:c r="X28" s="43" t="str">
        <x:f>IF($C28="","",IF(AND($I28&lt;1,X$6&lt;=$J28,X$6+6&gt;$H28,$J28&gt;$H28),3,IF(AND($I28&gt;0,X$6&lt;=$G28+($H28-$G28+1)*$I28-1,X$6+6&gt;=$G28),2,IF(AND(X$6&lt;=$H28,X$6+6&gt;=$G28),1,0))))</x:f>
      </x:c>
      <x:c r="Y28" s="43" t="str">
        <x:f>IF($C28="","",IF(AND($I28&lt;1,Y$6&lt;=$J28,Y$6+6&gt;$H28,$J28&gt;$H28),3,IF(AND($I28&gt;0,Y$6&lt;=$G28+($H28-$G28+1)*$I28-1,Y$6+6&gt;=$G28),2,IF(AND(Y$6&lt;=$H28,Y$6+6&gt;=$G28),1,0))))</x:f>
      </x:c>
      <x:c r="Z28" s="43" t="str">
        <x:f>IF($C28="","",IF(AND($I28&lt;1,Z$6&lt;=$J28,Z$6+6&gt;$H28,$J28&gt;$H28),3,IF(AND($I28&gt;0,Z$6&lt;=$G28+($H28-$G28+1)*$I28-1,Z$6+6&gt;=$G28),2,IF(AND(Z$6&lt;=$H28,Z$6+6&gt;=$G28),1,0))))</x:f>
      </x:c>
      <x:c r="AA28" s="43" t="str">
        <x:f>IF($C28="","",IF(AND($I28&lt;1,AA$6&lt;=$J28,AA$6+6&gt;$H28,$J28&gt;$H28),3,IF(AND($I28&gt;0,AA$6&lt;=$G28+($H28-$G28+1)*$I28-1,AA$6+6&gt;=$G28),2,IF(AND(AA$6&lt;=$H28,AA$6+6&gt;=$G28),1,0))))</x:f>
      </x:c>
      <x:c r="AB28" s="43" t="str">
        <x:f>IF($C28="","",IF(AND($I28&lt;1,AB$6&lt;=$J28,AB$6+6&gt;$H28,$J28&gt;$H28),3,IF(AND($I28&gt;0,AB$6&lt;=$G28+($H28-$G28+1)*$I28-1,AB$6+6&gt;=$G28),2,IF(AND(AB$6&lt;=$H28,AB$6+6&gt;=$G28),1,0))))</x:f>
      </x:c>
      <x:c r="AC28" s="43" t="str">
        <x:f>IF($C28="","",IF(AND($I28&lt;1,AC$6&lt;=$J28,AC$6+6&gt;$H28,$J28&gt;$H28),3,IF(AND($I28&gt;0,AC$6&lt;=$G28+($H28-$G28+1)*$I28-1,AC$6+6&gt;=$G28),2,IF(AND(AC$6&lt;=$H28,AC$6+6&gt;=$G28),1,0))))</x:f>
      </x:c>
      <x:c r="AD28" s="43" t="str">
        <x:f>IF($C28="","",IF(AND($I28&lt;1,AD$6&lt;=$J28,AD$6+6&gt;$H28,$J28&gt;$H28),3,IF(AND($I28&gt;0,AD$6&lt;=$G28+($H28-$G28+1)*$I28-1,AD$6+6&gt;=$G28),2,IF(AND(AD$6&lt;=$H28,AD$6+6&gt;=$G28),1,0))))</x:f>
      </x:c>
      <x:c r="AE28" s="43" t="str">
        <x:f>IF($C28="","",IF(AND($I28&lt;1,AE$6&lt;=$J28,AE$6+6&gt;$H28,$J28&gt;$H28),3,IF(AND($I28&gt;0,AE$6&lt;=$G28+($H28-$G28+1)*$I28-1,AE$6+6&gt;=$G28),2,IF(AND(AE$6&lt;=$H28,AE$6+6&gt;=$G28),1,0))))</x:f>
      </x:c>
      <x:c r="AF28" s="43" t="str">
        <x:f>IF($C28="","",IF(AND($I28&lt;1,AF$6&lt;=$J28,AF$6+6&gt;$H28,$J28&gt;$H28),3,IF(AND($I28&gt;0,AF$6&lt;=$G28+($H28-$G28+1)*$I28-1,AF$6+6&gt;=$G28),2,IF(AND(AF$6&lt;=$H28,AF$6+6&gt;=$G28),1,0))))</x:f>
      </x:c>
      <x:c r="AG28" s="43" t="str">
        <x:f>IF($C28="","",IF(AND($I28&lt;1,AG$6&lt;=$J28,AG$6+6&gt;$H28,$J28&gt;$H28),3,IF(AND($I28&gt;0,AG$6&lt;=$G28+($H28-$G28+1)*$I28-1,AG$6+6&gt;=$G28),2,IF(AND(AG$6&lt;=$H28,AG$6+6&gt;=$G28),1,0))))</x:f>
      </x:c>
      <x:c r="AH28" s="43" t="str">
        <x:f>IF($C28="","",IF(AND($I28&lt;1,AH$6&lt;=$J28,AH$6+6&gt;$H28,$J28&gt;$H28),3,IF(AND($I28&gt;0,AH$6&lt;=$G28+($H28-$G28+1)*$I28-1,AH$6+6&gt;=$G28),2,IF(AND(AH$6&lt;=$H28,AH$6+6&gt;=$G28),1,0))))</x:f>
      </x:c>
      <x:c r="AI28" s="43" t="str">
        <x:f>IF($C28="","",IF(AND($I28&lt;1,AI$6&lt;=$J28,AI$6+6&gt;$H28,$J28&gt;$H28),3,IF(AND($I28&gt;0,AI$6&lt;=$G28+($H28-$G28+1)*$I28-1,AI$6+6&gt;=$G28),2,IF(AND(AI$6&lt;=$H28,AI$6+6&gt;=$G28),1,0))))</x:f>
      </x:c>
      <x:c r="AJ28" s="43" t="str">
        <x:f>IF($C28="","",IF(AND($I28&lt;1,AJ$6&lt;=$J28,AJ$6+6&gt;$H28,$J28&gt;$H28),3,IF(AND($I28&gt;0,AJ$6&lt;=$G28+($H28-$G28+1)*$I28-1,AJ$6+6&gt;=$G28),2,IF(AND(AJ$6&lt;=$H28,AJ$6+6&gt;=$G28),1,0))))</x:f>
      </x:c>
      <x:c r="AK28" s="43" t="str">
        <x:f>IF($C28="","",IF(AND($I28&lt;1,AK$6&lt;=$J28,AK$6+6&gt;$H28,$J28&gt;$H28),3,IF(AND($I28&gt;0,AK$6&lt;=$G28+($H28-$G28+1)*$I28-1,AK$6+6&gt;=$G28),2,IF(AND(AK$6&lt;=$H28,AK$6+6&gt;=$G28),1,0))))</x:f>
      </x:c>
    </x:row>
    <x:row r="29" ht="22" customHeight="1">
      <x:c r="A29" s="2"/>
      <x:c r="B29" s="2" t="n">
        <x:v>23</x:v>
      </x:c>
      <x:c r="C29" s="2" t="str">
        <x:f>IF($B29&gt;INDEX('Portfoy'!$U$7:$U$26,MATCH('Panel'!$C$5,'Portfoy'!$A$7:$A$26,0)),"",INDEX('Gorevler'!$A$7:$A$206,MATCH($B29,'Gorevler'!$S$7:$S$206,0)))</x:f>
      </x:c>
      <x:c r="D29" s="2" t="str">
        <x:f>IF($B29&gt;INDEX('Portfoy'!$U$7:$U$26,MATCH('Panel'!$C$5,'Portfoy'!$A$7:$A$26,0)),"",INDEX('Gorevler'!$C$7:$C$206,MATCH($B29,'Gorevler'!$S$7:$S$206,0)))</x:f>
      </x:c>
      <x:c r="E29" s="2" t="str">
        <x:f>IF($B29&gt;INDEX('Portfoy'!$U$7:$U$26,MATCH('Panel'!$C$5,'Portfoy'!$A$7:$A$26,0)),"",INDEX('Gorevler'!$D$7:$D$206,MATCH($B29,'Gorevler'!$S$7:$S$206,0)))</x:f>
      </x:c>
      <x:c r="F29" s="2" t="str">
        <x:f>IF($B29&gt;INDEX('Portfoy'!$U$7:$U$26,MATCH('Panel'!$C$5,'Portfoy'!$A$7:$A$26,0)),"",INDEX('Gorevler'!$K$7:$K$206,MATCH($B29,'Gorevler'!$S$7:$S$206,0)))</x:f>
      </x:c>
      <x:c r="G29" s="5" t="str">
        <x:f>IF($B29&gt;INDEX('Portfoy'!$U$7:$U$26,MATCH('Panel'!$C$5,'Portfoy'!$A$7:$A$26,0)),"",INDEX('Gorevler'!$F$7:$F$206,MATCH($B29,'Gorevler'!$S$7:$S$206,0)))</x:f>
      </x:c>
      <x:c r="H29" s="5" t="str">
        <x:f>IF($B29&gt;INDEX('Portfoy'!$U$7:$U$26,MATCH('Panel'!$C$5,'Portfoy'!$A$7:$A$26,0)),"",INDEX('Gorevler'!$G$7:$G$206,MATCH($B29,'Gorevler'!$S$7:$S$206,0)))</x:f>
      </x:c>
      <x:c r="I29" s="37" t="str">
        <x:f>IF($B29&gt;INDEX('Portfoy'!$U$7:$U$26,MATCH('Panel'!$C$5,'Portfoy'!$A$7:$A$26,0)),"",INDEX('Gorevler'!$I$7:$I$206,MATCH($B29,'Gorevler'!$S$7:$S$206,0)))</x:f>
      </x:c>
      <x:c r="J29" s="5" t="str">
        <x:f>IF($B29&gt;INDEX('Portfoy'!$U$7:$U$26,MATCH('Panel'!$C$5,'Portfoy'!$A$7:$A$26,0)),"",INDEX('Gorevler'!$J$7:$J$206,MATCH($B29,'Gorevler'!$S$7:$S$206,0)))</x:f>
      </x:c>
      <x:c r="K29" s="2"/>
      <x:c r="L29" s="43" t="str">
        <x:f>IF($C29="","",IF(AND($I29&lt;1,L$6&lt;=$J29,L$6+6&gt;$H29,$J29&gt;$H29),3,IF(AND($I29&gt;0,L$6&lt;=$G29+($H29-$G29+1)*$I29-1,L$6+6&gt;=$G29),2,IF(AND(L$6&lt;=$H29,L$6+6&gt;=$G29),1,0))))</x:f>
      </x:c>
      <x:c r="M29" s="43" t="str">
        <x:f>IF($C29="","",IF(AND($I29&lt;1,M$6&lt;=$J29,M$6+6&gt;$H29,$J29&gt;$H29),3,IF(AND($I29&gt;0,M$6&lt;=$G29+($H29-$G29+1)*$I29-1,M$6+6&gt;=$G29),2,IF(AND(M$6&lt;=$H29,M$6+6&gt;=$G29),1,0))))</x:f>
      </x:c>
      <x:c r="N29" s="43" t="str">
        <x:f>IF($C29="","",IF(AND($I29&lt;1,N$6&lt;=$J29,N$6+6&gt;$H29,$J29&gt;$H29),3,IF(AND($I29&gt;0,N$6&lt;=$G29+($H29-$G29+1)*$I29-1,N$6+6&gt;=$G29),2,IF(AND(N$6&lt;=$H29,N$6+6&gt;=$G29),1,0))))</x:f>
      </x:c>
      <x:c r="O29" s="43" t="str">
        <x:f>IF($C29="","",IF(AND($I29&lt;1,O$6&lt;=$J29,O$6+6&gt;$H29,$J29&gt;$H29),3,IF(AND($I29&gt;0,O$6&lt;=$G29+($H29-$G29+1)*$I29-1,O$6+6&gt;=$G29),2,IF(AND(O$6&lt;=$H29,O$6+6&gt;=$G29),1,0))))</x:f>
      </x:c>
      <x:c r="P29" s="43" t="str">
        <x:f>IF($C29="","",IF(AND($I29&lt;1,P$6&lt;=$J29,P$6+6&gt;$H29,$J29&gt;$H29),3,IF(AND($I29&gt;0,P$6&lt;=$G29+($H29-$G29+1)*$I29-1,P$6+6&gt;=$G29),2,IF(AND(P$6&lt;=$H29,P$6+6&gt;=$G29),1,0))))</x:f>
      </x:c>
      <x:c r="Q29" s="43" t="str">
        <x:f>IF($C29="","",IF(AND($I29&lt;1,Q$6&lt;=$J29,Q$6+6&gt;$H29,$J29&gt;$H29),3,IF(AND($I29&gt;0,Q$6&lt;=$G29+($H29-$G29+1)*$I29-1,Q$6+6&gt;=$G29),2,IF(AND(Q$6&lt;=$H29,Q$6+6&gt;=$G29),1,0))))</x:f>
      </x:c>
      <x:c r="R29" s="43" t="str">
        <x:f>IF($C29="","",IF(AND($I29&lt;1,R$6&lt;=$J29,R$6+6&gt;$H29,$J29&gt;$H29),3,IF(AND($I29&gt;0,R$6&lt;=$G29+($H29-$G29+1)*$I29-1,R$6+6&gt;=$G29),2,IF(AND(R$6&lt;=$H29,R$6+6&gt;=$G29),1,0))))</x:f>
      </x:c>
      <x:c r="S29" s="43" t="str">
        <x:f>IF($C29="","",IF(AND($I29&lt;1,S$6&lt;=$J29,S$6+6&gt;$H29,$J29&gt;$H29),3,IF(AND($I29&gt;0,S$6&lt;=$G29+($H29-$G29+1)*$I29-1,S$6+6&gt;=$G29),2,IF(AND(S$6&lt;=$H29,S$6+6&gt;=$G29),1,0))))</x:f>
      </x:c>
      <x:c r="T29" s="43" t="str">
        <x:f>IF($C29="","",IF(AND($I29&lt;1,T$6&lt;=$J29,T$6+6&gt;$H29,$J29&gt;$H29),3,IF(AND($I29&gt;0,T$6&lt;=$G29+($H29-$G29+1)*$I29-1,T$6+6&gt;=$G29),2,IF(AND(T$6&lt;=$H29,T$6+6&gt;=$G29),1,0))))</x:f>
      </x:c>
      <x:c r="U29" s="43" t="str">
        <x:f>IF($C29="","",IF(AND($I29&lt;1,U$6&lt;=$J29,U$6+6&gt;$H29,$J29&gt;$H29),3,IF(AND($I29&gt;0,U$6&lt;=$G29+($H29-$G29+1)*$I29-1,U$6+6&gt;=$G29),2,IF(AND(U$6&lt;=$H29,U$6+6&gt;=$G29),1,0))))</x:f>
      </x:c>
      <x:c r="V29" s="43" t="str">
        <x:f>IF($C29="","",IF(AND($I29&lt;1,V$6&lt;=$J29,V$6+6&gt;$H29,$J29&gt;$H29),3,IF(AND($I29&gt;0,V$6&lt;=$G29+($H29-$G29+1)*$I29-1,V$6+6&gt;=$G29),2,IF(AND(V$6&lt;=$H29,V$6+6&gt;=$G29),1,0))))</x:f>
      </x:c>
      <x:c r="W29" s="43" t="str">
        <x:f>IF($C29="","",IF(AND($I29&lt;1,W$6&lt;=$J29,W$6+6&gt;$H29,$J29&gt;$H29),3,IF(AND($I29&gt;0,W$6&lt;=$G29+($H29-$G29+1)*$I29-1,W$6+6&gt;=$G29),2,IF(AND(W$6&lt;=$H29,W$6+6&gt;=$G29),1,0))))</x:f>
      </x:c>
      <x:c r="X29" s="43" t="str">
        <x:f>IF($C29="","",IF(AND($I29&lt;1,X$6&lt;=$J29,X$6+6&gt;$H29,$J29&gt;$H29),3,IF(AND($I29&gt;0,X$6&lt;=$G29+($H29-$G29+1)*$I29-1,X$6+6&gt;=$G29),2,IF(AND(X$6&lt;=$H29,X$6+6&gt;=$G29),1,0))))</x:f>
      </x:c>
      <x:c r="Y29" s="43" t="str">
        <x:f>IF($C29="","",IF(AND($I29&lt;1,Y$6&lt;=$J29,Y$6+6&gt;$H29,$J29&gt;$H29),3,IF(AND($I29&gt;0,Y$6&lt;=$G29+($H29-$G29+1)*$I29-1,Y$6+6&gt;=$G29),2,IF(AND(Y$6&lt;=$H29,Y$6+6&gt;=$G29),1,0))))</x:f>
      </x:c>
      <x:c r="Z29" s="43" t="str">
        <x:f>IF($C29="","",IF(AND($I29&lt;1,Z$6&lt;=$J29,Z$6+6&gt;$H29,$J29&gt;$H29),3,IF(AND($I29&gt;0,Z$6&lt;=$G29+($H29-$G29+1)*$I29-1,Z$6+6&gt;=$G29),2,IF(AND(Z$6&lt;=$H29,Z$6+6&gt;=$G29),1,0))))</x:f>
      </x:c>
      <x:c r="AA29" s="43" t="str">
        <x:f>IF($C29="","",IF(AND($I29&lt;1,AA$6&lt;=$J29,AA$6+6&gt;$H29,$J29&gt;$H29),3,IF(AND($I29&gt;0,AA$6&lt;=$G29+($H29-$G29+1)*$I29-1,AA$6+6&gt;=$G29),2,IF(AND(AA$6&lt;=$H29,AA$6+6&gt;=$G29),1,0))))</x:f>
      </x:c>
      <x:c r="AB29" s="43" t="str">
        <x:f>IF($C29="","",IF(AND($I29&lt;1,AB$6&lt;=$J29,AB$6+6&gt;$H29,$J29&gt;$H29),3,IF(AND($I29&gt;0,AB$6&lt;=$G29+($H29-$G29+1)*$I29-1,AB$6+6&gt;=$G29),2,IF(AND(AB$6&lt;=$H29,AB$6+6&gt;=$G29),1,0))))</x:f>
      </x:c>
      <x:c r="AC29" s="43" t="str">
        <x:f>IF($C29="","",IF(AND($I29&lt;1,AC$6&lt;=$J29,AC$6+6&gt;$H29,$J29&gt;$H29),3,IF(AND($I29&gt;0,AC$6&lt;=$G29+($H29-$G29+1)*$I29-1,AC$6+6&gt;=$G29),2,IF(AND(AC$6&lt;=$H29,AC$6+6&gt;=$G29),1,0))))</x:f>
      </x:c>
      <x:c r="AD29" s="43" t="str">
        <x:f>IF($C29="","",IF(AND($I29&lt;1,AD$6&lt;=$J29,AD$6+6&gt;$H29,$J29&gt;$H29),3,IF(AND($I29&gt;0,AD$6&lt;=$G29+($H29-$G29+1)*$I29-1,AD$6+6&gt;=$G29),2,IF(AND(AD$6&lt;=$H29,AD$6+6&gt;=$G29),1,0))))</x:f>
      </x:c>
      <x:c r="AE29" s="43" t="str">
        <x:f>IF($C29="","",IF(AND($I29&lt;1,AE$6&lt;=$J29,AE$6+6&gt;$H29,$J29&gt;$H29),3,IF(AND($I29&gt;0,AE$6&lt;=$G29+($H29-$G29+1)*$I29-1,AE$6+6&gt;=$G29),2,IF(AND(AE$6&lt;=$H29,AE$6+6&gt;=$G29),1,0))))</x:f>
      </x:c>
      <x:c r="AF29" s="43" t="str">
        <x:f>IF($C29="","",IF(AND($I29&lt;1,AF$6&lt;=$J29,AF$6+6&gt;$H29,$J29&gt;$H29),3,IF(AND($I29&gt;0,AF$6&lt;=$G29+($H29-$G29+1)*$I29-1,AF$6+6&gt;=$G29),2,IF(AND(AF$6&lt;=$H29,AF$6+6&gt;=$G29),1,0))))</x:f>
      </x:c>
      <x:c r="AG29" s="43" t="str">
        <x:f>IF($C29="","",IF(AND($I29&lt;1,AG$6&lt;=$J29,AG$6+6&gt;$H29,$J29&gt;$H29),3,IF(AND($I29&gt;0,AG$6&lt;=$G29+($H29-$G29+1)*$I29-1,AG$6+6&gt;=$G29),2,IF(AND(AG$6&lt;=$H29,AG$6+6&gt;=$G29),1,0))))</x:f>
      </x:c>
      <x:c r="AH29" s="43" t="str">
        <x:f>IF($C29="","",IF(AND($I29&lt;1,AH$6&lt;=$J29,AH$6+6&gt;$H29,$J29&gt;$H29),3,IF(AND($I29&gt;0,AH$6&lt;=$G29+($H29-$G29+1)*$I29-1,AH$6+6&gt;=$G29),2,IF(AND(AH$6&lt;=$H29,AH$6+6&gt;=$G29),1,0))))</x:f>
      </x:c>
      <x:c r="AI29" s="43" t="str">
        <x:f>IF($C29="","",IF(AND($I29&lt;1,AI$6&lt;=$J29,AI$6+6&gt;$H29,$J29&gt;$H29),3,IF(AND($I29&gt;0,AI$6&lt;=$G29+($H29-$G29+1)*$I29-1,AI$6+6&gt;=$G29),2,IF(AND(AI$6&lt;=$H29,AI$6+6&gt;=$G29),1,0))))</x:f>
      </x:c>
      <x:c r="AJ29" s="43" t="str">
        <x:f>IF($C29="","",IF(AND($I29&lt;1,AJ$6&lt;=$J29,AJ$6+6&gt;$H29,$J29&gt;$H29),3,IF(AND($I29&gt;0,AJ$6&lt;=$G29+($H29-$G29+1)*$I29-1,AJ$6+6&gt;=$G29),2,IF(AND(AJ$6&lt;=$H29,AJ$6+6&gt;=$G29),1,0))))</x:f>
      </x:c>
      <x:c r="AK29" s="43" t="str">
        <x:f>IF($C29="","",IF(AND($I29&lt;1,AK$6&lt;=$J29,AK$6+6&gt;$H29,$J29&gt;$H29),3,IF(AND($I29&gt;0,AK$6&lt;=$G29+($H29-$G29+1)*$I29-1,AK$6+6&gt;=$G29),2,IF(AND(AK$6&lt;=$H29,AK$6+6&gt;=$G29),1,0))))</x:f>
      </x:c>
    </x:row>
    <x:row r="30" ht="22" customHeight="1">
      <x:c r="A30" s="2"/>
      <x:c r="B30" s="2" t="n">
        <x:v>24</x:v>
      </x:c>
      <x:c r="C30" s="2" t="str">
        <x:f>IF($B30&gt;INDEX('Portfoy'!$U$7:$U$26,MATCH('Panel'!$C$5,'Portfoy'!$A$7:$A$26,0)),"",INDEX('Gorevler'!$A$7:$A$206,MATCH($B30,'Gorevler'!$S$7:$S$206,0)))</x:f>
      </x:c>
      <x:c r="D30" s="2" t="str">
        <x:f>IF($B30&gt;INDEX('Portfoy'!$U$7:$U$26,MATCH('Panel'!$C$5,'Portfoy'!$A$7:$A$26,0)),"",INDEX('Gorevler'!$C$7:$C$206,MATCH($B30,'Gorevler'!$S$7:$S$206,0)))</x:f>
      </x:c>
      <x:c r="E30" s="2" t="str">
        <x:f>IF($B30&gt;INDEX('Portfoy'!$U$7:$U$26,MATCH('Panel'!$C$5,'Portfoy'!$A$7:$A$26,0)),"",INDEX('Gorevler'!$D$7:$D$206,MATCH($B30,'Gorevler'!$S$7:$S$206,0)))</x:f>
      </x:c>
      <x:c r="F30" s="2" t="str">
        <x:f>IF($B30&gt;INDEX('Portfoy'!$U$7:$U$26,MATCH('Panel'!$C$5,'Portfoy'!$A$7:$A$26,0)),"",INDEX('Gorevler'!$K$7:$K$206,MATCH($B30,'Gorevler'!$S$7:$S$206,0)))</x:f>
      </x:c>
      <x:c r="G30" s="5" t="str">
        <x:f>IF($B30&gt;INDEX('Portfoy'!$U$7:$U$26,MATCH('Panel'!$C$5,'Portfoy'!$A$7:$A$26,0)),"",INDEX('Gorevler'!$F$7:$F$206,MATCH($B30,'Gorevler'!$S$7:$S$206,0)))</x:f>
      </x:c>
      <x:c r="H30" s="5" t="str">
        <x:f>IF($B30&gt;INDEX('Portfoy'!$U$7:$U$26,MATCH('Panel'!$C$5,'Portfoy'!$A$7:$A$26,0)),"",INDEX('Gorevler'!$G$7:$G$206,MATCH($B30,'Gorevler'!$S$7:$S$206,0)))</x:f>
      </x:c>
      <x:c r="I30" s="37" t="str">
        <x:f>IF($B30&gt;INDEX('Portfoy'!$U$7:$U$26,MATCH('Panel'!$C$5,'Portfoy'!$A$7:$A$26,0)),"",INDEX('Gorevler'!$I$7:$I$206,MATCH($B30,'Gorevler'!$S$7:$S$206,0)))</x:f>
      </x:c>
      <x:c r="J30" s="5" t="str">
        <x:f>IF($B30&gt;INDEX('Portfoy'!$U$7:$U$26,MATCH('Panel'!$C$5,'Portfoy'!$A$7:$A$26,0)),"",INDEX('Gorevler'!$J$7:$J$206,MATCH($B30,'Gorevler'!$S$7:$S$206,0)))</x:f>
      </x:c>
      <x:c r="K30" s="2"/>
      <x:c r="L30" s="43" t="str">
        <x:f>IF($C30="","",IF(AND($I30&lt;1,L$6&lt;=$J30,L$6+6&gt;$H30,$J30&gt;$H30),3,IF(AND($I30&gt;0,L$6&lt;=$G30+($H30-$G30+1)*$I30-1,L$6+6&gt;=$G30),2,IF(AND(L$6&lt;=$H30,L$6+6&gt;=$G30),1,0))))</x:f>
      </x:c>
      <x:c r="M30" s="43" t="str">
        <x:f>IF($C30="","",IF(AND($I30&lt;1,M$6&lt;=$J30,M$6+6&gt;$H30,$J30&gt;$H30),3,IF(AND($I30&gt;0,M$6&lt;=$G30+($H30-$G30+1)*$I30-1,M$6+6&gt;=$G30),2,IF(AND(M$6&lt;=$H30,M$6+6&gt;=$G30),1,0))))</x:f>
      </x:c>
      <x:c r="N30" s="43" t="str">
        <x:f>IF($C30="","",IF(AND($I30&lt;1,N$6&lt;=$J30,N$6+6&gt;$H30,$J30&gt;$H30),3,IF(AND($I30&gt;0,N$6&lt;=$G30+($H30-$G30+1)*$I30-1,N$6+6&gt;=$G30),2,IF(AND(N$6&lt;=$H30,N$6+6&gt;=$G30),1,0))))</x:f>
      </x:c>
      <x:c r="O30" s="43" t="str">
        <x:f>IF($C30="","",IF(AND($I30&lt;1,O$6&lt;=$J30,O$6+6&gt;$H30,$J30&gt;$H30),3,IF(AND($I30&gt;0,O$6&lt;=$G30+($H30-$G30+1)*$I30-1,O$6+6&gt;=$G30),2,IF(AND(O$6&lt;=$H30,O$6+6&gt;=$G30),1,0))))</x:f>
      </x:c>
      <x:c r="P30" s="43" t="str">
        <x:f>IF($C30="","",IF(AND($I30&lt;1,P$6&lt;=$J30,P$6+6&gt;$H30,$J30&gt;$H30),3,IF(AND($I30&gt;0,P$6&lt;=$G30+($H30-$G30+1)*$I30-1,P$6+6&gt;=$G30),2,IF(AND(P$6&lt;=$H30,P$6+6&gt;=$G30),1,0))))</x:f>
      </x:c>
      <x:c r="Q30" s="43" t="str">
        <x:f>IF($C30="","",IF(AND($I30&lt;1,Q$6&lt;=$J30,Q$6+6&gt;$H30,$J30&gt;$H30),3,IF(AND($I30&gt;0,Q$6&lt;=$G30+($H30-$G30+1)*$I30-1,Q$6+6&gt;=$G30),2,IF(AND(Q$6&lt;=$H30,Q$6+6&gt;=$G30),1,0))))</x:f>
      </x:c>
      <x:c r="R30" s="43" t="str">
        <x:f>IF($C30="","",IF(AND($I30&lt;1,R$6&lt;=$J30,R$6+6&gt;$H30,$J30&gt;$H30),3,IF(AND($I30&gt;0,R$6&lt;=$G30+($H30-$G30+1)*$I30-1,R$6+6&gt;=$G30),2,IF(AND(R$6&lt;=$H30,R$6+6&gt;=$G30),1,0))))</x:f>
      </x:c>
      <x:c r="S30" s="43" t="str">
        <x:f>IF($C30="","",IF(AND($I30&lt;1,S$6&lt;=$J30,S$6+6&gt;$H30,$J30&gt;$H30),3,IF(AND($I30&gt;0,S$6&lt;=$G30+($H30-$G30+1)*$I30-1,S$6+6&gt;=$G30),2,IF(AND(S$6&lt;=$H30,S$6+6&gt;=$G30),1,0))))</x:f>
      </x:c>
      <x:c r="T30" s="43" t="str">
        <x:f>IF($C30="","",IF(AND($I30&lt;1,T$6&lt;=$J30,T$6+6&gt;$H30,$J30&gt;$H30),3,IF(AND($I30&gt;0,T$6&lt;=$G30+($H30-$G30+1)*$I30-1,T$6+6&gt;=$G30),2,IF(AND(T$6&lt;=$H30,T$6+6&gt;=$G30),1,0))))</x:f>
      </x:c>
      <x:c r="U30" s="43" t="str">
        <x:f>IF($C30="","",IF(AND($I30&lt;1,U$6&lt;=$J30,U$6+6&gt;$H30,$J30&gt;$H30),3,IF(AND($I30&gt;0,U$6&lt;=$G30+($H30-$G30+1)*$I30-1,U$6+6&gt;=$G30),2,IF(AND(U$6&lt;=$H30,U$6+6&gt;=$G30),1,0))))</x:f>
      </x:c>
      <x:c r="V30" s="43" t="str">
        <x:f>IF($C30="","",IF(AND($I30&lt;1,V$6&lt;=$J30,V$6+6&gt;$H30,$J30&gt;$H30),3,IF(AND($I30&gt;0,V$6&lt;=$G30+($H30-$G30+1)*$I30-1,V$6+6&gt;=$G30),2,IF(AND(V$6&lt;=$H30,V$6+6&gt;=$G30),1,0))))</x:f>
      </x:c>
      <x:c r="W30" s="43" t="str">
        <x:f>IF($C30="","",IF(AND($I30&lt;1,W$6&lt;=$J30,W$6+6&gt;$H30,$J30&gt;$H30),3,IF(AND($I30&gt;0,W$6&lt;=$G30+($H30-$G30+1)*$I30-1,W$6+6&gt;=$G30),2,IF(AND(W$6&lt;=$H30,W$6+6&gt;=$G30),1,0))))</x:f>
      </x:c>
      <x:c r="X30" s="43" t="str">
        <x:f>IF($C30="","",IF(AND($I30&lt;1,X$6&lt;=$J30,X$6+6&gt;$H30,$J30&gt;$H30),3,IF(AND($I30&gt;0,X$6&lt;=$G30+($H30-$G30+1)*$I30-1,X$6+6&gt;=$G30),2,IF(AND(X$6&lt;=$H30,X$6+6&gt;=$G30),1,0))))</x:f>
      </x:c>
      <x:c r="Y30" s="43" t="str">
        <x:f>IF($C30="","",IF(AND($I30&lt;1,Y$6&lt;=$J30,Y$6+6&gt;$H30,$J30&gt;$H30),3,IF(AND($I30&gt;0,Y$6&lt;=$G30+($H30-$G30+1)*$I30-1,Y$6+6&gt;=$G30),2,IF(AND(Y$6&lt;=$H30,Y$6+6&gt;=$G30),1,0))))</x:f>
      </x:c>
      <x:c r="Z30" s="43" t="str">
        <x:f>IF($C30="","",IF(AND($I30&lt;1,Z$6&lt;=$J30,Z$6+6&gt;$H30,$J30&gt;$H30),3,IF(AND($I30&gt;0,Z$6&lt;=$G30+($H30-$G30+1)*$I30-1,Z$6+6&gt;=$G30),2,IF(AND(Z$6&lt;=$H30,Z$6+6&gt;=$G30),1,0))))</x:f>
      </x:c>
      <x:c r="AA30" s="43" t="str">
        <x:f>IF($C30="","",IF(AND($I30&lt;1,AA$6&lt;=$J30,AA$6+6&gt;$H30,$J30&gt;$H30),3,IF(AND($I30&gt;0,AA$6&lt;=$G30+($H30-$G30+1)*$I30-1,AA$6+6&gt;=$G30),2,IF(AND(AA$6&lt;=$H30,AA$6+6&gt;=$G30),1,0))))</x:f>
      </x:c>
      <x:c r="AB30" s="43" t="str">
        <x:f>IF($C30="","",IF(AND($I30&lt;1,AB$6&lt;=$J30,AB$6+6&gt;$H30,$J30&gt;$H30),3,IF(AND($I30&gt;0,AB$6&lt;=$G30+($H30-$G30+1)*$I30-1,AB$6+6&gt;=$G30),2,IF(AND(AB$6&lt;=$H30,AB$6+6&gt;=$G30),1,0))))</x:f>
      </x:c>
      <x:c r="AC30" s="43" t="str">
        <x:f>IF($C30="","",IF(AND($I30&lt;1,AC$6&lt;=$J30,AC$6+6&gt;$H30,$J30&gt;$H30),3,IF(AND($I30&gt;0,AC$6&lt;=$G30+($H30-$G30+1)*$I30-1,AC$6+6&gt;=$G30),2,IF(AND(AC$6&lt;=$H30,AC$6+6&gt;=$G30),1,0))))</x:f>
      </x:c>
      <x:c r="AD30" s="43" t="str">
        <x:f>IF($C30="","",IF(AND($I30&lt;1,AD$6&lt;=$J30,AD$6+6&gt;$H30,$J30&gt;$H30),3,IF(AND($I30&gt;0,AD$6&lt;=$G30+($H30-$G30+1)*$I30-1,AD$6+6&gt;=$G30),2,IF(AND(AD$6&lt;=$H30,AD$6+6&gt;=$G30),1,0))))</x:f>
      </x:c>
      <x:c r="AE30" s="43" t="str">
        <x:f>IF($C30="","",IF(AND($I30&lt;1,AE$6&lt;=$J30,AE$6+6&gt;$H30,$J30&gt;$H30),3,IF(AND($I30&gt;0,AE$6&lt;=$G30+($H30-$G30+1)*$I30-1,AE$6+6&gt;=$G30),2,IF(AND(AE$6&lt;=$H30,AE$6+6&gt;=$G30),1,0))))</x:f>
      </x:c>
      <x:c r="AF30" s="43" t="str">
        <x:f>IF($C30="","",IF(AND($I30&lt;1,AF$6&lt;=$J30,AF$6+6&gt;$H30,$J30&gt;$H30),3,IF(AND($I30&gt;0,AF$6&lt;=$G30+($H30-$G30+1)*$I30-1,AF$6+6&gt;=$G30),2,IF(AND(AF$6&lt;=$H30,AF$6+6&gt;=$G30),1,0))))</x:f>
      </x:c>
      <x:c r="AG30" s="43" t="str">
        <x:f>IF($C30="","",IF(AND($I30&lt;1,AG$6&lt;=$J30,AG$6+6&gt;$H30,$J30&gt;$H30),3,IF(AND($I30&gt;0,AG$6&lt;=$G30+($H30-$G30+1)*$I30-1,AG$6+6&gt;=$G30),2,IF(AND(AG$6&lt;=$H30,AG$6+6&gt;=$G30),1,0))))</x:f>
      </x:c>
      <x:c r="AH30" s="43" t="str">
        <x:f>IF($C30="","",IF(AND($I30&lt;1,AH$6&lt;=$J30,AH$6+6&gt;$H30,$J30&gt;$H30),3,IF(AND($I30&gt;0,AH$6&lt;=$G30+($H30-$G30+1)*$I30-1,AH$6+6&gt;=$G30),2,IF(AND(AH$6&lt;=$H30,AH$6+6&gt;=$G30),1,0))))</x:f>
      </x:c>
      <x:c r="AI30" s="43" t="str">
        <x:f>IF($C30="","",IF(AND($I30&lt;1,AI$6&lt;=$J30,AI$6+6&gt;$H30,$J30&gt;$H30),3,IF(AND($I30&gt;0,AI$6&lt;=$G30+($H30-$G30+1)*$I30-1,AI$6+6&gt;=$G30),2,IF(AND(AI$6&lt;=$H30,AI$6+6&gt;=$G30),1,0))))</x:f>
      </x:c>
      <x:c r="AJ30" s="43" t="str">
        <x:f>IF($C30="","",IF(AND($I30&lt;1,AJ$6&lt;=$J30,AJ$6+6&gt;$H30,$J30&gt;$H30),3,IF(AND($I30&gt;0,AJ$6&lt;=$G30+($H30-$G30+1)*$I30-1,AJ$6+6&gt;=$G30),2,IF(AND(AJ$6&lt;=$H30,AJ$6+6&gt;=$G30),1,0))))</x:f>
      </x:c>
      <x:c r="AK30" s="43" t="str">
        <x:f>IF($C30="","",IF(AND($I30&lt;1,AK$6&lt;=$J30,AK$6+6&gt;$H30,$J30&gt;$H30),3,IF(AND($I30&gt;0,AK$6&lt;=$G30+($H30-$G30+1)*$I30-1,AK$6+6&gt;=$G30),2,IF(AND(AK$6&lt;=$H30,AK$6+6&gt;=$G30),1,0))))</x:f>
      </x:c>
    </x:row>
    <x:row r="31" ht="22" customHeight="1">
      <x:c r="A31" s="2"/>
      <x:c r="B31" s="2" t="n">
        <x:v>25</x:v>
      </x:c>
      <x:c r="C31" s="2" t="str">
        <x:f>IF($B31&gt;INDEX('Portfoy'!$U$7:$U$26,MATCH('Panel'!$C$5,'Portfoy'!$A$7:$A$26,0)),"",INDEX('Gorevler'!$A$7:$A$206,MATCH($B31,'Gorevler'!$S$7:$S$206,0)))</x:f>
      </x:c>
      <x:c r="D31" s="2" t="str">
        <x:f>IF($B31&gt;INDEX('Portfoy'!$U$7:$U$26,MATCH('Panel'!$C$5,'Portfoy'!$A$7:$A$26,0)),"",INDEX('Gorevler'!$C$7:$C$206,MATCH($B31,'Gorevler'!$S$7:$S$206,0)))</x:f>
      </x:c>
      <x:c r="E31" s="2" t="str">
        <x:f>IF($B31&gt;INDEX('Portfoy'!$U$7:$U$26,MATCH('Panel'!$C$5,'Portfoy'!$A$7:$A$26,0)),"",INDEX('Gorevler'!$D$7:$D$206,MATCH($B31,'Gorevler'!$S$7:$S$206,0)))</x:f>
      </x:c>
      <x:c r="F31" s="2" t="str">
        <x:f>IF($B31&gt;INDEX('Portfoy'!$U$7:$U$26,MATCH('Panel'!$C$5,'Portfoy'!$A$7:$A$26,0)),"",INDEX('Gorevler'!$K$7:$K$206,MATCH($B31,'Gorevler'!$S$7:$S$206,0)))</x:f>
      </x:c>
      <x:c r="G31" s="5" t="str">
        <x:f>IF($B31&gt;INDEX('Portfoy'!$U$7:$U$26,MATCH('Panel'!$C$5,'Portfoy'!$A$7:$A$26,0)),"",INDEX('Gorevler'!$F$7:$F$206,MATCH($B31,'Gorevler'!$S$7:$S$206,0)))</x:f>
      </x:c>
      <x:c r="H31" s="5" t="str">
        <x:f>IF($B31&gt;INDEX('Portfoy'!$U$7:$U$26,MATCH('Panel'!$C$5,'Portfoy'!$A$7:$A$26,0)),"",INDEX('Gorevler'!$G$7:$G$206,MATCH($B31,'Gorevler'!$S$7:$S$206,0)))</x:f>
      </x:c>
      <x:c r="I31" s="37" t="str">
        <x:f>IF($B31&gt;INDEX('Portfoy'!$U$7:$U$26,MATCH('Panel'!$C$5,'Portfoy'!$A$7:$A$26,0)),"",INDEX('Gorevler'!$I$7:$I$206,MATCH($B31,'Gorevler'!$S$7:$S$206,0)))</x:f>
      </x:c>
      <x:c r="J31" s="5" t="str">
        <x:f>IF($B31&gt;INDEX('Portfoy'!$U$7:$U$26,MATCH('Panel'!$C$5,'Portfoy'!$A$7:$A$26,0)),"",INDEX('Gorevler'!$J$7:$J$206,MATCH($B31,'Gorevler'!$S$7:$S$206,0)))</x:f>
      </x:c>
      <x:c r="K31" s="2"/>
      <x:c r="L31" s="43" t="str">
        <x:f>IF($C31="","",IF(AND($I31&lt;1,L$6&lt;=$J31,L$6+6&gt;$H31,$J31&gt;$H31),3,IF(AND($I31&gt;0,L$6&lt;=$G31+($H31-$G31+1)*$I31-1,L$6+6&gt;=$G31),2,IF(AND(L$6&lt;=$H31,L$6+6&gt;=$G31),1,0))))</x:f>
      </x:c>
      <x:c r="M31" s="43" t="str">
        <x:f>IF($C31="","",IF(AND($I31&lt;1,M$6&lt;=$J31,M$6+6&gt;$H31,$J31&gt;$H31),3,IF(AND($I31&gt;0,M$6&lt;=$G31+($H31-$G31+1)*$I31-1,M$6+6&gt;=$G31),2,IF(AND(M$6&lt;=$H31,M$6+6&gt;=$G31),1,0))))</x:f>
      </x:c>
      <x:c r="N31" s="43" t="str">
        <x:f>IF($C31="","",IF(AND($I31&lt;1,N$6&lt;=$J31,N$6+6&gt;$H31,$J31&gt;$H31),3,IF(AND($I31&gt;0,N$6&lt;=$G31+($H31-$G31+1)*$I31-1,N$6+6&gt;=$G31),2,IF(AND(N$6&lt;=$H31,N$6+6&gt;=$G31),1,0))))</x:f>
      </x:c>
      <x:c r="O31" s="43" t="str">
        <x:f>IF($C31="","",IF(AND($I31&lt;1,O$6&lt;=$J31,O$6+6&gt;$H31,$J31&gt;$H31),3,IF(AND($I31&gt;0,O$6&lt;=$G31+($H31-$G31+1)*$I31-1,O$6+6&gt;=$G31),2,IF(AND(O$6&lt;=$H31,O$6+6&gt;=$G31),1,0))))</x:f>
      </x:c>
      <x:c r="P31" s="43" t="str">
        <x:f>IF($C31="","",IF(AND($I31&lt;1,P$6&lt;=$J31,P$6+6&gt;$H31,$J31&gt;$H31),3,IF(AND($I31&gt;0,P$6&lt;=$G31+($H31-$G31+1)*$I31-1,P$6+6&gt;=$G31),2,IF(AND(P$6&lt;=$H31,P$6+6&gt;=$G31),1,0))))</x:f>
      </x:c>
      <x:c r="Q31" s="43" t="str">
        <x:f>IF($C31="","",IF(AND($I31&lt;1,Q$6&lt;=$J31,Q$6+6&gt;$H31,$J31&gt;$H31),3,IF(AND($I31&gt;0,Q$6&lt;=$G31+($H31-$G31+1)*$I31-1,Q$6+6&gt;=$G31),2,IF(AND(Q$6&lt;=$H31,Q$6+6&gt;=$G31),1,0))))</x:f>
      </x:c>
      <x:c r="R31" s="43" t="str">
        <x:f>IF($C31="","",IF(AND($I31&lt;1,R$6&lt;=$J31,R$6+6&gt;$H31,$J31&gt;$H31),3,IF(AND($I31&gt;0,R$6&lt;=$G31+($H31-$G31+1)*$I31-1,R$6+6&gt;=$G31),2,IF(AND(R$6&lt;=$H31,R$6+6&gt;=$G31),1,0))))</x:f>
      </x:c>
      <x:c r="S31" s="43" t="str">
        <x:f>IF($C31="","",IF(AND($I31&lt;1,S$6&lt;=$J31,S$6+6&gt;$H31,$J31&gt;$H31),3,IF(AND($I31&gt;0,S$6&lt;=$G31+($H31-$G31+1)*$I31-1,S$6+6&gt;=$G31),2,IF(AND(S$6&lt;=$H31,S$6+6&gt;=$G31),1,0))))</x:f>
      </x:c>
      <x:c r="T31" s="43" t="str">
        <x:f>IF($C31="","",IF(AND($I31&lt;1,T$6&lt;=$J31,T$6+6&gt;$H31,$J31&gt;$H31),3,IF(AND($I31&gt;0,T$6&lt;=$G31+($H31-$G31+1)*$I31-1,T$6+6&gt;=$G31),2,IF(AND(T$6&lt;=$H31,T$6+6&gt;=$G31),1,0))))</x:f>
      </x:c>
      <x:c r="U31" s="43" t="str">
        <x:f>IF($C31="","",IF(AND($I31&lt;1,U$6&lt;=$J31,U$6+6&gt;$H31,$J31&gt;$H31),3,IF(AND($I31&gt;0,U$6&lt;=$G31+($H31-$G31+1)*$I31-1,U$6+6&gt;=$G31),2,IF(AND(U$6&lt;=$H31,U$6+6&gt;=$G31),1,0))))</x:f>
      </x:c>
      <x:c r="V31" s="43" t="str">
        <x:f>IF($C31="","",IF(AND($I31&lt;1,V$6&lt;=$J31,V$6+6&gt;$H31,$J31&gt;$H31),3,IF(AND($I31&gt;0,V$6&lt;=$G31+($H31-$G31+1)*$I31-1,V$6+6&gt;=$G31),2,IF(AND(V$6&lt;=$H31,V$6+6&gt;=$G31),1,0))))</x:f>
      </x:c>
      <x:c r="W31" s="43" t="str">
        <x:f>IF($C31="","",IF(AND($I31&lt;1,W$6&lt;=$J31,W$6+6&gt;$H31,$J31&gt;$H31),3,IF(AND($I31&gt;0,W$6&lt;=$G31+($H31-$G31+1)*$I31-1,W$6+6&gt;=$G31),2,IF(AND(W$6&lt;=$H31,W$6+6&gt;=$G31),1,0))))</x:f>
      </x:c>
      <x:c r="X31" s="43" t="str">
        <x:f>IF($C31="","",IF(AND($I31&lt;1,X$6&lt;=$J31,X$6+6&gt;$H31,$J31&gt;$H31),3,IF(AND($I31&gt;0,X$6&lt;=$G31+($H31-$G31+1)*$I31-1,X$6+6&gt;=$G31),2,IF(AND(X$6&lt;=$H31,X$6+6&gt;=$G31),1,0))))</x:f>
      </x:c>
      <x:c r="Y31" s="43" t="str">
        <x:f>IF($C31="","",IF(AND($I31&lt;1,Y$6&lt;=$J31,Y$6+6&gt;$H31,$J31&gt;$H31),3,IF(AND($I31&gt;0,Y$6&lt;=$G31+($H31-$G31+1)*$I31-1,Y$6+6&gt;=$G31),2,IF(AND(Y$6&lt;=$H31,Y$6+6&gt;=$G31),1,0))))</x:f>
      </x:c>
      <x:c r="Z31" s="43" t="str">
        <x:f>IF($C31="","",IF(AND($I31&lt;1,Z$6&lt;=$J31,Z$6+6&gt;$H31,$J31&gt;$H31),3,IF(AND($I31&gt;0,Z$6&lt;=$G31+($H31-$G31+1)*$I31-1,Z$6+6&gt;=$G31),2,IF(AND(Z$6&lt;=$H31,Z$6+6&gt;=$G31),1,0))))</x:f>
      </x:c>
      <x:c r="AA31" s="43" t="str">
        <x:f>IF($C31="","",IF(AND($I31&lt;1,AA$6&lt;=$J31,AA$6+6&gt;$H31,$J31&gt;$H31),3,IF(AND($I31&gt;0,AA$6&lt;=$G31+($H31-$G31+1)*$I31-1,AA$6+6&gt;=$G31),2,IF(AND(AA$6&lt;=$H31,AA$6+6&gt;=$G31),1,0))))</x:f>
      </x:c>
      <x:c r="AB31" s="43" t="str">
        <x:f>IF($C31="","",IF(AND($I31&lt;1,AB$6&lt;=$J31,AB$6+6&gt;$H31,$J31&gt;$H31),3,IF(AND($I31&gt;0,AB$6&lt;=$G31+($H31-$G31+1)*$I31-1,AB$6+6&gt;=$G31),2,IF(AND(AB$6&lt;=$H31,AB$6+6&gt;=$G31),1,0))))</x:f>
      </x:c>
      <x:c r="AC31" s="43" t="str">
        <x:f>IF($C31="","",IF(AND($I31&lt;1,AC$6&lt;=$J31,AC$6+6&gt;$H31,$J31&gt;$H31),3,IF(AND($I31&gt;0,AC$6&lt;=$G31+($H31-$G31+1)*$I31-1,AC$6+6&gt;=$G31),2,IF(AND(AC$6&lt;=$H31,AC$6+6&gt;=$G31),1,0))))</x:f>
      </x:c>
      <x:c r="AD31" s="43" t="str">
        <x:f>IF($C31="","",IF(AND($I31&lt;1,AD$6&lt;=$J31,AD$6+6&gt;$H31,$J31&gt;$H31),3,IF(AND($I31&gt;0,AD$6&lt;=$G31+($H31-$G31+1)*$I31-1,AD$6+6&gt;=$G31),2,IF(AND(AD$6&lt;=$H31,AD$6+6&gt;=$G31),1,0))))</x:f>
      </x:c>
      <x:c r="AE31" s="43" t="str">
        <x:f>IF($C31="","",IF(AND($I31&lt;1,AE$6&lt;=$J31,AE$6+6&gt;$H31,$J31&gt;$H31),3,IF(AND($I31&gt;0,AE$6&lt;=$G31+($H31-$G31+1)*$I31-1,AE$6+6&gt;=$G31),2,IF(AND(AE$6&lt;=$H31,AE$6+6&gt;=$G31),1,0))))</x:f>
      </x:c>
      <x:c r="AF31" s="43" t="str">
        <x:f>IF($C31="","",IF(AND($I31&lt;1,AF$6&lt;=$J31,AF$6+6&gt;$H31,$J31&gt;$H31),3,IF(AND($I31&gt;0,AF$6&lt;=$G31+($H31-$G31+1)*$I31-1,AF$6+6&gt;=$G31),2,IF(AND(AF$6&lt;=$H31,AF$6+6&gt;=$G31),1,0))))</x:f>
      </x:c>
      <x:c r="AG31" s="43" t="str">
        <x:f>IF($C31="","",IF(AND($I31&lt;1,AG$6&lt;=$J31,AG$6+6&gt;$H31,$J31&gt;$H31),3,IF(AND($I31&gt;0,AG$6&lt;=$G31+($H31-$G31+1)*$I31-1,AG$6+6&gt;=$G31),2,IF(AND(AG$6&lt;=$H31,AG$6+6&gt;=$G31),1,0))))</x:f>
      </x:c>
      <x:c r="AH31" s="43" t="str">
        <x:f>IF($C31="","",IF(AND($I31&lt;1,AH$6&lt;=$J31,AH$6+6&gt;$H31,$J31&gt;$H31),3,IF(AND($I31&gt;0,AH$6&lt;=$G31+($H31-$G31+1)*$I31-1,AH$6+6&gt;=$G31),2,IF(AND(AH$6&lt;=$H31,AH$6+6&gt;=$G31),1,0))))</x:f>
      </x:c>
      <x:c r="AI31" s="43" t="str">
        <x:f>IF($C31="","",IF(AND($I31&lt;1,AI$6&lt;=$J31,AI$6+6&gt;$H31,$J31&gt;$H31),3,IF(AND($I31&gt;0,AI$6&lt;=$G31+($H31-$G31+1)*$I31-1,AI$6+6&gt;=$G31),2,IF(AND(AI$6&lt;=$H31,AI$6+6&gt;=$G31),1,0))))</x:f>
      </x:c>
      <x:c r="AJ31" s="43" t="str">
        <x:f>IF($C31="","",IF(AND($I31&lt;1,AJ$6&lt;=$J31,AJ$6+6&gt;$H31,$J31&gt;$H31),3,IF(AND($I31&gt;0,AJ$6&lt;=$G31+($H31-$G31+1)*$I31-1,AJ$6+6&gt;=$G31),2,IF(AND(AJ$6&lt;=$H31,AJ$6+6&gt;=$G31),1,0))))</x:f>
      </x:c>
      <x:c r="AK31" s="43" t="str">
        <x:f>IF($C31="","",IF(AND($I31&lt;1,AK$6&lt;=$J31,AK$6+6&gt;$H31,$J31&gt;$H31),3,IF(AND($I31&gt;0,AK$6&lt;=$G31+($H31-$G31+1)*$I31-1,AK$6+6&gt;=$G31),2,IF(AND(AK$6&lt;=$H31,AK$6+6&gt;=$G31),1,0))))</x:f>
      </x:c>
    </x:row>
    <x:row r="32" ht="22" customHeight="1">
      <x:c r="A32" s="2"/>
      <x:c r="B32" s="2" t="n">
        <x:v>26</x:v>
      </x:c>
      <x:c r="C32" s="2" t="str">
        <x:f>IF($B32&gt;INDEX('Portfoy'!$U$7:$U$26,MATCH('Panel'!$C$5,'Portfoy'!$A$7:$A$26,0)),"",INDEX('Gorevler'!$A$7:$A$206,MATCH($B32,'Gorevler'!$S$7:$S$206,0)))</x:f>
      </x:c>
      <x:c r="D32" s="2" t="str">
        <x:f>IF($B32&gt;INDEX('Portfoy'!$U$7:$U$26,MATCH('Panel'!$C$5,'Portfoy'!$A$7:$A$26,0)),"",INDEX('Gorevler'!$C$7:$C$206,MATCH($B32,'Gorevler'!$S$7:$S$206,0)))</x:f>
      </x:c>
      <x:c r="E32" s="2" t="str">
        <x:f>IF($B32&gt;INDEX('Portfoy'!$U$7:$U$26,MATCH('Panel'!$C$5,'Portfoy'!$A$7:$A$26,0)),"",INDEX('Gorevler'!$D$7:$D$206,MATCH($B32,'Gorevler'!$S$7:$S$206,0)))</x:f>
      </x:c>
      <x:c r="F32" s="2" t="str">
        <x:f>IF($B32&gt;INDEX('Portfoy'!$U$7:$U$26,MATCH('Panel'!$C$5,'Portfoy'!$A$7:$A$26,0)),"",INDEX('Gorevler'!$K$7:$K$206,MATCH($B32,'Gorevler'!$S$7:$S$206,0)))</x:f>
      </x:c>
      <x:c r="G32" s="5" t="str">
        <x:f>IF($B32&gt;INDEX('Portfoy'!$U$7:$U$26,MATCH('Panel'!$C$5,'Portfoy'!$A$7:$A$26,0)),"",INDEX('Gorevler'!$F$7:$F$206,MATCH($B32,'Gorevler'!$S$7:$S$206,0)))</x:f>
      </x:c>
      <x:c r="H32" s="5" t="str">
        <x:f>IF($B32&gt;INDEX('Portfoy'!$U$7:$U$26,MATCH('Panel'!$C$5,'Portfoy'!$A$7:$A$26,0)),"",INDEX('Gorevler'!$G$7:$G$206,MATCH($B32,'Gorevler'!$S$7:$S$206,0)))</x:f>
      </x:c>
      <x:c r="I32" s="37" t="str">
        <x:f>IF($B32&gt;INDEX('Portfoy'!$U$7:$U$26,MATCH('Panel'!$C$5,'Portfoy'!$A$7:$A$26,0)),"",INDEX('Gorevler'!$I$7:$I$206,MATCH($B32,'Gorevler'!$S$7:$S$206,0)))</x:f>
      </x:c>
      <x:c r="J32" s="5" t="str">
        <x:f>IF($B32&gt;INDEX('Portfoy'!$U$7:$U$26,MATCH('Panel'!$C$5,'Portfoy'!$A$7:$A$26,0)),"",INDEX('Gorevler'!$J$7:$J$206,MATCH($B32,'Gorevler'!$S$7:$S$206,0)))</x:f>
      </x:c>
      <x:c r="K32" s="2"/>
      <x:c r="L32" s="43" t="str">
        <x:f>IF($C32="","",IF(AND($I32&lt;1,L$6&lt;=$J32,L$6+6&gt;$H32,$J32&gt;$H32),3,IF(AND($I32&gt;0,L$6&lt;=$G32+($H32-$G32+1)*$I32-1,L$6+6&gt;=$G32),2,IF(AND(L$6&lt;=$H32,L$6+6&gt;=$G32),1,0))))</x:f>
      </x:c>
      <x:c r="M32" s="43" t="str">
        <x:f>IF($C32="","",IF(AND($I32&lt;1,M$6&lt;=$J32,M$6+6&gt;$H32,$J32&gt;$H32),3,IF(AND($I32&gt;0,M$6&lt;=$G32+($H32-$G32+1)*$I32-1,M$6+6&gt;=$G32),2,IF(AND(M$6&lt;=$H32,M$6+6&gt;=$G32),1,0))))</x:f>
      </x:c>
      <x:c r="N32" s="43" t="str">
        <x:f>IF($C32="","",IF(AND($I32&lt;1,N$6&lt;=$J32,N$6+6&gt;$H32,$J32&gt;$H32),3,IF(AND($I32&gt;0,N$6&lt;=$G32+($H32-$G32+1)*$I32-1,N$6+6&gt;=$G32),2,IF(AND(N$6&lt;=$H32,N$6+6&gt;=$G32),1,0))))</x:f>
      </x:c>
      <x:c r="O32" s="43" t="str">
        <x:f>IF($C32="","",IF(AND($I32&lt;1,O$6&lt;=$J32,O$6+6&gt;$H32,$J32&gt;$H32),3,IF(AND($I32&gt;0,O$6&lt;=$G32+($H32-$G32+1)*$I32-1,O$6+6&gt;=$G32),2,IF(AND(O$6&lt;=$H32,O$6+6&gt;=$G32),1,0))))</x:f>
      </x:c>
      <x:c r="P32" s="43" t="str">
        <x:f>IF($C32="","",IF(AND($I32&lt;1,P$6&lt;=$J32,P$6+6&gt;$H32,$J32&gt;$H32),3,IF(AND($I32&gt;0,P$6&lt;=$G32+($H32-$G32+1)*$I32-1,P$6+6&gt;=$G32),2,IF(AND(P$6&lt;=$H32,P$6+6&gt;=$G32),1,0))))</x:f>
      </x:c>
      <x:c r="Q32" s="43" t="str">
        <x:f>IF($C32="","",IF(AND($I32&lt;1,Q$6&lt;=$J32,Q$6+6&gt;$H32,$J32&gt;$H32),3,IF(AND($I32&gt;0,Q$6&lt;=$G32+($H32-$G32+1)*$I32-1,Q$6+6&gt;=$G32),2,IF(AND(Q$6&lt;=$H32,Q$6+6&gt;=$G32),1,0))))</x:f>
      </x:c>
      <x:c r="R32" s="43" t="str">
        <x:f>IF($C32="","",IF(AND($I32&lt;1,R$6&lt;=$J32,R$6+6&gt;$H32,$J32&gt;$H32),3,IF(AND($I32&gt;0,R$6&lt;=$G32+($H32-$G32+1)*$I32-1,R$6+6&gt;=$G32),2,IF(AND(R$6&lt;=$H32,R$6+6&gt;=$G32),1,0))))</x:f>
      </x:c>
      <x:c r="S32" s="43" t="str">
        <x:f>IF($C32="","",IF(AND($I32&lt;1,S$6&lt;=$J32,S$6+6&gt;$H32,$J32&gt;$H32),3,IF(AND($I32&gt;0,S$6&lt;=$G32+($H32-$G32+1)*$I32-1,S$6+6&gt;=$G32),2,IF(AND(S$6&lt;=$H32,S$6+6&gt;=$G32),1,0))))</x:f>
      </x:c>
      <x:c r="T32" s="43" t="str">
        <x:f>IF($C32="","",IF(AND($I32&lt;1,T$6&lt;=$J32,T$6+6&gt;$H32,$J32&gt;$H32),3,IF(AND($I32&gt;0,T$6&lt;=$G32+($H32-$G32+1)*$I32-1,T$6+6&gt;=$G32),2,IF(AND(T$6&lt;=$H32,T$6+6&gt;=$G32),1,0))))</x:f>
      </x:c>
      <x:c r="U32" s="43" t="str">
        <x:f>IF($C32="","",IF(AND($I32&lt;1,U$6&lt;=$J32,U$6+6&gt;$H32,$J32&gt;$H32),3,IF(AND($I32&gt;0,U$6&lt;=$G32+($H32-$G32+1)*$I32-1,U$6+6&gt;=$G32),2,IF(AND(U$6&lt;=$H32,U$6+6&gt;=$G32),1,0))))</x:f>
      </x:c>
      <x:c r="V32" s="43" t="str">
        <x:f>IF($C32="","",IF(AND($I32&lt;1,V$6&lt;=$J32,V$6+6&gt;$H32,$J32&gt;$H32),3,IF(AND($I32&gt;0,V$6&lt;=$G32+($H32-$G32+1)*$I32-1,V$6+6&gt;=$G32),2,IF(AND(V$6&lt;=$H32,V$6+6&gt;=$G32),1,0))))</x:f>
      </x:c>
      <x:c r="W32" s="43" t="str">
        <x:f>IF($C32="","",IF(AND($I32&lt;1,W$6&lt;=$J32,W$6+6&gt;$H32,$J32&gt;$H32),3,IF(AND($I32&gt;0,W$6&lt;=$G32+($H32-$G32+1)*$I32-1,W$6+6&gt;=$G32),2,IF(AND(W$6&lt;=$H32,W$6+6&gt;=$G32),1,0))))</x:f>
      </x:c>
      <x:c r="X32" s="43" t="str">
        <x:f>IF($C32="","",IF(AND($I32&lt;1,X$6&lt;=$J32,X$6+6&gt;$H32,$J32&gt;$H32),3,IF(AND($I32&gt;0,X$6&lt;=$G32+($H32-$G32+1)*$I32-1,X$6+6&gt;=$G32),2,IF(AND(X$6&lt;=$H32,X$6+6&gt;=$G32),1,0))))</x:f>
      </x:c>
      <x:c r="Y32" s="43" t="str">
        <x:f>IF($C32="","",IF(AND($I32&lt;1,Y$6&lt;=$J32,Y$6+6&gt;$H32,$J32&gt;$H32),3,IF(AND($I32&gt;0,Y$6&lt;=$G32+($H32-$G32+1)*$I32-1,Y$6+6&gt;=$G32),2,IF(AND(Y$6&lt;=$H32,Y$6+6&gt;=$G32),1,0))))</x:f>
      </x:c>
      <x:c r="Z32" s="43" t="str">
        <x:f>IF($C32="","",IF(AND($I32&lt;1,Z$6&lt;=$J32,Z$6+6&gt;$H32,$J32&gt;$H32),3,IF(AND($I32&gt;0,Z$6&lt;=$G32+($H32-$G32+1)*$I32-1,Z$6+6&gt;=$G32),2,IF(AND(Z$6&lt;=$H32,Z$6+6&gt;=$G32),1,0))))</x:f>
      </x:c>
      <x:c r="AA32" s="43" t="str">
        <x:f>IF($C32="","",IF(AND($I32&lt;1,AA$6&lt;=$J32,AA$6+6&gt;$H32,$J32&gt;$H32),3,IF(AND($I32&gt;0,AA$6&lt;=$G32+($H32-$G32+1)*$I32-1,AA$6+6&gt;=$G32),2,IF(AND(AA$6&lt;=$H32,AA$6+6&gt;=$G32),1,0))))</x:f>
      </x:c>
      <x:c r="AB32" s="43" t="str">
        <x:f>IF($C32="","",IF(AND($I32&lt;1,AB$6&lt;=$J32,AB$6+6&gt;$H32,$J32&gt;$H32),3,IF(AND($I32&gt;0,AB$6&lt;=$G32+($H32-$G32+1)*$I32-1,AB$6+6&gt;=$G32),2,IF(AND(AB$6&lt;=$H32,AB$6+6&gt;=$G32),1,0))))</x:f>
      </x:c>
      <x:c r="AC32" s="43" t="str">
        <x:f>IF($C32="","",IF(AND($I32&lt;1,AC$6&lt;=$J32,AC$6+6&gt;$H32,$J32&gt;$H32),3,IF(AND($I32&gt;0,AC$6&lt;=$G32+($H32-$G32+1)*$I32-1,AC$6+6&gt;=$G32),2,IF(AND(AC$6&lt;=$H32,AC$6+6&gt;=$G32),1,0))))</x:f>
      </x:c>
      <x:c r="AD32" s="43" t="str">
        <x:f>IF($C32="","",IF(AND($I32&lt;1,AD$6&lt;=$J32,AD$6+6&gt;$H32,$J32&gt;$H32),3,IF(AND($I32&gt;0,AD$6&lt;=$G32+($H32-$G32+1)*$I32-1,AD$6+6&gt;=$G32),2,IF(AND(AD$6&lt;=$H32,AD$6+6&gt;=$G32),1,0))))</x:f>
      </x:c>
      <x:c r="AE32" s="43" t="str">
        <x:f>IF($C32="","",IF(AND($I32&lt;1,AE$6&lt;=$J32,AE$6+6&gt;$H32,$J32&gt;$H32),3,IF(AND($I32&gt;0,AE$6&lt;=$G32+($H32-$G32+1)*$I32-1,AE$6+6&gt;=$G32),2,IF(AND(AE$6&lt;=$H32,AE$6+6&gt;=$G32),1,0))))</x:f>
      </x:c>
      <x:c r="AF32" s="43" t="str">
        <x:f>IF($C32="","",IF(AND($I32&lt;1,AF$6&lt;=$J32,AF$6+6&gt;$H32,$J32&gt;$H32),3,IF(AND($I32&gt;0,AF$6&lt;=$G32+($H32-$G32+1)*$I32-1,AF$6+6&gt;=$G32),2,IF(AND(AF$6&lt;=$H32,AF$6+6&gt;=$G32),1,0))))</x:f>
      </x:c>
      <x:c r="AG32" s="43" t="str">
        <x:f>IF($C32="","",IF(AND($I32&lt;1,AG$6&lt;=$J32,AG$6+6&gt;$H32,$J32&gt;$H32),3,IF(AND($I32&gt;0,AG$6&lt;=$G32+($H32-$G32+1)*$I32-1,AG$6+6&gt;=$G32),2,IF(AND(AG$6&lt;=$H32,AG$6+6&gt;=$G32),1,0))))</x:f>
      </x:c>
      <x:c r="AH32" s="43" t="str">
        <x:f>IF($C32="","",IF(AND($I32&lt;1,AH$6&lt;=$J32,AH$6+6&gt;$H32,$J32&gt;$H32),3,IF(AND($I32&gt;0,AH$6&lt;=$G32+($H32-$G32+1)*$I32-1,AH$6+6&gt;=$G32),2,IF(AND(AH$6&lt;=$H32,AH$6+6&gt;=$G32),1,0))))</x:f>
      </x:c>
      <x:c r="AI32" s="43" t="str">
        <x:f>IF($C32="","",IF(AND($I32&lt;1,AI$6&lt;=$J32,AI$6+6&gt;$H32,$J32&gt;$H32),3,IF(AND($I32&gt;0,AI$6&lt;=$G32+($H32-$G32+1)*$I32-1,AI$6+6&gt;=$G32),2,IF(AND(AI$6&lt;=$H32,AI$6+6&gt;=$G32),1,0))))</x:f>
      </x:c>
      <x:c r="AJ32" s="43" t="str">
        <x:f>IF($C32="","",IF(AND($I32&lt;1,AJ$6&lt;=$J32,AJ$6+6&gt;$H32,$J32&gt;$H32),3,IF(AND($I32&gt;0,AJ$6&lt;=$G32+($H32-$G32+1)*$I32-1,AJ$6+6&gt;=$G32),2,IF(AND(AJ$6&lt;=$H32,AJ$6+6&gt;=$G32),1,0))))</x:f>
      </x:c>
      <x:c r="AK32" s="43" t="str">
        <x:f>IF($C32="","",IF(AND($I32&lt;1,AK$6&lt;=$J32,AK$6+6&gt;$H32,$J32&gt;$H32),3,IF(AND($I32&gt;0,AK$6&lt;=$G32+($H32-$G32+1)*$I32-1,AK$6+6&gt;=$G32),2,IF(AND(AK$6&lt;=$H32,AK$6+6&gt;=$G32),1,0))))</x:f>
      </x:c>
    </x:row>
    <x:row r="33" ht="22" customHeight="1">
      <x:c r="A33" s="2"/>
      <x:c r="B33" s="2" t="n">
        <x:v>27</x:v>
      </x:c>
      <x:c r="C33" s="2" t="str">
        <x:f>IF($B33&gt;INDEX('Portfoy'!$U$7:$U$26,MATCH('Panel'!$C$5,'Portfoy'!$A$7:$A$26,0)),"",INDEX('Gorevler'!$A$7:$A$206,MATCH($B33,'Gorevler'!$S$7:$S$206,0)))</x:f>
      </x:c>
      <x:c r="D33" s="2" t="str">
        <x:f>IF($B33&gt;INDEX('Portfoy'!$U$7:$U$26,MATCH('Panel'!$C$5,'Portfoy'!$A$7:$A$26,0)),"",INDEX('Gorevler'!$C$7:$C$206,MATCH($B33,'Gorevler'!$S$7:$S$206,0)))</x:f>
      </x:c>
      <x:c r="E33" s="2" t="str">
        <x:f>IF($B33&gt;INDEX('Portfoy'!$U$7:$U$26,MATCH('Panel'!$C$5,'Portfoy'!$A$7:$A$26,0)),"",INDEX('Gorevler'!$D$7:$D$206,MATCH($B33,'Gorevler'!$S$7:$S$206,0)))</x:f>
      </x:c>
      <x:c r="F33" s="2" t="str">
        <x:f>IF($B33&gt;INDEX('Portfoy'!$U$7:$U$26,MATCH('Panel'!$C$5,'Portfoy'!$A$7:$A$26,0)),"",INDEX('Gorevler'!$K$7:$K$206,MATCH($B33,'Gorevler'!$S$7:$S$206,0)))</x:f>
      </x:c>
      <x:c r="G33" s="5" t="str">
        <x:f>IF($B33&gt;INDEX('Portfoy'!$U$7:$U$26,MATCH('Panel'!$C$5,'Portfoy'!$A$7:$A$26,0)),"",INDEX('Gorevler'!$F$7:$F$206,MATCH($B33,'Gorevler'!$S$7:$S$206,0)))</x:f>
      </x:c>
      <x:c r="H33" s="5" t="str">
        <x:f>IF($B33&gt;INDEX('Portfoy'!$U$7:$U$26,MATCH('Panel'!$C$5,'Portfoy'!$A$7:$A$26,0)),"",INDEX('Gorevler'!$G$7:$G$206,MATCH($B33,'Gorevler'!$S$7:$S$206,0)))</x:f>
      </x:c>
      <x:c r="I33" s="37" t="str">
        <x:f>IF($B33&gt;INDEX('Portfoy'!$U$7:$U$26,MATCH('Panel'!$C$5,'Portfoy'!$A$7:$A$26,0)),"",INDEX('Gorevler'!$I$7:$I$206,MATCH($B33,'Gorevler'!$S$7:$S$206,0)))</x:f>
      </x:c>
      <x:c r="J33" s="5" t="str">
        <x:f>IF($B33&gt;INDEX('Portfoy'!$U$7:$U$26,MATCH('Panel'!$C$5,'Portfoy'!$A$7:$A$26,0)),"",INDEX('Gorevler'!$J$7:$J$206,MATCH($B33,'Gorevler'!$S$7:$S$206,0)))</x:f>
      </x:c>
      <x:c r="K33" s="2"/>
      <x:c r="L33" s="43" t="str">
        <x:f>IF($C33="","",IF(AND($I33&lt;1,L$6&lt;=$J33,L$6+6&gt;$H33,$J33&gt;$H33),3,IF(AND($I33&gt;0,L$6&lt;=$G33+($H33-$G33+1)*$I33-1,L$6+6&gt;=$G33),2,IF(AND(L$6&lt;=$H33,L$6+6&gt;=$G33),1,0))))</x:f>
      </x:c>
      <x:c r="M33" s="43" t="str">
        <x:f>IF($C33="","",IF(AND($I33&lt;1,M$6&lt;=$J33,M$6+6&gt;$H33,$J33&gt;$H33),3,IF(AND($I33&gt;0,M$6&lt;=$G33+($H33-$G33+1)*$I33-1,M$6+6&gt;=$G33),2,IF(AND(M$6&lt;=$H33,M$6+6&gt;=$G33),1,0))))</x:f>
      </x:c>
      <x:c r="N33" s="43" t="str">
        <x:f>IF($C33="","",IF(AND($I33&lt;1,N$6&lt;=$J33,N$6+6&gt;$H33,$J33&gt;$H33),3,IF(AND($I33&gt;0,N$6&lt;=$G33+($H33-$G33+1)*$I33-1,N$6+6&gt;=$G33),2,IF(AND(N$6&lt;=$H33,N$6+6&gt;=$G33),1,0))))</x:f>
      </x:c>
      <x:c r="O33" s="43" t="str">
        <x:f>IF($C33="","",IF(AND($I33&lt;1,O$6&lt;=$J33,O$6+6&gt;$H33,$J33&gt;$H33),3,IF(AND($I33&gt;0,O$6&lt;=$G33+($H33-$G33+1)*$I33-1,O$6+6&gt;=$G33),2,IF(AND(O$6&lt;=$H33,O$6+6&gt;=$G33),1,0))))</x:f>
      </x:c>
      <x:c r="P33" s="43" t="str">
        <x:f>IF($C33="","",IF(AND($I33&lt;1,P$6&lt;=$J33,P$6+6&gt;$H33,$J33&gt;$H33),3,IF(AND($I33&gt;0,P$6&lt;=$G33+($H33-$G33+1)*$I33-1,P$6+6&gt;=$G33),2,IF(AND(P$6&lt;=$H33,P$6+6&gt;=$G33),1,0))))</x:f>
      </x:c>
      <x:c r="Q33" s="43" t="str">
        <x:f>IF($C33="","",IF(AND($I33&lt;1,Q$6&lt;=$J33,Q$6+6&gt;$H33,$J33&gt;$H33),3,IF(AND($I33&gt;0,Q$6&lt;=$G33+($H33-$G33+1)*$I33-1,Q$6+6&gt;=$G33),2,IF(AND(Q$6&lt;=$H33,Q$6+6&gt;=$G33),1,0))))</x:f>
      </x:c>
      <x:c r="R33" s="43" t="str">
        <x:f>IF($C33="","",IF(AND($I33&lt;1,R$6&lt;=$J33,R$6+6&gt;$H33,$J33&gt;$H33),3,IF(AND($I33&gt;0,R$6&lt;=$G33+($H33-$G33+1)*$I33-1,R$6+6&gt;=$G33),2,IF(AND(R$6&lt;=$H33,R$6+6&gt;=$G33),1,0))))</x:f>
      </x:c>
      <x:c r="S33" s="43" t="str">
        <x:f>IF($C33="","",IF(AND($I33&lt;1,S$6&lt;=$J33,S$6+6&gt;$H33,$J33&gt;$H33),3,IF(AND($I33&gt;0,S$6&lt;=$G33+($H33-$G33+1)*$I33-1,S$6+6&gt;=$G33),2,IF(AND(S$6&lt;=$H33,S$6+6&gt;=$G33),1,0))))</x:f>
      </x:c>
      <x:c r="T33" s="43" t="str">
        <x:f>IF($C33="","",IF(AND($I33&lt;1,T$6&lt;=$J33,T$6+6&gt;$H33,$J33&gt;$H33),3,IF(AND($I33&gt;0,T$6&lt;=$G33+($H33-$G33+1)*$I33-1,T$6+6&gt;=$G33),2,IF(AND(T$6&lt;=$H33,T$6+6&gt;=$G33),1,0))))</x:f>
      </x:c>
      <x:c r="U33" s="43" t="str">
        <x:f>IF($C33="","",IF(AND($I33&lt;1,U$6&lt;=$J33,U$6+6&gt;$H33,$J33&gt;$H33),3,IF(AND($I33&gt;0,U$6&lt;=$G33+($H33-$G33+1)*$I33-1,U$6+6&gt;=$G33),2,IF(AND(U$6&lt;=$H33,U$6+6&gt;=$G33),1,0))))</x:f>
      </x:c>
      <x:c r="V33" s="43" t="str">
        <x:f>IF($C33="","",IF(AND($I33&lt;1,V$6&lt;=$J33,V$6+6&gt;$H33,$J33&gt;$H33),3,IF(AND($I33&gt;0,V$6&lt;=$G33+($H33-$G33+1)*$I33-1,V$6+6&gt;=$G33),2,IF(AND(V$6&lt;=$H33,V$6+6&gt;=$G33),1,0))))</x:f>
      </x:c>
      <x:c r="W33" s="43" t="str">
        <x:f>IF($C33="","",IF(AND($I33&lt;1,W$6&lt;=$J33,W$6+6&gt;$H33,$J33&gt;$H33),3,IF(AND($I33&gt;0,W$6&lt;=$G33+($H33-$G33+1)*$I33-1,W$6+6&gt;=$G33),2,IF(AND(W$6&lt;=$H33,W$6+6&gt;=$G33),1,0))))</x:f>
      </x:c>
      <x:c r="X33" s="43" t="str">
        <x:f>IF($C33="","",IF(AND($I33&lt;1,X$6&lt;=$J33,X$6+6&gt;$H33,$J33&gt;$H33),3,IF(AND($I33&gt;0,X$6&lt;=$G33+($H33-$G33+1)*$I33-1,X$6+6&gt;=$G33),2,IF(AND(X$6&lt;=$H33,X$6+6&gt;=$G33),1,0))))</x:f>
      </x:c>
      <x:c r="Y33" s="43" t="str">
        <x:f>IF($C33="","",IF(AND($I33&lt;1,Y$6&lt;=$J33,Y$6+6&gt;$H33,$J33&gt;$H33),3,IF(AND($I33&gt;0,Y$6&lt;=$G33+($H33-$G33+1)*$I33-1,Y$6+6&gt;=$G33),2,IF(AND(Y$6&lt;=$H33,Y$6+6&gt;=$G33),1,0))))</x:f>
      </x:c>
      <x:c r="Z33" s="43" t="str">
        <x:f>IF($C33="","",IF(AND($I33&lt;1,Z$6&lt;=$J33,Z$6+6&gt;$H33,$J33&gt;$H33),3,IF(AND($I33&gt;0,Z$6&lt;=$G33+($H33-$G33+1)*$I33-1,Z$6+6&gt;=$G33),2,IF(AND(Z$6&lt;=$H33,Z$6+6&gt;=$G33),1,0))))</x:f>
      </x:c>
      <x:c r="AA33" s="43" t="str">
        <x:f>IF($C33="","",IF(AND($I33&lt;1,AA$6&lt;=$J33,AA$6+6&gt;$H33,$J33&gt;$H33),3,IF(AND($I33&gt;0,AA$6&lt;=$G33+($H33-$G33+1)*$I33-1,AA$6+6&gt;=$G33),2,IF(AND(AA$6&lt;=$H33,AA$6+6&gt;=$G33),1,0))))</x:f>
      </x:c>
      <x:c r="AB33" s="43" t="str">
        <x:f>IF($C33="","",IF(AND($I33&lt;1,AB$6&lt;=$J33,AB$6+6&gt;$H33,$J33&gt;$H33),3,IF(AND($I33&gt;0,AB$6&lt;=$G33+($H33-$G33+1)*$I33-1,AB$6+6&gt;=$G33),2,IF(AND(AB$6&lt;=$H33,AB$6+6&gt;=$G33),1,0))))</x:f>
      </x:c>
      <x:c r="AC33" s="43" t="str">
        <x:f>IF($C33="","",IF(AND($I33&lt;1,AC$6&lt;=$J33,AC$6+6&gt;$H33,$J33&gt;$H33),3,IF(AND($I33&gt;0,AC$6&lt;=$G33+($H33-$G33+1)*$I33-1,AC$6+6&gt;=$G33),2,IF(AND(AC$6&lt;=$H33,AC$6+6&gt;=$G33),1,0))))</x:f>
      </x:c>
      <x:c r="AD33" s="43" t="str">
        <x:f>IF($C33="","",IF(AND($I33&lt;1,AD$6&lt;=$J33,AD$6+6&gt;$H33,$J33&gt;$H33),3,IF(AND($I33&gt;0,AD$6&lt;=$G33+($H33-$G33+1)*$I33-1,AD$6+6&gt;=$G33),2,IF(AND(AD$6&lt;=$H33,AD$6+6&gt;=$G33),1,0))))</x:f>
      </x:c>
      <x:c r="AE33" s="43" t="str">
        <x:f>IF($C33="","",IF(AND($I33&lt;1,AE$6&lt;=$J33,AE$6+6&gt;$H33,$J33&gt;$H33),3,IF(AND($I33&gt;0,AE$6&lt;=$G33+($H33-$G33+1)*$I33-1,AE$6+6&gt;=$G33),2,IF(AND(AE$6&lt;=$H33,AE$6+6&gt;=$G33),1,0))))</x:f>
      </x:c>
      <x:c r="AF33" s="43" t="str">
        <x:f>IF($C33="","",IF(AND($I33&lt;1,AF$6&lt;=$J33,AF$6+6&gt;$H33,$J33&gt;$H33),3,IF(AND($I33&gt;0,AF$6&lt;=$G33+($H33-$G33+1)*$I33-1,AF$6+6&gt;=$G33),2,IF(AND(AF$6&lt;=$H33,AF$6+6&gt;=$G33),1,0))))</x:f>
      </x:c>
      <x:c r="AG33" s="43" t="str">
        <x:f>IF($C33="","",IF(AND($I33&lt;1,AG$6&lt;=$J33,AG$6+6&gt;$H33,$J33&gt;$H33),3,IF(AND($I33&gt;0,AG$6&lt;=$G33+($H33-$G33+1)*$I33-1,AG$6+6&gt;=$G33),2,IF(AND(AG$6&lt;=$H33,AG$6+6&gt;=$G33),1,0))))</x:f>
      </x:c>
      <x:c r="AH33" s="43" t="str">
        <x:f>IF($C33="","",IF(AND($I33&lt;1,AH$6&lt;=$J33,AH$6+6&gt;$H33,$J33&gt;$H33),3,IF(AND($I33&gt;0,AH$6&lt;=$G33+($H33-$G33+1)*$I33-1,AH$6+6&gt;=$G33),2,IF(AND(AH$6&lt;=$H33,AH$6+6&gt;=$G33),1,0))))</x:f>
      </x:c>
      <x:c r="AI33" s="43" t="str">
        <x:f>IF($C33="","",IF(AND($I33&lt;1,AI$6&lt;=$J33,AI$6+6&gt;$H33,$J33&gt;$H33),3,IF(AND($I33&gt;0,AI$6&lt;=$G33+($H33-$G33+1)*$I33-1,AI$6+6&gt;=$G33),2,IF(AND(AI$6&lt;=$H33,AI$6+6&gt;=$G33),1,0))))</x:f>
      </x:c>
      <x:c r="AJ33" s="43" t="str">
        <x:f>IF($C33="","",IF(AND($I33&lt;1,AJ$6&lt;=$J33,AJ$6+6&gt;$H33,$J33&gt;$H33),3,IF(AND($I33&gt;0,AJ$6&lt;=$G33+($H33-$G33+1)*$I33-1,AJ$6+6&gt;=$G33),2,IF(AND(AJ$6&lt;=$H33,AJ$6+6&gt;=$G33),1,0))))</x:f>
      </x:c>
      <x:c r="AK33" s="43" t="str">
        <x:f>IF($C33="","",IF(AND($I33&lt;1,AK$6&lt;=$J33,AK$6+6&gt;$H33,$J33&gt;$H33),3,IF(AND($I33&gt;0,AK$6&lt;=$G33+($H33-$G33+1)*$I33-1,AK$6+6&gt;=$G33),2,IF(AND(AK$6&lt;=$H33,AK$6+6&gt;=$G33),1,0))))</x:f>
      </x:c>
    </x:row>
    <x:row r="34" ht="22" customHeight="1">
      <x:c r="A34" s="2"/>
      <x:c r="B34" s="2" t="n">
        <x:v>28</x:v>
      </x:c>
      <x:c r="C34" s="2" t="str">
        <x:f>IF($B34&gt;INDEX('Portfoy'!$U$7:$U$26,MATCH('Panel'!$C$5,'Portfoy'!$A$7:$A$26,0)),"",INDEX('Gorevler'!$A$7:$A$206,MATCH($B34,'Gorevler'!$S$7:$S$206,0)))</x:f>
      </x:c>
      <x:c r="D34" s="2" t="str">
        <x:f>IF($B34&gt;INDEX('Portfoy'!$U$7:$U$26,MATCH('Panel'!$C$5,'Portfoy'!$A$7:$A$26,0)),"",INDEX('Gorevler'!$C$7:$C$206,MATCH($B34,'Gorevler'!$S$7:$S$206,0)))</x:f>
      </x:c>
      <x:c r="E34" s="2" t="str">
        <x:f>IF($B34&gt;INDEX('Portfoy'!$U$7:$U$26,MATCH('Panel'!$C$5,'Portfoy'!$A$7:$A$26,0)),"",INDEX('Gorevler'!$D$7:$D$206,MATCH($B34,'Gorevler'!$S$7:$S$206,0)))</x:f>
      </x:c>
      <x:c r="F34" s="2" t="str">
        <x:f>IF($B34&gt;INDEX('Portfoy'!$U$7:$U$26,MATCH('Panel'!$C$5,'Portfoy'!$A$7:$A$26,0)),"",INDEX('Gorevler'!$K$7:$K$206,MATCH($B34,'Gorevler'!$S$7:$S$206,0)))</x:f>
      </x:c>
      <x:c r="G34" s="5" t="str">
        <x:f>IF($B34&gt;INDEX('Portfoy'!$U$7:$U$26,MATCH('Panel'!$C$5,'Portfoy'!$A$7:$A$26,0)),"",INDEX('Gorevler'!$F$7:$F$206,MATCH($B34,'Gorevler'!$S$7:$S$206,0)))</x:f>
      </x:c>
      <x:c r="H34" s="5" t="str">
        <x:f>IF($B34&gt;INDEX('Portfoy'!$U$7:$U$26,MATCH('Panel'!$C$5,'Portfoy'!$A$7:$A$26,0)),"",INDEX('Gorevler'!$G$7:$G$206,MATCH($B34,'Gorevler'!$S$7:$S$206,0)))</x:f>
      </x:c>
      <x:c r="I34" s="37" t="str">
        <x:f>IF($B34&gt;INDEX('Portfoy'!$U$7:$U$26,MATCH('Panel'!$C$5,'Portfoy'!$A$7:$A$26,0)),"",INDEX('Gorevler'!$I$7:$I$206,MATCH($B34,'Gorevler'!$S$7:$S$206,0)))</x:f>
      </x:c>
      <x:c r="J34" s="5" t="str">
        <x:f>IF($B34&gt;INDEX('Portfoy'!$U$7:$U$26,MATCH('Panel'!$C$5,'Portfoy'!$A$7:$A$26,0)),"",INDEX('Gorevler'!$J$7:$J$206,MATCH($B34,'Gorevler'!$S$7:$S$206,0)))</x:f>
      </x:c>
      <x:c r="K34" s="2"/>
      <x:c r="L34" s="43" t="str">
        <x:f>IF($C34="","",IF(AND($I34&lt;1,L$6&lt;=$J34,L$6+6&gt;$H34,$J34&gt;$H34),3,IF(AND($I34&gt;0,L$6&lt;=$G34+($H34-$G34+1)*$I34-1,L$6+6&gt;=$G34),2,IF(AND(L$6&lt;=$H34,L$6+6&gt;=$G34),1,0))))</x:f>
      </x:c>
      <x:c r="M34" s="43" t="str">
        <x:f>IF($C34="","",IF(AND($I34&lt;1,M$6&lt;=$J34,M$6+6&gt;$H34,$J34&gt;$H34),3,IF(AND($I34&gt;0,M$6&lt;=$G34+($H34-$G34+1)*$I34-1,M$6+6&gt;=$G34),2,IF(AND(M$6&lt;=$H34,M$6+6&gt;=$G34),1,0))))</x:f>
      </x:c>
      <x:c r="N34" s="43" t="str">
        <x:f>IF($C34="","",IF(AND($I34&lt;1,N$6&lt;=$J34,N$6+6&gt;$H34,$J34&gt;$H34),3,IF(AND($I34&gt;0,N$6&lt;=$G34+($H34-$G34+1)*$I34-1,N$6+6&gt;=$G34),2,IF(AND(N$6&lt;=$H34,N$6+6&gt;=$G34),1,0))))</x:f>
      </x:c>
      <x:c r="O34" s="43" t="str">
        <x:f>IF($C34="","",IF(AND($I34&lt;1,O$6&lt;=$J34,O$6+6&gt;$H34,$J34&gt;$H34),3,IF(AND($I34&gt;0,O$6&lt;=$G34+($H34-$G34+1)*$I34-1,O$6+6&gt;=$G34),2,IF(AND(O$6&lt;=$H34,O$6+6&gt;=$G34),1,0))))</x:f>
      </x:c>
      <x:c r="P34" s="43" t="str">
        <x:f>IF($C34="","",IF(AND($I34&lt;1,P$6&lt;=$J34,P$6+6&gt;$H34,$J34&gt;$H34),3,IF(AND($I34&gt;0,P$6&lt;=$G34+($H34-$G34+1)*$I34-1,P$6+6&gt;=$G34),2,IF(AND(P$6&lt;=$H34,P$6+6&gt;=$G34),1,0))))</x:f>
      </x:c>
      <x:c r="Q34" s="43" t="str">
        <x:f>IF($C34="","",IF(AND($I34&lt;1,Q$6&lt;=$J34,Q$6+6&gt;$H34,$J34&gt;$H34),3,IF(AND($I34&gt;0,Q$6&lt;=$G34+($H34-$G34+1)*$I34-1,Q$6+6&gt;=$G34),2,IF(AND(Q$6&lt;=$H34,Q$6+6&gt;=$G34),1,0))))</x:f>
      </x:c>
      <x:c r="R34" s="43" t="str">
        <x:f>IF($C34="","",IF(AND($I34&lt;1,R$6&lt;=$J34,R$6+6&gt;$H34,$J34&gt;$H34),3,IF(AND($I34&gt;0,R$6&lt;=$G34+($H34-$G34+1)*$I34-1,R$6+6&gt;=$G34),2,IF(AND(R$6&lt;=$H34,R$6+6&gt;=$G34),1,0))))</x:f>
      </x:c>
      <x:c r="S34" s="43" t="str">
        <x:f>IF($C34="","",IF(AND($I34&lt;1,S$6&lt;=$J34,S$6+6&gt;$H34,$J34&gt;$H34),3,IF(AND($I34&gt;0,S$6&lt;=$G34+($H34-$G34+1)*$I34-1,S$6+6&gt;=$G34),2,IF(AND(S$6&lt;=$H34,S$6+6&gt;=$G34),1,0))))</x:f>
      </x:c>
      <x:c r="T34" s="43" t="str">
        <x:f>IF($C34="","",IF(AND($I34&lt;1,T$6&lt;=$J34,T$6+6&gt;$H34,$J34&gt;$H34),3,IF(AND($I34&gt;0,T$6&lt;=$G34+($H34-$G34+1)*$I34-1,T$6+6&gt;=$G34),2,IF(AND(T$6&lt;=$H34,T$6+6&gt;=$G34),1,0))))</x:f>
      </x:c>
      <x:c r="U34" s="43" t="str">
        <x:f>IF($C34="","",IF(AND($I34&lt;1,U$6&lt;=$J34,U$6+6&gt;$H34,$J34&gt;$H34),3,IF(AND($I34&gt;0,U$6&lt;=$G34+($H34-$G34+1)*$I34-1,U$6+6&gt;=$G34),2,IF(AND(U$6&lt;=$H34,U$6+6&gt;=$G34),1,0))))</x:f>
      </x:c>
      <x:c r="V34" s="43" t="str">
        <x:f>IF($C34="","",IF(AND($I34&lt;1,V$6&lt;=$J34,V$6+6&gt;$H34,$J34&gt;$H34),3,IF(AND($I34&gt;0,V$6&lt;=$G34+($H34-$G34+1)*$I34-1,V$6+6&gt;=$G34),2,IF(AND(V$6&lt;=$H34,V$6+6&gt;=$G34),1,0))))</x:f>
      </x:c>
      <x:c r="W34" s="43" t="str">
        <x:f>IF($C34="","",IF(AND($I34&lt;1,W$6&lt;=$J34,W$6+6&gt;$H34,$J34&gt;$H34),3,IF(AND($I34&gt;0,W$6&lt;=$G34+($H34-$G34+1)*$I34-1,W$6+6&gt;=$G34),2,IF(AND(W$6&lt;=$H34,W$6+6&gt;=$G34),1,0))))</x:f>
      </x:c>
      <x:c r="X34" s="43" t="str">
        <x:f>IF($C34="","",IF(AND($I34&lt;1,X$6&lt;=$J34,X$6+6&gt;$H34,$J34&gt;$H34),3,IF(AND($I34&gt;0,X$6&lt;=$G34+($H34-$G34+1)*$I34-1,X$6+6&gt;=$G34),2,IF(AND(X$6&lt;=$H34,X$6+6&gt;=$G34),1,0))))</x:f>
      </x:c>
      <x:c r="Y34" s="43" t="str">
        <x:f>IF($C34="","",IF(AND($I34&lt;1,Y$6&lt;=$J34,Y$6+6&gt;$H34,$J34&gt;$H34),3,IF(AND($I34&gt;0,Y$6&lt;=$G34+($H34-$G34+1)*$I34-1,Y$6+6&gt;=$G34),2,IF(AND(Y$6&lt;=$H34,Y$6+6&gt;=$G34),1,0))))</x:f>
      </x:c>
      <x:c r="Z34" s="43" t="str">
        <x:f>IF($C34="","",IF(AND($I34&lt;1,Z$6&lt;=$J34,Z$6+6&gt;$H34,$J34&gt;$H34),3,IF(AND($I34&gt;0,Z$6&lt;=$G34+($H34-$G34+1)*$I34-1,Z$6+6&gt;=$G34),2,IF(AND(Z$6&lt;=$H34,Z$6+6&gt;=$G34),1,0))))</x:f>
      </x:c>
      <x:c r="AA34" s="43" t="str">
        <x:f>IF($C34="","",IF(AND($I34&lt;1,AA$6&lt;=$J34,AA$6+6&gt;$H34,$J34&gt;$H34),3,IF(AND($I34&gt;0,AA$6&lt;=$G34+($H34-$G34+1)*$I34-1,AA$6+6&gt;=$G34),2,IF(AND(AA$6&lt;=$H34,AA$6+6&gt;=$G34),1,0))))</x:f>
      </x:c>
      <x:c r="AB34" s="43" t="str">
        <x:f>IF($C34="","",IF(AND($I34&lt;1,AB$6&lt;=$J34,AB$6+6&gt;$H34,$J34&gt;$H34),3,IF(AND($I34&gt;0,AB$6&lt;=$G34+($H34-$G34+1)*$I34-1,AB$6+6&gt;=$G34),2,IF(AND(AB$6&lt;=$H34,AB$6+6&gt;=$G34),1,0))))</x:f>
      </x:c>
      <x:c r="AC34" s="43" t="str">
        <x:f>IF($C34="","",IF(AND($I34&lt;1,AC$6&lt;=$J34,AC$6+6&gt;$H34,$J34&gt;$H34),3,IF(AND($I34&gt;0,AC$6&lt;=$G34+($H34-$G34+1)*$I34-1,AC$6+6&gt;=$G34),2,IF(AND(AC$6&lt;=$H34,AC$6+6&gt;=$G34),1,0))))</x:f>
      </x:c>
      <x:c r="AD34" s="43" t="str">
        <x:f>IF($C34="","",IF(AND($I34&lt;1,AD$6&lt;=$J34,AD$6+6&gt;$H34,$J34&gt;$H34),3,IF(AND($I34&gt;0,AD$6&lt;=$G34+($H34-$G34+1)*$I34-1,AD$6+6&gt;=$G34),2,IF(AND(AD$6&lt;=$H34,AD$6+6&gt;=$G34),1,0))))</x:f>
      </x:c>
      <x:c r="AE34" s="43" t="str">
        <x:f>IF($C34="","",IF(AND($I34&lt;1,AE$6&lt;=$J34,AE$6+6&gt;$H34,$J34&gt;$H34),3,IF(AND($I34&gt;0,AE$6&lt;=$G34+($H34-$G34+1)*$I34-1,AE$6+6&gt;=$G34),2,IF(AND(AE$6&lt;=$H34,AE$6+6&gt;=$G34),1,0))))</x:f>
      </x:c>
      <x:c r="AF34" s="43" t="str">
        <x:f>IF($C34="","",IF(AND($I34&lt;1,AF$6&lt;=$J34,AF$6+6&gt;$H34,$J34&gt;$H34),3,IF(AND($I34&gt;0,AF$6&lt;=$G34+($H34-$G34+1)*$I34-1,AF$6+6&gt;=$G34),2,IF(AND(AF$6&lt;=$H34,AF$6+6&gt;=$G34),1,0))))</x:f>
      </x:c>
      <x:c r="AG34" s="43" t="str">
        <x:f>IF($C34="","",IF(AND($I34&lt;1,AG$6&lt;=$J34,AG$6+6&gt;$H34,$J34&gt;$H34),3,IF(AND($I34&gt;0,AG$6&lt;=$G34+($H34-$G34+1)*$I34-1,AG$6+6&gt;=$G34),2,IF(AND(AG$6&lt;=$H34,AG$6+6&gt;=$G34),1,0))))</x:f>
      </x:c>
      <x:c r="AH34" s="43" t="str">
        <x:f>IF($C34="","",IF(AND($I34&lt;1,AH$6&lt;=$J34,AH$6+6&gt;$H34,$J34&gt;$H34),3,IF(AND($I34&gt;0,AH$6&lt;=$G34+($H34-$G34+1)*$I34-1,AH$6+6&gt;=$G34),2,IF(AND(AH$6&lt;=$H34,AH$6+6&gt;=$G34),1,0))))</x:f>
      </x:c>
      <x:c r="AI34" s="43" t="str">
        <x:f>IF($C34="","",IF(AND($I34&lt;1,AI$6&lt;=$J34,AI$6+6&gt;$H34,$J34&gt;$H34),3,IF(AND($I34&gt;0,AI$6&lt;=$G34+($H34-$G34+1)*$I34-1,AI$6+6&gt;=$G34),2,IF(AND(AI$6&lt;=$H34,AI$6+6&gt;=$G34),1,0))))</x:f>
      </x:c>
      <x:c r="AJ34" s="43" t="str">
        <x:f>IF($C34="","",IF(AND($I34&lt;1,AJ$6&lt;=$J34,AJ$6+6&gt;$H34,$J34&gt;$H34),3,IF(AND($I34&gt;0,AJ$6&lt;=$G34+($H34-$G34+1)*$I34-1,AJ$6+6&gt;=$G34),2,IF(AND(AJ$6&lt;=$H34,AJ$6+6&gt;=$G34),1,0))))</x:f>
      </x:c>
      <x:c r="AK34" s="43" t="str">
        <x:f>IF($C34="","",IF(AND($I34&lt;1,AK$6&lt;=$J34,AK$6+6&gt;$H34,$J34&gt;$H34),3,IF(AND($I34&gt;0,AK$6&lt;=$G34+($H34-$G34+1)*$I34-1,AK$6+6&gt;=$G34),2,IF(AND(AK$6&lt;=$H34,AK$6+6&gt;=$G34),1,0))))</x:f>
      </x:c>
    </x:row>
    <x:row r="35" ht="22" customHeight="1">
      <x:c r="A35" s="2"/>
      <x:c r="B35" s="2" t="n">
        <x:v>29</x:v>
      </x:c>
      <x:c r="C35" s="2" t="str">
        <x:f>IF($B35&gt;INDEX('Portfoy'!$U$7:$U$26,MATCH('Panel'!$C$5,'Portfoy'!$A$7:$A$26,0)),"",INDEX('Gorevler'!$A$7:$A$206,MATCH($B35,'Gorevler'!$S$7:$S$206,0)))</x:f>
      </x:c>
      <x:c r="D35" s="2" t="str">
        <x:f>IF($B35&gt;INDEX('Portfoy'!$U$7:$U$26,MATCH('Panel'!$C$5,'Portfoy'!$A$7:$A$26,0)),"",INDEX('Gorevler'!$C$7:$C$206,MATCH($B35,'Gorevler'!$S$7:$S$206,0)))</x:f>
      </x:c>
      <x:c r="E35" s="2" t="str">
        <x:f>IF($B35&gt;INDEX('Portfoy'!$U$7:$U$26,MATCH('Panel'!$C$5,'Portfoy'!$A$7:$A$26,0)),"",INDEX('Gorevler'!$D$7:$D$206,MATCH($B35,'Gorevler'!$S$7:$S$206,0)))</x:f>
      </x:c>
      <x:c r="F35" s="2" t="str">
        <x:f>IF($B35&gt;INDEX('Portfoy'!$U$7:$U$26,MATCH('Panel'!$C$5,'Portfoy'!$A$7:$A$26,0)),"",INDEX('Gorevler'!$K$7:$K$206,MATCH($B35,'Gorevler'!$S$7:$S$206,0)))</x:f>
      </x:c>
      <x:c r="G35" s="5" t="str">
        <x:f>IF($B35&gt;INDEX('Portfoy'!$U$7:$U$26,MATCH('Panel'!$C$5,'Portfoy'!$A$7:$A$26,0)),"",INDEX('Gorevler'!$F$7:$F$206,MATCH($B35,'Gorevler'!$S$7:$S$206,0)))</x:f>
      </x:c>
      <x:c r="H35" s="5" t="str">
        <x:f>IF($B35&gt;INDEX('Portfoy'!$U$7:$U$26,MATCH('Panel'!$C$5,'Portfoy'!$A$7:$A$26,0)),"",INDEX('Gorevler'!$G$7:$G$206,MATCH($B35,'Gorevler'!$S$7:$S$206,0)))</x:f>
      </x:c>
      <x:c r="I35" s="37" t="str">
        <x:f>IF($B35&gt;INDEX('Portfoy'!$U$7:$U$26,MATCH('Panel'!$C$5,'Portfoy'!$A$7:$A$26,0)),"",INDEX('Gorevler'!$I$7:$I$206,MATCH($B35,'Gorevler'!$S$7:$S$206,0)))</x:f>
      </x:c>
      <x:c r="J35" s="5" t="str">
        <x:f>IF($B35&gt;INDEX('Portfoy'!$U$7:$U$26,MATCH('Panel'!$C$5,'Portfoy'!$A$7:$A$26,0)),"",INDEX('Gorevler'!$J$7:$J$206,MATCH($B35,'Gorevler'!$S$7:$S$206,0)))</x:f>
      </x:c>
      <x:c r="K35" s="2"/>
      <x:c r="L35" s="43" t="str">
        <x:f>IF($C35="","",IF(AND($I35&lt;1,L$6&lt;=$J35,L$6+6&gt;$H35,$J35&gt;$H35),3,IF(AND($I35&gt;0,L$6&lt;=$G35+($H35-$G35+1)*$I35-1,L$6+6&gt;=$G35),2,IF(AND(L$6&lt;=$H35,L$6+6&gt;=$G35),1,0))))</x:f>
      </x:c>
      <x:c r="M35" s="43" t="str">
        <x:f>IF($C35="","",IF(AND($I35&lt;1,M$6&lt;=$J35,M$6+6&gt;$H35,$J35&gt;$H35),3,IF(AND($I35&gt;0,M$6&lt;=$G35+($H35-$G35+1)*$I35-1,M$6+6&gt;=$G35),2,IF(AND(M$6&lt;=$H35,M$6+6&gt;=$G35),1,0))))</x:f>
      </x:c>
      <x:c r="N35" s="43" t="str">
        <x:f>IF($C35="","",IF(AND($I35&lt;1,N$6&lt;=$J35,N$6+6&gt;$H35,$J35&gt;$H35),3,IF(AND($I35&gt;0,N$6&lt;=$G35+($H35-$G35+1)*$I35-1,N$6+6&gt;=$G35),2,IF(AND(N$6&lt;=$H35,N$6+6&gt;=$G35),1,0))))</x:f>
      </x:c>
      <x:c r="O35" s="43" t="str">
        <x:f>IF($C35="","",IF(AND($I35&lt;1,O$6&lt;=$J35,O$6+6&gt;$H35,$J35&gt;$H35),3,IF(AND($I35&gt;0,O$6&lt;=$G35+($H35-$G35+1)*$I35-1,O$6+6&gt;=$G35),2,IF(AND(O$6&lt;=$H35,O$6+6&gt;=$G35),1,0))))</x:f>
      </x:c>
      <x:c r="P35" s="43" t="str">
        <x:f>IF($C35="","",IF(AND($I35&lt;1,P$6&lt;=$J35,P$6+6&gt;$H35,$J35&gt;$H35),3,IF(AND($I35&gt;0,P$6&lt;=$G35+($H35-$G35+1)*$I35-1,P$6+6&gt;=$G35),2,IF(AND(P$6&lt;=$H35,P$6+6&gt;=$G35),1,0))))</x:f>
      </x:c>
      <x:c r="Q35" s="43" t="str">
        <x:f>IF($C35="","",IF(AND($I35&lt;1,Q$6&lt;=$J35,Q$6+6&gt;$H35,$J35&gt;$H35),3,IF(AND($I35&gt;0,Q$6&lt;=$G35+($H35-$G35+1)*$I35-1,Q$6+6&gt;=$G35),2,IF(AND(Q$6&lt;=$H35,Q$6+6&gt;=$G35),1,0))))</x:f>
      </x:c>
      <x:c r="R35" s="43" t="str">
        <x:f>IF($C35="","",IF(AND($I35&lt;1,R$6&lt;=$J35,R$6+6&gt;$H35,$J35&gt;$H35),3,IF(AND($I35&gt;0,R$6&lt;=$G35+($H35-$G35+1)*$I35-1,R$6+6&gt;=$G35),2,IF(AND(R$6&lt;=$H35,R$6+6&gt;=$G35),1,0))))</x:f>
      </x:c>
      <x:c r="S35" s="43" t="str">
        <x:f>IF($C35="","",IF(AND($I35&lt;1,S$6&lt;=$J35,S$6+6&gt;$H35,$J35&gt;$H35),3,IF(AND($I35&gt;0,S$6&lt;=$G35+($H35-$G35+1)*$I35-1,S$6+6&gt;=$G35),2,IF(AND(S$6&lt;=$H35,S$6+6&gt;=$G35),1,0))))</x:f>
      </x:c>
      <x:c r="T35" s="43" t="str">
        <x:f>IF($C35="","",IF(AND($I35&lt;1,T$6&lt;=$J35,T$6+6&gt;$H35,$J35&gt;$H35),3,IF(AND($I35&gt;0,T$6&lt;=$G35+($H35-$G35+1)*$I35-1,T$6+6&gt;=$G35),2,IF(AND(T$6&lt;=$H35,T$6+6&gt;=$G35),1,0))))</x:f>
      </x:c>
      <x:c r="U35" s="43" t="str">
        <x:f>IF($C35="","",IF(AND($I35&lt;1,U$6&lt;=$J35,U$6+6&gt;$H35,$J35&gt;$H35),3,IF(AND($I35&gt;0,U$6&lt;=$G35+($H35-$G35+1)*$I35-1,U$6+6&gt;=$G35),2,IF(AND(U$6&lt;=$H35,U$6+6&gt;=$G35),1,0))))</x:f>
      </x:c>
      <x:c r="V35" s="43" t="str">
        <x:f>IF($C35="","",IF(AND($I35&lt;1,V$6&lt;=$J35,V$6+6&gt;$H35,$J35&gt;$H35),3,IF(AND($I35&gt;0,V$6&lt;=$G35+($H35-$G35+1)*$I35-1,V$6+6&gt;=$G35),2,IF(AND(V$6&lt;=$H35,V$6+6&gt;=$G35),1,0))))</x:f>
      </x:c>
      <x:c r="W35" s="43" t="str">
        <x:f>IF($C35="","",IF(AND($I35&lt;1,W$6&lt;=$J35,W$6+6&gt;$H35,$J35&gt;$H35),3,IF(AND($I35&gt;0,W$6&lt;=$G35+($H35-$G35+1)*$I35-1,W$6+6&gt;=$G35),2,IF(AND(W$6&lt;=$H35,W$6+6&gt;=$G35),1,0))))</x:f>
      </x:c>
      <x:c r="X35" s="43" t="str">
        <x:f>IF($C35="","",IF(AND($I35&lt;1,X$6&lt;=$J35,X$6+6&gt;$H35,$J35&gt;$H35),3,IF(AND($I35&gt;0,X$6&lt;=$G35+($H35-$G35+1)*$I35-1,X$6+6&gt;=$G35),2,IF(AND(X$6&lt;=$H35,X$6+6&gt;=$G35),1,0))))</x:f>
      </x:c>
      <x:c r="Y35" s="43" t="str">
        <x:f>IF($C35="","",IF(AND($I35&lt;1,Y$6&lt;=$J35,Y$6+6&gt;$H35,$J35&gt;$H35),3,IF(AND($I35&gt;0,Y$6&lt;=$G35+($H35-$G35+1)*$I35-1,Y$6+6&gt;=$G35),2,IF(AND(Y$6&lt;=$H35,Y$6+6&gt;=$G35),1,0))))</x:f>
      </x:c>
      <x:c r="Z35" s="43" t="str">
        <x:f>IF($C35="","",IF(AND($I35&lt;1,Z$6&lt;=$J35,Z$6+6&gt;$H35,$J35&gt;$H35),3,IF(AND($I35&gt;0,Z$6&lt;=$G35+($H35-$G35+1)*$I35-1,Z$6+6&gt;=$G35),2,IF(AND(Z$6&lt;=$H35,Z$6+6&gt;=$G35),1,0))))</x:f>
      </x:c>
      <x:c r="AA35" s="43" t="str">
        <x:f>IF($C35="","",IF(AND($I35&lt;1,AA$6&lt;=$J35,AA$6+6&gt;$H35,$J35&gt;$H35),3,IF(AND($I35&gt;0,AA$6&lt;=$G35+($H35-$G35+1)*$I35-1,AA$6+6&gt;=$G35),2,IF(AND(AA$6&lt;=$H35,AA$6+6&gt;=$G35),1,0))))</x:f>
      </x:c>
      <x:c r="AB35" s="43" t="str">
        <x:f>IF($C35="","",IF(AND($I35&lt;1,AB$6&lt;=$J35,AB$6+6&gt;$H35,$J35&gt;$H35),3,IF(AND($I35&gt;0,AB$6&lt;=$G35+($H35-$G35+1)*$I35-1,AB$6+6&gt;=$G35),2,IF(AND(AB$6&lt;=$H35,AB$6+6&gt;=$G35),1,0))))</x:f>
      </x:c>
      <x:c r="AC35" s="43" t="str">
        <x:f>IF($C35="","",IF(AND($I35&lt;1,AC$6&lt;=$J35,AC$6+6&gt;$H35,$J35&gt;$H35),3,IF(AND($I35&gt;0,AC$6&lt;=$G35+($H35-$G35+1)*$I35-1,AC$6+6&gt;=$G35),2,IF(AND(AC$6&lt;=$H35,AC$6+6&gt;=$G35),1,0))))</x:f>
      </x:c>
      <x:c r="AD35" s="43" t="str">
        <x:f>IF($C35="","",IF(AND($I35&lt;1,AD$6&lt;=$J35,AD$6+6&gt;$H35,$J35&gt;$H35),3,IF(AND($I35&gt;0,AD$6&lt;=$G35+($H35-$G35+1)*$I35-1,AD$6+6&gt;=$G35),2,IF(AND(AD$6&lt;=$H35,AD$6+6&gt;=$G35),1,0))))</x:f>
      </x:c>
      <x:c r="AE35" s="43" t="str">
        <x:f>IF($C35="","",IF(AND($I35&lt;1,AE$6&lt;=$J35,AE$6+6&gt;$H35,$J35&gt;$H35),3,IF(AND($I35&gt;0,AE$6&lt;=$G35+($H35-$G35+1)*$I35-1,AE$6+6&gt;=$G35),2,IF(AND(AE$6&lt;=$H35,AE$6+6&gt;=$G35),1,0))))</x:f>
      </x:c>
      <x:c r="AF35" s="43" t="str">
        <x:f>IF($C35="","",IF(AND($I35&lt;1,AF$6&lt;=$J35,AF$6+6&gt;$H35,$J35&gt;$H35),3,IF(AND($I35&gt;0,AF$6&lt;=$G35+($H35-$G35+1)*$I35-1,AF$6+6&gt;=$G35),2,IF(AND(AF$6&lt;=$H35,AF$6+6&gt;=$G35),1,0))))</x:f>
      </x:c>
      <x:c r="AG35" s="43" t="str">
        <x:f>IF($C35="","",IF(AND($I35&lt;1,AG$6&lt;=$J35,AG$6+6&gt;$H35,$J35&gt;$H35),3,IF(AND($I35&gt;0,AG$6&lt;=$G35+($H35-$G35+1)*$I35-1,AG$6+6&gt;=$G35),2,IF(AND(AG$6&lt;=$H35,AG$6+6&gt;=$G35),1,0))))</x:f>
      </x:c>
      <x:c r="AH35" s="43" t="str">
        <x:f>IF($C35="","",IF(AND($I35&lt;1,AH$6&lt;=$J35,AH$6+6&gt;$H35,$J35&gt;$H35),3,IF(AND($I35&gt;0,AH$6&lt;=$G35+($H35-$G35+1)*$I35-1,AH$6+6&gt;=$G35),2,IF(AND(AH$6&lt;=$H35,AH$6+6&gt;=$G35),1,0))))</x:f>
      </x:c>
      <x:c r="AI35" s="43" t="str">
        <x:f>IF($C35="","",IF(AND($I35&lt;1,AI$6&lt;=$J35,AI$6+6&gt;$H35,$J35&gt;$H35),3,IF(AND($I35&gt;0,AI$6&lt;=$G35+($H35-$G35+1)*$I35-1,AI$6+6&gt;=$G35),2,IF(AND(AI$6&lt;=$H35,AI$6+6&gt;=$G35),1,0))))</x:f>
      </x:c>
      <x:c r="AJ35" s="43" t="str">
        <x:f>IF($C35="","",IF(AND($I35&lt;1,AJ$6&lt;=$J35,AJ$6+6&gt;$H35,$J35&gt;$H35),3,IF(AND($I35&gt;0,AJ$6&lt;=$G35+($H35-$G35+1)*$I35-1,AJ$6+6&gt;=$G35),2,IF(AND(AJ$6&lt;=$H35,AJ$6+6&gt;=$G35),1,0))))</x:f>
      </x:c>
      <x:c r="AK35" s="43" t="str">
        <x:f>IF($C35="","",IF(AND($I35&lt;1,AK$6&lt;=$J35,AK$6+6&gt;$H35,$J35&gt;$H35),3,IF(AND($I35&gt;0,AK$6&lt;=$G35+($H35-$G35+1)*$I35-1,AK$6+6&gt;=$G35),2,IF(AND(AK$6&lt;=$H35,AK$6+6&gt;=$G35),1,0))))</x:f>
      </x:c>
    </x:row>
    <x:row r="36" ht="22" customHeight="1">
      <x:c r="A36" s="2"/>
      <x:c r="B36" s="2" t="n">
        <x:v>30</x:v>
      </x:c>
      <x:c r="C36" s="2" t="str">
        <x:f>IF($B36&gt;INDEX('Portfoy'!$U$7:$U$26,MATCH('Panel'!$C$5,'Portfoy'!$A$7:$A$26,0)),"",INDEX('Gorevler'!$A$7:$A$206,MATCH($B36,'Gorevler'!$S$7:$S$206,0)))</x:f>
      </x:c>
      <x:c r="D36" s="2" t="str">
        <x:f>IF($B36&gt;INDEX('Portfoy'!$U$7:$U$26,MATCH('Panel'!$C$5,'Portfoy'!$A$7:$A$26,0)),"",INDEX('Gorevler'!$C$7:$C$206,MATCH($B36,'Gorevler'!$S$7:$S$206,0)))</x:f>
      </x:c>
      <x:c r="E36" s="2" t="str">
        <x:f>IF($B36&gt;INDEX('Portfoy'!$U$7:$U$26,MATCH('Panel'!$C$5,'Portfoy'!$A$7:$A$26,0)),"",INDEX('Gorevler'!$D$7:$D$206,MATCH($B36,'Gorevler'!$S$7:$S$206,0)))</x:f>
      </x:c>
      <x:c r="F36" s="2" t="str">
        <x:f>IF($B36&gt;INDEX('Portfoy'!$U$7:$U$26,MATCH('Panel'!$C$5,'Portfoy'!$A$7:$A$26,0)),"",INDEX('Gorevler'!$K$7:$K$206,MATCH($B36,'Gorevler'!$S$7:$S$206,0)))</x:f>
      </x:c>
      <x:c r="G36" s="5" t="str">
        <x:f>IF($B36&gt;INDEX('Portfoy'!$U$7:$U$26,MATCH('Panel'!$C$5,'Portfoy'!$A$7:$A$26,0)),"",INDEX('Gorevler'!$F$7:$F$206,MATCH($B36,'Gorevler'!$S$7:$S$206,0)))</x:f>
      </x:c>
      <x:c r="H36" s="5" t="str">
        <x:f>IF($B36&gt;INDEX('Portfoy'!$U$7:$U$26,MATCH('Panel'!$C$5,'Portfoy'!$A$7:$A$26,0)),"",INDEX('Gorevler'!$G$7:$G$206,MATCH($B36,'Gorevler'!$S$7:$S$206,0)))</x:f>
      </x:c>
      <x:c r="I36" s="37" t="str">
        <x:f>IF($B36&gt;INDEX('Portfoy'!$U$7:$U$26,MATCH('Panel'!$C$5,'Portfoy'!$A$7:$A$26,0)),"",INDEX('Gorevler'!$I$7:$I$206,MATCH($B36,'Gorevler'!$S$7:$S$206,0)))</x:f>
      </x:c>
      <x:c r="J36" s="5" t="str">
        <x:f>IF($B36&gt;INDEX('Portfoy'!$U$7:$U$26,MATCH('Panel'!$C$5,'Portfoy'!$A$7:$A$26,0)),"",INDEX('Gorevler'!$J$7:$J$206,MATCH($B36,'Gorevler'!$S$7:$S$206,0)))</x:f>
      </x:c>
      <x:c r="K36" s="2"/>
      <x:c r="L36" s="43" t="str">
        <x:f>IF($C36="","",IF(AND($I36&lt;1,L$6&lt;=$J36,L$6+6&gt;$H36,$J36&gt;$H36),3,IF(AND($I36&gt;0,L$6&lt;=$G36+($H36-$G36+1)*$I36-1,L$6+6&gt;=$G36),2,IF(AND(L$6&lt;=$H36,L$6+6&gt;=$G36),1,0))))</x:f>
      </x:c>
      <x:c r="M36" s="43" t="str">
        <x:f>IF($C36="","",IF(AND($I36&lt;1,M$6&lt;=$J36,M$6+6&gt;$H36,$J36&gt;$H36),3,IF(AND($I36&gt;0,M$6&lt;=$G36+($H36-$G36+1)*$I36-1,M$6+6&gt;=$G36),2,IF(AND(M$6&lt;=$H36,M$6+6&gt;=$G36),1,0))))</x:f>
      </x:c>
      <x:c r="N36" s="43" t="str">
        <x:f>IF($C36="","",IF(AND($I36&lt;1,N$6&lt;=$J36,N$6+6&gt;$H36,$J36&gt;$H36),3,IF(AND($I36&gt;0,N$6&lt;=$G36+($H36-$G36+1)*$I36-1,N$6+6&gt;=$G36),2,IF(AND(N$6&lt;=$H36,N$6+6&gt;=$G36),1,0))))</x:f>
      </x:c>
      <x:c r="O36" s="43" t="str">
        <x:f>IF($C36="","",IF(AND($I36&lt;1,O$6&lt;=$J36,O$6+6&gt;$H36,$J36&gt;$H36),3,IF(AND($I36&gt;0,O$6&lt;=$G36+($H36-$G36+1)*$I36-1,O$6+6&gt;=$G36),2,IF(AND(O$6&lt;=$H36,O$6+6&gt;=$G36),1,0))))</x:f>
      </x:c>
      <x:c r="P36" s="43" t="str">
        <x:f>IF($C36="","",IF(AND($I36&lt;1,P$6&lt;=$J36,P$6+6&gt;$H36,$J36&gt;$H36),3,IF(AND($I36&gt;0,P$6&lt;=$G36+($H36-$G36+1)*$I36-1,P$6+6&gt;=$G36),2,IF(AND(P$6&lt;=$H36,P$6+6&gt;=$G36),1,0))))</x:f>
      </x:c>
      <x:c r="Q36" s="43" t="str">
        <x:f>IF($C36="","",IF(AND($I36&lt;1,Q$6&lt;=$J36,Q$6+6&gt;$H36,$J36&gt;$H36),3,IF(AND($I36&gt;0,Q$6&lt;=$G36+($H36-$G36+1)*$I36-1,Q$6+6&gt;=$G36),2,IF(AND(Q$6&lt;=$H36,Q$6+6&gt;=$G36),1,0))))</x:f>
      </x:c>
      <x:c r="R36" s="43" t="str">
        <x:f>IF($C36="","",IF(AND($I36&lt;1,R$6&lt;=$J36,R$6+6&gt;$H36,$J36&gt;$H36),3,IF(AND($I36&gt;0,R$6&lt;=$G36+($H36-$G36+1)*$I36-1,R$6+6&gt;=$G36),2,IF(AND(R$6&lt;=$H36,R$6+6&gt;=$G36),1,0))))</x:f>
      </x:c>
      <x:c r="S36" s="43" t="str">
        <x:f>IF($C36="","",IF(AND($I36&lt;1,S$6&lt;=$J36,S$6+6&gt;$H36,$J36&gt;$H36),3,IF(AND($I36&gt;0,S$6&lt;=$G36+($H36-$G36+1)*$I36-1,S$6+6&gt;=$G36),2,IF(AND(S$6&lt;=$H36,S$6+6&gt;=$G36),1,0))))</x:f>
      </x:c>
      <x:c r="T36" s="43" t="str">
        <x:f>IF($C36="","",IF(AND($I36&lt;1,T$6&lt;=$J36,T$6+6&gt;$H36,$J36&gt;$H36),3,IF(AND($I36&gt;0,T$6&lt;=$G36+($H36-$G36+1)*$I36-1,T$6+6&gt;=$G36),2,IF(AND(T$6&lt;=$H36,T$6+6&gt;=$G36),1,0))))</x:f>
      </x:c>
      <x:c r="U36" s="43" t="str">
        <x:f>IF($C36="","",IF(AND($I36&lt;1,U$6&lt;=$J36,U$6+6&gt;$H36,$J36&gt;$H36),3,IF(AND($I36&gt;0,U$6&lt;=$G36+($H36-$G36+1)*$I36-1,U$6+6&gt;=$G36),2,IF(AND(U$6&lt;=$H36,U$6+6&gt;=$G36),1,0))))</x:f>
      </x:c>
      <x:c r="V36" s="43" t="str">
        <x:f>IF($C36="","",IF(AND($I36&lt;1,V$6&lt;=$J36,V$6+6&gt;$H36,$J36&gt;$H36),3,IF(AND($I36&gt;0,V$6&lt;=$G36+($H36-$G36+1)*$I36-1,V$6+6&gt;=$G36),2,IF(AND(V$6&lt;=$H36,V$6+6&gt;=$G36),1,0))))</x:f>
      </x:c>
      <x:c r="W36" s="43" t="str">
        <x:f>IF($C36="","",IF(AND($I36&lt;1,W$6&lt;=$J36,W$6+6&gt;$H36,$J36&gt;$H36),3,IF(AND($I36&gt;0,W$6&lt;=$G36+($H36-$G36+1)*$I36-1,W$6+6&gt;=$G36),2,IF(AND(W$6&lt;=$H36,W$6+6&gt;=$G36),1,0))))</x:f>
      </x:c>
      <x:c r="X36" s="43" t="str">
        <x:f>IF($C36="","",IF(AND($I36&lt;1,X$6&lt;=$J36,X$6+6&gt;$H36,$J36&gt;$H36),3,IF(AND($I36&gt;0,X$6&lt;=$G36+($H36-$G36+1)*$I36-1,X$6+6&gt;=$G36),2,IF(AND(X$6&lt;=$H36,X$6+6&gt;=$G36),1,0))))</x:f>
      </x:c>
      <x:c r="Y36" s="43" t="str">
        <x:f>IF($C36="","",IF(AND($I36&lt;1,Y$6&lt;=$J36,Y$6+6&gt;$H36,$J36&gt;$H36),3,IF(AND($I36&gt;0,Y$6&lt;=$G36+($H36-$G36+1)*$I36-1,Y$6+6&gt;=$G36),2,IF(AND(Y$6&lt;=$H36,Y$6+6&gt;=$G36),1,0))))</x:f>
      </x:c>
      <x:c r="Z36" s="43" t="str">
        <x:f>IF($C36="","",IF(AND($I36&lt;1,Z$6&lt;=$J36,Z$6+6&gt;$H36,$J36&gt;$H36),3,IF(AND($I36&gt;0,Z$6&lt;=$G36+($H36-$G36+1)*$I36-1,Z$6+6&gt;=$G36),2,IF(AND(Z$6&lt;=$H36,Z$6+6&gt;=$G36),1,0))))</x:f>
      </x:c>
      <x:c r="AA36" s="43" t="str">
        <x:f>IF($C36="","",IF(AND($I36&lt;1,AA$6&lt;=$J36,AA$6+6&gt;$H36,$J36&gt;$H36),3,IF(AND($I36&gt;0,AA$6&lt;=$G36+($H36-$G36+1)*$I36-1,AA$6+6&gt;=$G36),2,IF(AND(AA$6&lt;=$H36,AA$6+6&gt;=$G36),1,0))))</x:f>
      </x:c>
      <x:c r="AB36" s="43" t="str">
        <x:f>IF($C36="","",IF(AND($I36&lt;1,AB$6&lt;=$J36,AB$6+6&gt;$H36,$J36&gt;$H36),3,IF(AND($I36&gt;0,AB$6&lt;=$G36+($H36-$G36+1)*$I36-1,AB$6+6&gt;=$G36),2,IF(AND(AB$6&lt;=$H36,AB$6+6&gt;=$G36),1,0))))</x:f>
      </x:c>
      <x:c r="AC36" s="43" t="str">
        <x:f>IF($C36="","",IF(AND($I36&lt;1,AC$6&lt;=$J36,AC$6+6&gt;$H36,$J36&gt;$H36),3,IF(AND($I36&gt;0,AC$6&lt;=$G36+($H36-$G36+1)*$I36-1,AC$6+6&gt;=$G36),2,IF(AND(AC$6&lt;=$H36,AC$6+6&gt;=$G36),1,0))))</x:f>
      </x:c>
      <x:c r="AD36" s="43" t="str">
        <x:f>IF($C36="","",IF(AND($I36&lt;1,AD$6&lt;=$J36,AD$6+6&gt;$H36,$J36&gt;$H36),3,IF(AND($I36&gt;0,AD$6&lt;=$G36+($H36-$G36+1)*$I36-1,AD$6+6&gt;=$G36),2,IF(AND(AD$6&lt;=$H36,AD$6+6&gt;=$G36),1,0))))</x:f>
      </x:c>
      <x:c r="AE36" s="43" t="str">
        <x:f>IF($C36="","",IF(AND($I36&lt;1,AE$6&lt;=$J36,AE$6+6&gt;$H36,$J36&gt;$H36),3,IF(AND($I36&gt;0,AE$6&lt;=$G36+($H36-$G36+1)*$I36-1,AE$6+6&gt;=$G36),2,IF(AND(AE$6&lt;=$H36,AE$6+6&gt;=$G36),1,0))))</x:f>
      </x:c>
      <x:c r="AF36" s="43" t="str">
        <x:f>IF($C36="","",IF(AND($I36&lt;1,AF$6&lt;=$J36,AF$6+6&gt;$H36,$J36&gt;$H36),3,IF(AND($I36&gt;0,AF$6&lt;=$G36+($H36-$G36+1)*$I36-1,AF$6+6&gt;=$G36),2,IF(AND(AF$6&lt;=$H36,AF$6+6&gt;=$G36),1,0))))</x:f>
      </x:c>
      <x:c r="AG36" s="43" t="str">
        <x:f>IF($C36="","",IF(AND($I36&lt;1,AG$6&lt;=$J36,AG$6+6&gt;$H36,$J36&gt;$H36),3,IF(AND($I36&gt;0,AG$6&lt;=$G36+($H36-$G36+1)*$I36-1,AG$6+6&gt;=$G36),2,IF(AND(AG$6&lt;=$H36,AG$6+6&gt;=$G36),1,0))))</x:f>
      </x:c>
      <x:c r="AH36" s="43" t="str">
        <x:f>IF($C36="","",IF(AND($I36&lt;1,AH$6&lt;=$J36,AH$6+6&gt;$H36,$J36&gt;$H36),3,IF(AND($I36&gt;0,AH$6&lt;=$G36+($H36-$G36+1)*$I36-1,AH$6+6&gt;=$G36),2,IF(AND(AH$6&lt;=$H36,AH$6+6&gt;=$G36),1,0))))</x:f>
      </x:c>
      <x:c r="AI36" s="43" t="str">
        <x:f>IF($C36="","",IF(AND($I36&lt;1,AI$6&lt;=$J36,AI$6+6&gt;$H36,$J36&gt;$H36),3,IF(AND($I36&gt;0,AI$6&lt;=$G36+($H36-$G36+1)*$I36-1,AI$6+6&gt;=$G36),2,IF(AND(AI$6&lt;=$H36,AI$6+6&gt;=$G36),1,0))))</x:f>
      </x:c>
      <x:c r="AJ36" s="43" t="str">
        <x:f>IF($C36="","",IF(AND($I36&lt;1,AJ$6&lt;=$J36,AJ$6+6&gt;$H36,$J36&gt;$H36),3,IF(AND($I36&gt;0,AJ$6&lt;=$G36+($H36-$G36+1)*$I36-1,AJ$6+6&gt;=$G36),2,IF(AND(AJ$6&lt;=$H36,AJ$6+6&gt;=$G36),1,0))))</x:f>
      </x:c>
      <x:c r="AK36" s="43" t="str">
        <x:f>IF($C36="","",IF(AND($I36&lt;1,AK$6&lt;=$J36,AK$6+6&gt;$H36,$J36&gt;$H36),3,IF(AND($I36&gt;0,AK$6&lt;=$G36+($H36-$G36+1)*$I36-1,AK$6+6&gt;=$G36),2,IF(AND(AK$6&lt;=$H36,AK$6+6&gt;=$G36),1,0))))</x:f>
      </x:c>
    </x:row>
    <x:row r="37" ht="22" customHeight="1">
      <x:c r="A37" s="2"/>
      <x:c r="B37" s="2" t="n">
        <x:v>31</x:v>
      </x:c>
      <x:c r="C37" s="2" t="str">
        <x:f>IF($B37&gt;INDEX('Portfoy'!$U$7:$U$26,MATCH('Panel'!$C$5,'Portfoy'!$A$7:$A$26,0)),"",INDEX('Gorevler'!$A$7:$A$206,MATCH($B37,'Gorevler'!$S$7:$S$206,0)))</x:f>
      </x:c>
      <x:c r="D37" s="2" t="str">
        <x:f>IF($B37&gt;INDEX('Portfoy'!$U$7:$U$26,MATCH('Panel'!$C$5,'Portfoy'!$A$7:$A$26,0)),"",INDEX('Gorevler'!$C$7:$C$206,MATCH($B37,'Gorevler'!$S$7:$S$206,0)))</x:f>
      </x:c>
      <x:c r="E37" s="2" t="str">
        <x:f>IF($B37&gt;INDEX('Portfoy'!$U$7:$U$26,MATCH('Panel'!$C$5,'Portfoy'!$A$7:$A$26,0)),"",INDEX('Gorevler'!$D$7:$D$206,MATCH($B37,'Gorevler'!$S$7:$S$206,0)))</x:f>
      </x:c>
      <x:c r="F37" s="2" t="str">
        <x:f>IF($B37&gt;INDEX('Portfoy'!$U$7:$U$26,MATCH('Panel'!$C$5,'Portfoy'!$A$7:$A$26,0)),"",INDEX('Gorevler'!$K$7:$K$206,MATCH($B37,'Gorevler'!$S$7:$S$206,0)))</x:f>
      </x:c>
      <x:c r="G37" s="5" t="str">
        <x:f>IF($B37&gt;INDEX('Portfoy'!$U$7:$U$26,MATCH('Panel'!$C$5,'Portfoy'!$A$7:$A$26,0)),"",INDEX('Gorevler'!$F$7:$F$206,MATCH($B37,'Gorevler'!$S$7:$S$206,0)))</x:f>
      </x:c>
      <x:c r="H37" s="5" t="str">
        <x:f>IF($B37&gt;INDEX('Portfoy'!$U$7:$U$26,MATCH('Panel'!$C$5,'Portfoy'!$A$7:$A$26,0)),"",INDEX('Gorevler'!$G$7:$G$206,MATCH($B37,'Gorevler'!$S$7:$S$206,0)))</x:f>
      </x:c>
      <x:c r="I37" s="37" t="str">
        <x:f>IF($B37&gt;INDEX('Portfoy'!$U$7:$U$26,MATCH('Panel'!$C$5,'Portfoy'!$A$7:$A$26,0)),"",INDEX('Gorevler'!$I$7:$I$206,MATCH($B37,'Gorevler'!$S$7:$S$206,0)))</x:f>
      </x:c>
      <x:c r="J37" s="5" t="str">
        <x:f>IF($B37&gt;INDEX('Portfoy'!$U$7:$U$26,MATCH('Panel'!$C$5,'Portfoy'!$A$7:$A$26,0)),"",INDEX('Gorevler'!$J$7:$J$206,MATCH($B37,'Gorevler'!$S$7:$S$206,0)))</x:f>
      </x:c>
      <x:c r="K37" s="2"/>
      <x:c r="L37" s="43" t="str">
        <x:f>IF($C37="","",IF(AND($I37&lt;1,L$6&lt;=$J37,L$6+6&gt;$H37,$J37&gt;$H37),3,IF(AND($I37&gt;0,L$6&lt;=$G37+($H37-$G37+1)*$I37-1,L$6+6&gt;=$G37),2,IF(AND(L$6&lt;=$H37,L$6+6&gt;=$G37),1,0))))</x:f>
      </x:c>
      <x:c r="M37" s="43" t="str">
        <x:f>IF($C37="","",IF(AND($I37&lt;1,M$6&lt;=$J37,M$6+6&gt;$H37,$J37&gt;$H37),3,IF(AND($I37&gt;0,M$6&lt;=$G37+($H37-$G37+1)*$I37-1,M$6+6&gt;=$G37),2,IF(AND(M$6&lt;=$H37,M$6+6&gt;=$G37),1,0))))</x:f>
      </x:c>
      <x:c r="N37" s="43" t="str">
        <x:f>IF($C37="","",IF(AND($I37&lt;1,N$6&lt;=$J37,N$6+6&gt;$H37,$J37&gt;$H37),3,IF(AND($I37&gt;0,N$6&lt;=$G37+($H37-$G37+1)*$I37-1,N$6+6&gt;=$G37),2,IF(AND(N$6&lt;=$H37,N$6+6&gt;=$G37),1,0))))</x:f>
      </x:c>
      <x:c r="O37" s="43" t="str">
        <x:f>IF($C37="","",IF(AND($I37&lt;1,O$6&lt;=$J37,O$6+6&gt;$H37,$J37&gt;$H37),3,IF(AND($I37&gt;0,O$6&lt;=$G37+($H37-$G37+1)*$I37-1,O$6+6&gt;=$G37),2,IF(AND(O$6&lt;=$H37,O$6+6&gt;=$G37),1,0))))</x:f>
      </x:c>
      <x:c r="P37" s="43" t="str">
        <x:f>IF($C37="","",IF(AND($I37&lt;1,P$6&lt;=$J37,P$6+6&gt;$H37,$J37&gt;$H37),3,IF(AND($I37&gt;0,P$6&lt;=$G37+($H37-$G37+1)*$I37-1,P$6+6&gt;=$G37),2,IF(AND(P$6&lt;=$H37,P$6+6&gt;=$G37),1,0))))</x:f>
      </x:c>
      <x:c r="Q37" s="43" t="str">
        <x:f>IF($C37="","",IF(AND($I37&lt;1,Q$6&lt;=$J37,Q$6+6&gt;$H37,$J37&gt;$H37),3,IF(AND($I37&gt;0,Q$6&lt;=$G37+($H37-$G37+1)*$I37-1,Q$6+6&gt;=$G37),2,IF(AND(Q$6&lt;=$H37,Q$6+6&gt;=$G37),1,0))))</x:f>
      </x:c>
      <x:c r="R37" s="43" t="str">
        <x:f>IF($C37="","",IF(AND($I37&lt;1,R$6&lt;=$J37,R$6+6&gt;$H37,$J37&gt;$H37),3,IF(AND($I37&gt;0,R$6&lt;=$G37+($H37-$G37+1)*$I37-1,R$6+6&gt;=$G37),2,IF(AND(R$6&lt;=$H37,R$6+6&gt;=$G37),1,0))))</x:f>
      </x:c>
      <x:c r="S37" s="43" t="str">
        <x:f>IF($C37="","",IF(AND($I37&lt;1,S$6&lt;=$J37,S$6+6&gt;$H37,$J37&gt;$H37),3,IF(AND($I37&gt;0,S$6&lt;=$G37+($H37-$G37+1)*$I37-1,S$6+6&gt;=$G37),2,IF(AND(S$6&lt;=$H37,S$6+6&gt;=$G37),1,0))))</x:f>
      </x:c>
      <x:c r="T37" s="43" t="str">
        <x:f>IF($C37="","",IF(AND($I37&lt;1,T$6&lt;=$J37,T$6+6&gt;$H37,$J37&gt;$H37),3,IF(AND($I37&gt;0,T$6&lt;=$G37+($H37-$G37+1)*$I37-1,T$6+6&gt;=$G37),2,IF(AND(T$6&lt;=$H37,T$6+6&gt;=$G37),1,0))))</x:f>
      </x:c>
      <x:c r="U37" s="43" t="str">
        <x:f>IF($C37="","",IF(AND($I37&lt;1,U$6&lt;=$J37,U$6+6&gt;$H37,$J37&gt;$H37),3,IF(AND($I37&gt;0,U$6&lt;=$G37+($H37-$G37+1)*$I37-1,U$6+6&gt;=$G37),2,IF(AND(U$6&lt;=$H37,U$6+6&gt;=$G37),1,0))))</x:f>
      </x:c>
      <x:c r="V37" s="43" t="str">
        <x:f>IF($C37="","",IF(AND($I37&lt;1,V$6&lt;=$J37,V$6+6&gt;$H37,$J37&gt;$H37),3,IF(AND($I37&gt;0,V$6&lt;=$G37+($H37-$G37+1)*$I37-1,V$6+6&gt;=$G37),2,IF(AND(V$6&lt;=$H37,V$6+6&gt;=$G37),1,0))))</x:f>
      </x:c>
      <x:c r="W37" s="43" t="str">
        <x:f>IF($C37="","",IF(AND($I37&lt;1,W$6&lt;=$J37,W$6+6&gt;$H37,$J37&gt;$H37),3,IF(AND($I37&gt;0,W$6&lt;=$G37+($H37-$G37+1)*$I37-1,W$6+6&gt;=$G37),2,IF(AND(W$6&lt;=$H37,W$6+6&gt;=$G37),1,0))))</x:f>
      </x:c>
      <x:c r="X37" s="43" t="str">
        <x:f>IF($C37="","",IF(AND($I37&lt;1,X$6&lt;=$J37,X$6+6&gt;$H37,$J37&gt;$H37),3,IF(AND($I37&gt;0,X$6&lt;=$G37+($H37-$G37+1)*$I37-1,X$6+6&gt;=$G37),2,IF(AND(X$6&lt;=$H37,X$6+6&gt;=$G37),1,0))))</x:f>
      </x:c>
      <x:c r="Y37" s="43" t="str">
        <x:f>IF($C37="","",IF(AND($I37&lt;1,Y$6&lt;=$J37,Y$6+6&gt;$H37,$J37&gt;$H37),3,IF(AND($I37&gt;0,Y$6&lt;=$G37+($H37-$G37+1)*$I37-1,Y$6+6&gt;=$G37),2,IF(AND(Y$6&lt;=$H37,Y$6+6&gt;=$G37),1,0))))</x:f>
      </x:c>
      <x:c r="Z37" s="43" t="str">
        <x:f>IF($C37="","",IF(AND($I37&lt;1,Z$6&lt;=$J37,Z$6+6&gt;$H37,$J37&gt;$H37),3,IF(AND($I37&gt;0,Z$6&lt;=$G37+($H37-$G37+1)*$I37-1,Z$6+6&gt;=$G37),2,IF(AND(Z$6&lt;=$H37,Z$6+6&gt;=$G37),1,0))))</x:f>
      </x:c>
      <x:c r="AA37" s="43" t="str">
        <x:f>IF($C37="","",IF(AND($I37&lt;1,AA$6&lt;=$J37,AA$6+6&gt;$H37,$J37&gt;$H37),3,IF(AND($I37&gt;0,AA$6&lt;=$G37+($H37-$G37+1)*$I37-1,AA$6+6&gt;=$G37),2,IF(AND(AA$6&lt;=$H37,AA$6+6&gt;=$G37),1,0))))</x:f>
      </x:c>
      <x:c r="AB37" s="43" t="str">
        <x:f>IF($C37="","",IF(AND($I37&lt;1,AB$6&lt;=$J37,AB$6+6&gt;$H37,$J37&gt;$H37),3,IF(AND($I37&gt;0,AB$6&lt;=$G37+($H37-$G37+1)*$I37-1,AB$6+6&gt;=$G37),2,IF(AND(AB$6&lt;=$H37,AB$6+6&gt;=$G37),1,0))))</x:f>
      </x:c>
      <x:c r="AC37" s="43" t="str">
        <x:f>IF($C37="","",IF(AND($I37&lt;1,AC$6&lt;=$J37,AC$6+6&gt;$H37,$J37&gt;$H37),3,IF(AND($I37&gt;0,AC$6&lt;=$G37+($H37-$G37+1)*$I37-1,AC$6+6&gt;=$G37),2,IF(AND(AC$6&lt;=$H37,AC$6+6&gt;=$G37),1,0))))</x:f>
      </x:c>
      <x:c r="AD37" s="43" t="str">
        <x:f>IF($C37="","",IF(AND($I37&lt;1,AD$6&lt;=$J37,AD$6+6&gt;$H37,$J37&gt;$H37),3,IF(AND($I37&gt;0,AD$6&lt;=$G37+($H37-$G37+1)*$I37-1,AD$6+6&gt;=$G37),2,IF(AND(AD$6&lt;=$H37,AD$6+6&gt;=$G37),1,0))))</x:f>
      </x:c>
      <x:c r="AE37" s="43" t="str">
        <x:f>IF($C37="","",IF(AND($I37&lt;1,AE$6&lt;=$J37,AE$6+6&gt;$H37,$J37&gt;$H37),3,IF(AND($I37&gt;0,AE$6&lt;=$G37+($H37-$G37+1)*$I37-1,AE$6+6&gt;=$G37),2,IF(AND(AE$6&lt;=$H37,AE$6+6&gt;=$G37),1,0))))</x:f>
      </x:c>
      <x:c r="AF37" s="43" t="str">
        <x:f>IF($C37="","",IF(AND($I37&lt;1,AF$6&lt;=$J37,AF$6+6&gt;$H37,$J37&gt;$H37),3,IF(AND($I37&gt;0,AF$6&lt;=$G37+($H37-$G37+1)*$I37-1,AF$6+6&gt;=$G37),2,IF(AND(AF$6&lt;=$H37,AF$6+6&gt;=$G37),1,0))))</x:f>
      </x:c>
      <x:c r="AG37" s="43" t="str">
        <x:f>IF($C37="","",IF(AND($I37&lt;1,AG$6&lt;=$J37,AG$6+6&gt;$H37,$J37&gt;$H37),3,IF(AND($I37&gt;0,AG$6&lt;=$G37+($H37-$G37+1)*$I37-1,AG$6+6&gt;=$G37),2,IF(AND(AG$6&lt;=$H37,AG$6+6&gt;=$G37),1,0))))</x:f>
      </x:c>
      <x:c r="AH37" s="43" t="str">
        <x:f>IF($C37="","",IF(AND($I37&lt;1,AH$6&lt;=$J37,AH$6+6&gt;$H37,$J37&gt;$H37),3,IF(AND($I37&gt;0,AH$6&lt;=$G37+($H37-$G37+1)*$I37-1,AH$6+6&gt;=$G37),2,IF(AND(AH$6&lt;=$H37,AH$6+6&gt;=$G37),1,0))))</x:f>
      </x:c>
      <x:c r="AI37" s="43" t="str">
        <x:f>IF($C37="","",IF(AND($I37&lt;1,AI$6&lt;=$J37,AI$6+6&gt;$H37,$J37&gt;$H37),3,IF(AND($I37&gt;0,AI$6&lt;=$G37+($H37-$G37+1)*$I37-1,AI$6+6&gt;=$G37),2,IF(AND(AI$6&lt;=$H37,AI$6+6&gt;=$G37),1,0))))</x:f>
      </x:c>
      <x:c r="AJ37" s="43" t="str">
        <x:f>IF($C37="","",IF(AND($I37&lt;1,AJ$6&lt;=$J37,AJ$6+6&gt;$H37,$J37&gt;$H37),3,IF(AND($I37&gt;0,AJ$6&lt;=$G37+($H37-$G37+1)*$I37-1,AJ$6+6&gt;=$G37),2,IF(AND(AJ$6&lt;=$H37,AJ$6+6&gt;=$G37),1,0))))</x:f>
      </x:c>
      <x:c r="AK37" s="43" t="str">
        <x:f>IF($C37="","",IF(AND($I37&lt;1,AK$6&lt;=$J37,AK$6+6&gt;$H37,$J37&gt;$H37),3,IF(AND($I37&gt;0,AK$6&lt;=$G37+($H37-$G37+1)*$I37-1,AK$6+6&gt;=$G37),2,IF(AND(AK$6&lt;=$H37,AK$6+6&gt;=$G37),1,0))))</x:f>
      </x:c>
    </x:row>
    <x:row r="38" ht="22" customHeight="1">
      <x:c r="A38" s="2"/>
      <x:c r="B38" s="2" t="n">
        <x:v>32</x:v>
      </x:c>
      <x:c r="C38" s="2" t="str">
        <x:f>IF($B38&gt;INDEX('Portfoy'!$U$7:$U$26,MATCH('Panel'!$C$5,'Portfoy'!$A$7:$A$26,0)),"",INDEX('Gorevler'!$A$7:$A$206,MATCH($B38,'Gorevler'!$S$7:$S$206,0)))</x:f>
      </x:c>
      <x:c r="D38" s="2" t="str">
        <x:f>IF($B38&gt;INDEX('Portfoy'!$U$7:$U$26,MATCH('Panel'!$C$5,'Portfoy'!$A$7:$A$26,0)),"",INDEX('Gorevler'!$C$7:$C$206,MATCH($B38,'Gorevler'!$S$7:$S$206,0)))</x:f>
      </x:c>
      <x:c r="E38" s="2" t="str">
        <x:f>IF($B38&gt;INDEX('Portfoy'!$U$7:$U$26,MATCH('Panel'!$C$5,'Portfoy'!$A$7:$A$26,0)),"",INDEX('Gorevler'!$D$7:$D$206,MATCH($B38,'Gorevler'!$S$7:$S$206,0)))</x:f>
      </x:c>
      <x:c r="F38" s="2" t="str">
        <x:f>IF($B38&gt;INDEX('Portfoy'!$U$7:$U$26,MATCH('Panel'!$C$5,'Portfoy'!$A$7:$A$26,0)),"",INDEX('Gorevler'!$K$7:$K$206,MATCH($B38,'Gorevler'!$S$7:$S$206,0)))</x:f>
      </x:c>
      <x:c r="G38" s="5" t="str">
        <x:f>IF($B38&gt;INDEX('Portfoy'!$U$7:$U$26,MATCH('Panel'!$C$5,'Portfoy'!$A$7:$A$26,0)),"",INDEX('Gorevler'!$F$7:$F$206,MATCH($B38,'Gorevler'!$S$7:$S$206,0)))</x:f>
      </x:c>
      <x:c r="H38" s="5" t="str">
        <x:f>IF($B38&gt;INDEX('Portfoy'!$U$7:$U$26,MATCH('Panel'!$C$5,'Portfoy'!$A$7:$A$26,0)),"",INDEX('Gorevler'!$G$7:$G$206,MATCH($B38,'Gorevler'!$S$7:$S$206,0)))</x:f>
      </x:c>
      <x:c r="I38" s="37" t="str">
        <x:f>IF($B38&gt;INDEX('Portfoy'!$U$7:$U$26,MATCH('Panel'!$C$5,'Portfoy'!$A$7:$A$26,0)),"",INDEX('Gorevler'!$I$7:$I$206,MATCH($B38,'Gorevler'!$S$7:$S$206,0)))</x:f>
      </x:c>
      <x:c r="J38" s="5" t="str">
        <x:f>IF($B38&gt;INDEX('Portfoy'!$U$7:$U$26,MATCH('Panel'!$C$5,'Portfoy'!$A$7:$A$26,0)),"",INDEX('Gorevler'!$J$7:$J$206,MATCH($B38,'Gorevler'!$S$7:$S$206,0)))</x:f>
      </x:c>
      <x:c r="K38" s="2"/>
      <x:c r="L38" s="43" t="str">
        <x:f>IF($C38="","",IF(AND($I38&lt;1,L$6&lt;=$J38,L$6+6&gt;$H38,$J38&gt;$H38),3,IF(AND($I38&gt;0,L$6&lt;=$G38+($H38-$G38+1)*$I38-1,L$6+6&gt;=$G38),2,IF(AND(L$6&lt;=$H38,L$6+6&gt;=$G38),1,0))))</x:f>
      </x:c>
      <x:c r="M38" s="43" t="str">
        <x:f>IF($C38="","",IF(AND($I38&lt;1,M$6&lt;=$J38,M$6+6&gt;$H38,$J38&gt;$H38),3,IF(AND($I38&gt;0,M$6&lt;=$G38+($H38-$G38+1)*$I38-1,M$6+6&gt;=$G38),2,IF(AND(M$6&lt;=$H38,M$6+6&gt;=$G38),1,0))))</x:f>
      </x:c>
      <x:c r="N38" s="43" t="str">
        <x:f>IF($C38="","",IF(AND($I38&lt;1,N$6&lt;=$J38,N$6+6&gt;$H38,$J38&gt;$H38),3,IF(AND($I38&gt;0,N$6&lt;=$G38+($H38-$G38+1)*$I38-1,N$6+6&gt;=$G38),2,IF(AND(N$6&lt;=$H38,N$6+6&gt;=$G38),1,0))))</x:f>
      </x:c>
      <x:c r="O38" s="43" t="str">
        <x:f>IF($C38="","",IF(AND($I38&lt;1,O$6&lt;=$J38,O$6+6&gt;$H38,$J38&gt;$H38),3,IF(AND($I38&gt;0,O$6&lt;=$G38+($H38-$G38+1)*$I38-1,O$6+6&gt;=$G38),2,IF(AND(O$6&lt;=$H38,O$6+6&gt;=$G38),1,0))))</x:f>
      </x:c>
      <x:c r="P38" s="43" t="str">
        <x:f>IF($C38="","",IF(AND($I38&lt;1,P$6&lt;=$J38,P$6+6&gt;$H38,$J38&gt;$H38),3,IF(AND($I38&gt;0,P$6&lt;=$G38+($H38-$G38+1)*$I38-1,P$6+6&gt;=$G38),2,IF(AND(P$6&lt;=$H38,P$6+6&gt;=$G38),1,0))))</x:f>
      </x:c>
      <x:c r="Q38" s="43" t="str">
        <x:f>IF($C38="","",IF(AND($I38&lt;1,Q$6&lt;=$J38,Q$6+6&gt;$H38,$J38&gt;$H38),3,IF(AND($I38&gt;0,Q$6&lt;=$G38+($H38-$G38+1)*$I38-1,Q$6+6&gt;=$G38),2,IF(AND(Q$6&lt;=$H38,Q$6+6&gt;=$G38),1,0))))</x:f>
      </x:c>
      <x:c r="R38" s="43" t="str">
        <x:f>IF($C38="","",IF(AND($I38&lt;1,R$6&lt;=$J38,R$6+6&gt;$H38,$J38&gt;$H38),3,IF(AND($I38&gt;0,R$6&lt;=$G38+($H38-$G38+1)*$I38-1,R$6+6&gt;=$G38),2,IF(AND(R$6&lt;=$H38,R$6+6&gt;=$G38),1,0))))</x:f>
      </x:c>
      <x:c r="S38" s="43" t="str">
        <x:f>IF($C38="","",IF(AND($I38&lt;1,S$6&lt;=$J38,S$6+6&gt;$H38,$J38&gt;$H38),3,IF(AND($I38&gt;0,S$6&lt;=$G38+($H38-$G38+1)*$I38-1,S$6+6&gt;=$G38),2,IF(AND(S$6&lt;=$H38,S$6+6&gt;=$G38),1,0))))</x:f>
      </x:c>
      <x:c r="T38" s="43" t="str">
        <x:f>IF($C38="","",IF(AND($I38&lt;1,T$6&lt;=$J38,T$6+6&gt;$H38,$J38&gt;$H38),3,IF(AND($I38&gt;0,T$6&lt;=$G38+($H38-$G38+1)*$I38-1,T$6+6&gt;=$G38),2,IF(AND(T$6&lt;=$H38,T$6+6&gt;=$G38),1,0))))</x:f>
      </x:c>
      <x:c r="U38" s="43" t="str">
        <x:f>IF($C38="","",IF(AND($I38&lt;1,U$6&lt;=$J38,U$6+6&gt;$H38,$J38&gt;$H38),3,IF(AND($I38&gt;0,U$6&lt;=$G38+($H38-$G38+1)*$I38-1,U$6+6&gt;=$G38),2,IF(AND(U$6&lt;=$H38,U$6+6&gt;=$G38),1,0))))</x:f>
      </x:c>
      <x:c r="V38" s="43" t="str">
        <x:f>IF($C38="","",IF(AND($I38&lt;1,V$6&lt;=$J38,V$6+6&gt;$H38,$J38&gt;$H38),3,IF(AND($I38&gt;0,V$6&lt;=$G38+($H38-$G38+1)*$I38-1,V$6+6&gt;=$G38),2,IF(AND(V$6&lt;=$H38,V$6+6&gt;=$G38),1,0))))</x:f>
      </x:c>
      <x:c r="W38" s="43" t="str">
        <x:f>IF($C38="","",IF(AND($I38&lt;1,W$6&lt;=$J38,W$6+6&gt;$H38,$J38&gt;$H38),3,IF(AND($I38&gt;0,W$6&lt;=$G38+($H38-$G38+1)*$I38-1,W$6+6&gt;=$G38),2,IF(AND(W$6&lt;=$H38,W$6+6&gt;=$G38),1,0))))</x:f>
      </x:c>
      <x:c r="X38" s="43" t="str">
        <x:f>IF($C38="","",IF(AND($I38&lt;1,X$6&lt;=$J38,X$6+6&gt;$H38,$J38&gt;$H38),3,IF(AND($I38&gt;0,X$6&lt;=$G38+($H38-$G38+1)*$I38-1,X$6+6&gt;=$G38),2,IF(AND(X$6&lt;=$H38,X$6+6&gt;=$G38),1,0))))</x:f>
      </x:c>
      <x:c r="Y38" s="43" t="str">
        <x:f>IF($C38="","",IF(AND($I38&lt;1,Y$6&lt;=$J38,Y$6+6&gt;$H38,$J38&gt;$H38),3,IF(AND($I38&gt;0,Y$6&lt;=$G38+($H38-$G38+1)*$I38-1,Y$6+6&gt;=$G38),2,IF(AND(Y$6&lt;=$H38,Y$6+6&gt;=$G38),1,0))))</x:f>
      </x:c>
      <x:c r="Z38" s="43" t="str">
        <x:f>IF($C38="","",IF(AND($I38&lt;1,Z$6&lt;=$J38,Z$6+6&gt;$H38,$J38&gt;$H38),3,IF(AND($I38&gt;0,Z$6&lt;=$G38+($H38-$G38+1)*$I38-1,Z$6+6&gt;=$G38),2,IF(AND(Z$6&lt;=$H38,Z$6+6&gt;=$G38),1,0))))</x:f>
      </x:c>
      <x:c r="AA38" s="43" t="str">
        <x:f>IF($C38="","",IF(AND($I38&lt;1,AA$6&lt;=$J38,AA$6+6&gt;$H38,$J38&gt;$H38),3,IF(AND($I38&gt;0,AA$6&lt;=$G38+($H38-$G38+1)*$I38-1,AA$6+6&gt;=$G38),2,IF(AND(AA$6&lt;=$H38,AA$6+6&gt;=$G38),1,0))))</x:f>
      </x:c>
      <x:c r="AB38" s="43" t="str">
        <x:f>IF($C38="","",IF(AND($I38&lt;1,AB$6&lt;=$J38,AB$6+6&gt;$H38,$J38&gt;$H38),3,IF(AND($I38&gt;0,AB$6&lt;=$G38+($H38-$G38+1)*$I38-1,AB$6+6&gt;=$G38),2,IF(AND(AB$6&lt;=$H38,AB$6+6&gt;=$G38),1,0))))</x:f>
      </x:c>
      <x:c r="AC38" s="43" t="str">
        <x:f>IF($C38="","",IF(AND($I38&lt;1,AC$6&lt;=$J38,AC$6+6&gt;$H38,$J38&gt;$H38),3,IF(AND($I38&gt;0,AC$6&lt;=$G38+($H38-$G38+1)*$I38-1,AC$6+6&gt;=$G38),2,IF(AND(AC$6&lt;=$H38,AC$6+6&gt;=$G38),1,0))))</x:f>
      </x:c>
      <x:c r="AD38" s="43" t="str">
        <x:f>IF($C38="","",IF(AND($I38&lt;1,AD$6&lt;=$J38,AD$6+6&gt;$H38,$J38&gt;$H38),3,IF(AND($I38&gt;0,AD$6&lt;=$G38+($H38-$G38+1)*$I38-1,AD$6+6&gt;=$G38),2,IF(AND(AD$6&lt;=$H38,AD$6+6&gt;=$G38),1,0))))</x:f>
      </x:c>
      <x:c r="AE38" s="43" t="str">
        <x:f>IF($C38="","",IF(AND($I38&lt;1,AE$6&lt;=$J38,AE$6+6&gt;$H38,$J38&gt;$H38),3,IF(AND($I38&gt;0,AE$6&lt;=$G38+($H38-$G38+1)*$I38-1,AE$6+6&gt;=$G38),2,IF(AND(AE$6&lt;=$H38,AE$6+6&gt;=$G38),1,0))))</x:f>
      </x:c>
      <x:c r="AF38" s="43" t="str">
        <x:f>IF($C38="","",IF(AND($I38&lt;1,AF$6&lt;=$J38,AF$6+6&gt;$H38,$J38&gt;$H38),3,IF(AND($I38&gt;0,AF$6&lt;=$G38+($H38-$G38+1)*$I38-1,AF$6+6&gt;=$G38),2,IF(AND(AF$6&lt;=$H38,AF$6+6&gt;=$G38),1,0))))</x:f>
      </x:c>
      <x:c r="AG38" s="43" t="str">
        <x:f>IF($C38="","",IF(AND($I38&lt;1,AG$6&lt;=$J38,AG$6+6&gt;$H38,$J38&gt;$H38),3,IF(AND($I38&gt;0,AG$6&lt;=$G38+($H38-$G38+1)*$I38-1,AG$6+6&gt;=$G38),2,IF(AND(AG$6&lt;=$H38,AG$6+6&gt;=$G38),1,0))))</x:f>
      </x:c>
      <x:c r="AH38" s="43" t="str">
        <x:f>IF($C38="","",IF(AND($I38&lt;1,AH$6&lt;=$J38,AH$6+6&gt;$H38,$J38&gt;$H38),3,IF(AND($I38&gt;0,AH$6&lt;=$G38+($H38-$G38+1)*$I38-1,AH$6+6&gt;=$G38),2,IF(AND(AH$6&lt;=$H38,AH$6+6&gt;=$G38),1,0))))</x:f>
      </x:c>
      <x:c r="AI38" s="43" t="str">
        <x:f>IF($C38="","",IF(AND($I38&lt;1,AI$6&lt;=$J38,AI$6+6&gt;$H38,$J38&gt;$H38),3,IF(AND($I38&gt;0,AI$6&lt;=$G38+($H38-$G38+1)*$I38-1,AI$6+6&gt;=$G38),2,IF(AND(AI$6&lt;=$H38,AI$6+6&gt;=$G38),1,0))))</x:f>
      </x:c>
      <x:c r="AJ38" s="43" t="str">
        <x:f>IF($C38="","",IF(AND($I38&lt;1,AJ$6&lt;=$J38,AJ$6+6&gt;$H38,$J38&gt;$H38),3,IF(AND($I38&gt;0,AJ$6&lt;=$G38+($H38-$G38+1)*$I38-1,AJ$6+6&gt;=$G38),2,IF(AND(AJ$6&lt;=$H38,AJ$6+6&gt;=$G38),1,0))))</x:f>
      </x:c>
      <x:c r="AK38" s="43" t="str">
        <x:f>IF($C38="","",IF(AND($I38&lt;1,AK$6&lt;=$J38,AK$6+6&gt;$H38,$J38&gt;$H38),3,IF(AND($I38&gt;0,AK$6&lt;=$G38+($H38-$G38+1)*$I38-1,AK$6+6&gt;=$G38),2,IF(AND(AK$6&lt;=$H38,AK$6+6&gt;=$G38),1,0))))</x:f>
      </x:c>
    </x:row>
    <x:row r="39" ht="22" customHeight="1">
      <x:c r="A39" s="2"/>
      <x:c r="B39" s="2" t="n">
        <x:v>33</x:v>
      </x:c>
      <x:c r="C39" s="2" t="str">
        <x:f>IF($B39&gt;INDEX('Portfoy'!$U$7:$U$26,MATCH('Panel'!$C$5,'Portfoy'!$A$7:$A$26,0)),"",INDEX('Gorevler'!$A$7:$A$206,MATCH($B39,'Gorevler'!$S$7:$S$206,0)))</x:f>
      </x:c>
      <x:c r="D39" s="2" t="str">
        <x:f>IF($B39&gt;INDEX('Portfoy'!$U$7:$U$26,MATCH('Panel'!$C$5,'Portfoy'!$A$7:$A$26,0)),"",INDEX('Gorevler'!$C$7:$C$206,MATCH($B39,'Gorevler'!$S$7:$S$206,0)))</x:f>
      </x:c>
      <x:c r="E39" s="2" t="str">
        <x:f>IF($B39&gt;INDEX('Portfoy'!$U$7:$U$26,MATCH('Panel'!$C$5,'Portfoy'!$A$7:$A$26,0)),"",INDEX('Gorevler'!$D$7:$D$206,MATCH($B39,'Gorevler'!$S$7:$S$206,0)))</x:f>
      </x:c>
      <x:c r="F39" s="2" t="str">
        <x:f>IF($B39&gt;INDEX('Portfoy'!$U$7:$U$26,MATCH('Panel'!$C$5,'Portfoy'!$A$7:$A$26,0)),"",INDEX('Gorevler'!$K$7:$K$206,MATCH($B39,'Gorevler'!$S$7:$S$206,0)))</x:f>
      </x:c>
      <x:c r="G39" s="5" t="str">
        <x:f>IF($B39&gt;INDEX('Portfoy'!$U$7:$U$26,MATCH('Panel'!$C$5,'Portfoy'!$A$7:$A$26,0)),"",INDEX('Gorevler'!$F$7:$F$206,MATCH($B39,'Gorevler'!$S$7:$S$206,0)))</x:f>
      </x:c>
      <x:c r="H39" s="5" t="str">
        <x:f>IF($B39&gt;INDEX('Portfoy'!$U$7:$U$26,MATCH('Panel'!$C$5,'Portfoy'!$A$7:$A$26,0)),"",INDEX('Gorevler'!$G$7:$G$206,MATCH($B39,'Gorevler'!$S$7:$S$206,0)))</x:f>
      </x:c>
      <x:c r="I39" s="37" t="str">
        <x:f>IF($B39&gt;INDEX('Portfoy'!$U$7:$U$26,MATCH('Panel'!$C$5,'Portfoy'!$A$7:$A$26,0)),"",INDEX('Gorevler'!$I$7:$I$206,MATCH($B39,'Gorevler'!$S$7:$S$206,0)))</x:f>
      </x:c>
      <x:c r="J39" s="5" t="str">
        <x:f>IF($B39&gt;INDEX('Portfoy'!$U$7:$U$26,MATCH('Panel'!$C$5,'Portfoy'!$A$7:$A$26,0)),"",INDEX('Gorevler'!$J$7:$J$206,MATCH($B39,'Gorevler'!$S$7:$S$206,0)))</x:f>
      </x:c>
      <x:c r="K39" s="2"/>
      <x:c r="L39" s="43" t="str">
        <x:f>IF($C39="","",IF(AND($I39&lt;1,L$6&lt;=$J39,L$6+6&gt;$H39,$J39&gt;$H39),3,IF(AND($I39&gt;0,L$6&lt;=$G39+($H39-$G39+1)*$I39-1,L$6+6&gt;=$G39),2,IF(AND(L$6&lt;=$H39,L$6+6&gt;=$G39),1,0))))</x:f>
      </x:c>
      <x:c r="M39" s="43" t="str">
        <x:f>IF($C39="","",IF(AND($I39&lt;1,M$6&lt;=$J39,M$6+6&gt;$H39,$J39&gt;$H39),3,IF(AND($I39&gt;0,M$6&lt;=$G39+($H39-$G39+1)*$I39-1,M$6+6&gt;=$G39),2,IF(AND(M$6&lt;=$H39,M$6+6&gt;=$G39),1,0))))</x:f>
      </x:c>
      <x:c r="N39" s="43" t="str">
        <x:f>IF($C39="","",IF(AND($I39&lt;1,N$6&lt;=$J39,N$6+6&gt;$H39,$J39&gt;$H39),3,IF(AND($I39&gt;0,N$6&lt;=$G39+($H39-$G39+1)*$I39-1,N$6+6&gt;=$G39),2,IF(AND(N$6&lt;=$H39,N$6+6&gt;=$G39),1,0))))</x:f>
      </x:c>
      <x:c r="O39" s="43" t="str">
        <x:f>IF($C39="","",IF(AND($I39&lt;1,O$6&lt;=$J39,O$6+6&gt;$H39,$J39&gt;$H39),3,IF(AND($I39&gt;0,O$6&lt;=$G39+($H39-$G39+1)*$I39-1,O$6+6&gt;=$G39),2,IF(AND(O$6&lt;=$H39,O$6+6&gt;=$G39),1,0))))</x:f>
      </x:c>
      <x:c r="P39" s="43" t="str">
        <x:f>IF($C39="","",IF(AND($I39&lt;1,P$6&lt;=$J39,P$6+6&gt;$H39,$J39&gt;$H39),3,IF(AND($I39&gt;0,P$6&lt;=$G39+($H39-$G39+1)*$I39-1,P$6+6&gt;=$G39),2,IF(AND(P$6&lt;=$H39,P$6+6&gt;=$G39),1,0))))</x:f>
      </x:c>
      <x:c r="Q39" s="43" t="str">
        <x:f>IF($C39="","",IF(AND($I39&lt;1,Q$6&lt;=$J39,Q$6+6&gt;$H39,$J39&gt;$H39),3,IF(AND($I39&gt;0,Q$6&lt;=$G39+($H39-$G39+1)*$I39-1,Q$6+6&gt;=$G39),2,IF(AND(Q$6&lt;=$H39,Q$6+6&gt;=$G39),1,0))))</x:f>
      </x:c>
      <x:c r="R39" s="43" t="str">
        <x:f>IF($C39="","",IF(AND($I39&lt;1,R$6&lt;=$J39,R$6+6&gt;$H39,$J39&gt;$H39),3,IF(AND($I39&gt;0,R$6&lt;=$G39+($H39-$G39+1)*$I39-1,R$6+6&gt;=$G39),2,IF(AND(R$6&lt;=$H39,R$6+6&gt;=$G39),1,0))))</x:f>
      </x:c>
      <x:c r="S39" s="43" t="str">
        <x:f>IF($C39="","",IF(AND($I39&lt;1,S$6&lt;=$J39,S$6+6&gt;$H39,$J39&gt;$H39),3,IF(AND($I39&gt;0,S$6&lt;=$G39+($H39-$G39+1)*$I39-1,S$6+6&gt;=$G39),2,IF(AND(S$6&lt;=$H39,S$6+6&gt;=$G39),1,0))))</x:f>
      </x:c>
      <x:c r="T39" s="43" t="str">
        <x:f>IF($C39="","",IF(AND($I39&lt;1,T$6&lt;=$J39,T$6+6&gt;$H39,$J39&gt;$H39),3,IF(AND($I39&gt;0,T$6&lt;=$G39+($H39-$G39+1)*$I39-1,T$6+6&gt;=$G39),2,IF(AND(T$6&lt;=$H39,T$6+6&gt;=$G39),1,0))))</x:f>
      </x:c>
      <x:c r="U39" s="43" t="str">
        <x:f>IF($C39="","",IF(AND($I39&lt;1,U$6&lt;=$J39,U$6+6&gt;$H39,$J39&gt;$H39),3,IF(AND($I39&gt;0,U$6&lt;=$G39+($H39-$G39+1)*$I39-1,U$6+6&gt;=$G39),2,IF(AND(U$6&lt;=$H39,U$6+6&gt;=$G39),1,0))))</x:f>
      </x:c>
      <x:c r="V39" s="43" t="str">
        <x:f>IF($C39="","",IF(AND($I39&lt;1,V$6&lt;=$J39,V$6+6&gt;$H39,$J39&gt;$H39),3,IF(AND($I39&gt;0,V$6&lt;=$G39+($H39-$G39+1)*$I39-1,V$6+6&gt;=$G39),2,IF(AND(V$6&lt;=$H39,V$6+6&gt;=$G39),1,0))))</x:f>
      </x:c>
      <x:c r="W39" s="43" t="str">
        <x:f>IF($C39="","",IF(AND($I39&lt;1,W$6&lt;=$J39,W$6+6&gt;$H39,$J39&gt;$H39),3,IF(AND($I39&gt;0,W$6&lt;=$G39+($H39-$G39+1)*$I39-1,W$6+6&gt;=$G39),2,IF(AND(W$6&lt;=$H39,W$6+6&gt;=$G39),1,0))))</x:f>
      </x:c>
      <x:c r="X39" s="43" t="str">
        <x:f>IF($C39="","",IF(AND($I39&lt;1,X$6&lt;=$J39,X$6+6&gt;$H39,$J39&gt;$H39),3,IF(AND($I39&gt;0,X$6&lt;=$G39+($H39-$G39+1)*$I39-1,X$6+6&gt;=$G39),2,IF(AND(X$6&lt;=$H39,X$6+6&gt;=$G39),1,0))))</x:f>
      </x:c>
      <x:c r="Y39" s="43" t="str">
        <x:f>IF($C39="","",IF(AND($I39&lt;1,Y$6&lt;=$J39,Y$6+6&gt;$H39,$J39&gt;$H39),3,IF(AND($I39&gt;0,Y$6&lt;=$G39+($H39-$G39+1)*$I39-1,Y$6+6&gt;=$G39),2,IF(AND(Y$6&lt;=$H39,Y$6+6&gt;=$G39),1,0))))</x:f>
      </x:c>
      <x:c r="Z39" s="43" t="str">
        <x:f>IF($C39="","",IF(AND($I39&lt;1,Z$6&lt;=$J39,Z$6+6&gt;$H39,$J39&gt;$H39),3,IF(AND($I39&gt;0,Z$6&lt;=$G39+($H39-$G39+1)*$I39-1,Z$6+6&gt;=$G39),2,IF(AND(Z$6&lt;=$H39,Z$6+6&gt;=$G39),1,0))))</x:f>
      </x:c>
      <x:c r="AA39" s="43" t="str">
        <x:f>IF($C39="","",IF(AND($I39&lt;1,AA$6&lt;=$J39,AA$6+6&gt;$H39,$J39&gt;$H39),3,IF(AND($I39&gt;0,AA$6&lt;=$G39+($H39-$G39+1)*$I39-1,AA$6+6&gt;=$G39),2,IF(AND(AA$6&lt;=$H39,AA$6+6&gt;=$G39),1,0))))</x:f>
      </x:c>
      <x:c r="AB39" s="43" t="str">
        <x:f>IF($C39="","",IF(AND($I39&lt;1,AB$6&lt;=$J39,AB$6+6&gt;$H39,$J39&gt;$H39),3,IF(AND($I39&gt;0,AB$6&lt;=$G39+($H39-$G39+1)*$I39-1,AB$6+6&gt;=$G39),2,IF(AND(AB$6&lt;=$H39,AB$6+6&gt;=$G39),1,0))))</x:f>
      </x:c>
      <x:c r="AC39" s="43" t="str">
        <x:f>IF($C39="","",IF(AND($I39&lt;1,AC$6&lt;=$J39,AC$6+6&gt;$H39,$J39&gt;$H39),3,IF(AND($I39&gt;0,AC$6&lt;=$G39+($H39-$G39+1)*$I39-1,AC$6+6&gt;=$G39),2,IF(AND(AC$6&lt;=$H39,AC$6+6&gt;=$G39),1,0))))</x:f>
      </x:c>
      <x:c r="AD39" s="43" t="str">
        <x:f>IF($C39="","",IF(AND($I39&lt;1,AD$6&lt;=$J39,AD$6+6&gt;$H39,$J39&gt;$H39),3,IF(AND($I39&gt;0,AD$6&lt;=$G39+($H39-$G39+1)*$I39-1,AD$6+6&gt;=$G39),2,IF(AND(AD$6&lt;=$H39,AD$6+6&gt;=$G39),1,0))))</x:f>
      </x:c>
      <x:c r="AE39" s="43" t="str">
        <x:f>IF($C39="","",IF(AND($I39&lt;1,AE$6&lt;=$J39,AE$6+6&gt;$H39,$J39&gt;$H39),3,IF(AND($I39&gt;0,AE$6&lt;=$G39+($H39-$G39+1)*$I39-1,AE$6+6&gt;=$G39),2,IF(AND(AE$6&lt;=$H39,AE$6+6&gt;=$G39),1,0))))</x:f>
      </x:c>
      <x:c r="AF39" s="43" t="str">
        <x:f>IF($C39="","",IF(AND($I39&lt;1,AF$6&lt;=$J39,AF$6+6&gt;$H39,$J39&gt;$H39),3,IF(AND($I39&gt;0,AF$6&lt;=$G39+($H39-$G39+1)*$I39-1,AF$6+6&gt;=$G39),2,IF(AND(AF$6&lt;=$H39,AF$6+6&gt;=$G39),1,0))))</x:f>
      </x:c>
      <x:c r="AG39" s="43" t="str">
        <x:f>IF($C39="","",IF(AND($I39&lt;1,AG$6&lt;=$J39,AG$6+6&gt;$H39,$J39&gt;$H39),3,IF(AND($I39&gt;0,AG$6&lt;=$G39+($H39-$G39+1)*$I39-1,AG$6+6&gt;=$G39),2,IF(AND(AG$6&lt;=$H39,AG$6+6&gt;=$G39),1,0))))</x:f>
      </x:c>
      <x:c r="AH39" s="43" t="str">
        <x:f>IF($C39="","",IF(AND($I39&lt;1,AH$6&lt;=$J39,AH$6+6&gt;$H39,$J39&gt;$H39),3,IF(AND($I39&gt;0,AH$6&lt;=$G39+($H39-$G39+1)*$I39-1,AH$6+6&gt;=$G39),2,IF(AND(AH$6&lt;=$H39,AH$6+6&gt;=$G39),1,0))))</x:f>
      </x:c>
      <x:c r="AI39" s="43" t="str">
        <x:f>IF($C39="","",IF(AND($I39&lt;1,AI$6&lt;=$J39,AI$6+6&gt;$H39,$J39&gt;$H39),3,IF(AND($I39&gt;0,AI$6&lt;=$G39+($H39-$G39+1)*$I39-1,AI$6+6&gt;=$G39),2,IF(AND(AI$6&lt;=$H39,AI$6+6&gt;=$G39),1,0))))</x:f>
      </x:c>
      <x:c r="AJ39" s="43" t="str">
        <x:f>IF($C39="","",IF(AND($I39&lt;1,AJ$6&lt;=$J39,AJ$6+6&gt;$H39,$J39&gt;$H39),3,IF(AND($I39&gt;0,AJ$6&lt;=$G39+($H39-$G39+1)*$I39-1,AJ$6+6&gt;=$G39),2,IF(AND(AJ$6&lt;=$H39,AJ$6+6&gt;=$G39),1,0))))</x:f>
      </x:c>
      <x:c r="AK39" s="43" t="str">
        <x:f>IF($C39="","",IF(AND($I39&lt;1,AK$6&lt;=$J39,AK$6+6&gt;$H39,$J39&gt;$H39),3,IF(AND($I39&gt;0,AK$6&lt;=$G39+($H39-$G39+1)*$I39-1,AK$6+6&gt;=$G39),2,IF(AND(AK$6&lt;=$H39,AK$6+6&gt;=$G39),1,0))))</x:f>
      </x:c>
    </x:row>
    <x:row r="40" ht="22" customHeight="1">
      <x:c r="A40" s="2"/>
      <x:c r="B40" s="2" t="n">
        <x:v>34</x:v>
      </x:c>
      <x:c r="C40" s="2" t="str">
        <x:f>IF($B40&gt;INDEX('Portfoy'!$U$7:$U$26,MATCH('Panel'!$C$5,'Portfoy'!$A$7:$A$26,0)),"",INDEX('Gorevler'!$A$7:$A$206,MATCH($B40,'Gorevler'!$S$7:$S$206,0)))</x:f>
      </x:c>
      <x:c r="D40" s="2" t="str">
        <x:f>IF($B40&gt;INDEX('Portfoy'!$U$7:$U$26,MATCH('Panel'!$C$5,'Portfoy'!$A$7:$A$26,0)),"",INDEX('Gorevler'!$C$7:$C$206,MATCH($B40,'Gorevler'!$S$7:$S$206,0)))</x:f>
      </x:c>
      <x:c r="E40" s="2" t="str">
        <x:f>IF($B40&gt;INDEX('Portfoy'!$U$7:$U$26,MATCH('Panel'!$C$5,'Portfoy'!$A$7:$A$26,0)),"",INDEX('Gorevler'!$D$7:$D$206,MATCH($B40,'Gorevler'!$S$7:$S$206,0)))</x:f>
      </x:c>
      <x:c r="F40" s="2" t="str">
        <x:f>IF($B40&gt;INDEX('Portfoy'!$U$7:$U$26,MATCH('Panel'!$C$5,'Portfoy'!$A$7:$A$26,0)),"",INDEX('Gorevler'!$K$7:$K$206,MATCH($B40,'Gorevler'!$S$7:$S$206,0)))</x:f>
      </x:c>
      <x:c r="G40" s="5" t="str">
        <x:f>IF($B40&gt;INDEX('Portfoy'!$U$7:$U$26,MATCH('Panel'!$C$5,'Portfoy'!$A$7:$A$26,0)),"",INDEX('Gorevler'!$F$7:$F$206,MATCH($B40,'Gorevler'!$S$7:$S$206,0)))</x:f>
      </x:c>
      <x:c r="H40" s="5" t="str">
        <x:f>IF($B40&gt;INDEX('Portfoy'!$U$7:$U$26,MATCH('Panel'!$C$5,'Portfoy'!$A$7:$A$26,0)),"",INDEX('Gorevler'!$G$7:$G$206,MATCH($B40,'Gorevler'!$S$7:$S$206,0)))</x:f>
      </x:c>
      <x:c r="I40" s="37" t="str">
        <x:f>IF($B40&gt;INDEX('Portfoy'!$U$7:$U$26,MATCH('Panel'!$C$5,'Portfoy'!$A$7:$A$26,0)),"",INDEX('Gorevler'!$I$7:$I$206,MATCH($B40,'Gorevler'!$S$7:$S$206,0)))</x:f>
      </x:c>
      <x:c r="J40" s="5" t="str">
        <x:f>IF($B40&gt;INDEX('Portfoy'!$U$7:$U$26,MATCH('Panel'!$C$5,'Portfoy'!$A$7:$A$26,0)),"",INDEX('Gorevler'!$J$7:$J$206,MATCH($B40,'Gorevler'!$S$7:$S$206,0)))</x:f>
      </x:c>
      <x:c r="K40" s="2"/>
      <x:c r="L40" s="43" t="str">
        <x:f>IF($C40="","",IF(AND($I40&lt;1,L$6&lt;=$J40,L$6+6&gt;$H40,$J40&gt;$H40),3,IF(AND($I40&gt;0,L$6&lt;=$G40+($H40-$G40+1)*$I40-1,L$6+6&gt;=$G40),2,IF(AND(L$6&lt;=$H40,L$6+6&gt;=$G40),1,0))))</x:f>
      </x:c>
      <x:c r="M40" s="43" t="str">
        <x:f>IF($C40="","",IF(AND($I40&lt;1,M$6&lt;=$J40,M$6+6&gt;$H40,$J40&gt;$H40),3,IF(AND($I40&gt;0,M$6&lt;=$G40+($H40-$G40+1)*$I40-1,M$6+6&gt;=$G40),2,IF(AND(M$6&lt;=$H40,M$6+6&gt;=$G40),1,0))))</x:f>
      </x:c>
      <x:c r="N40" s="43" t="str">
        <x:f>IF($C40="","",IF(AND($I40&lt;1,N$6&lt;=$J40,N$6+6&gt;$H40,$J40&gt;$H40),3,IF(AND($I40&gt;0,N$6&lt;=$G40+($H40-$G40+1)*$I40-1,N$6+6&gt;=$G40),2,IF(AND(N$6&lt;=$H40,N$6+6&gt;=$G40),1,0))))</x:f>
      </x:c>
      <x:c r="O40" s="43" t="str">
        <x:f>IF($C40="","",IF(AND($I40&lt;1,O$6&lt;=$J40,O$6+6&gt;$H40,$J40&gt;$H40),3,IF(AND($I40&gt;0,O$6&lt;=$G40+($H40-$G40+1)*$I40-1,O$6+6&gt;=$G40),2,IF(AND(O$6&lt;=$H40,O$6+6&gt;=$G40),1,0))))</x:f>
      </x:c>
      <x:c r="P40" s="43" t="str">
        <x:f>IF($C40="","",IF(AND($I40&lt;1,P$6&lt;=$J40,P$6+6&gt;$H40,$J40&gt;$H40),3,IF(AND($I40&gt;0,P$6&lt;=$G40+($H40-$G40+1)*$I40-1,P$6+6&gt;=$G40),2,IF(AND(P$6&lt;=$H40,P$6+6&gt;=$G40),1,0))))</x:f>
      </x:c>
      <x:c r="Q40" s="43" t="str">
        <x:f>IF($C40="","",IF(AND($I40&lt;1,Q$6&lt;=$J40,Q$6+6&gt;$H40,$J40&gt;$H40),3,IF(AND($I40&gt;0,Q$6&lt;=$G40+($H40-$G40+1)*$I40-1,Q$6+6&gt;=$G40),2,IF(AND(Q$6&lt;=$H40,Q$6+6&gt;=$G40),1,0))))</x:f>
      </x:c>
      <x:c r="R40" s="43" t="str">
        <x:f>IF($C40="","",IF(AND($I40&lt;1,R$6&lt;=$J40,R$6+6&gt;$H40,$J40&gt;$H40),3,IF(AND($I40&gt;0,R$6&lt;=$G40+($H40-$G40+1)*$I40-1,R$6+6&gt;=$G40),2,IF(AND(R$6&lt;=$H40,R$6+6&gt;=$G40),1,0))))</x:f>
      </x:c>
      <x:c r="S40" s="43" t="str">
        <x:f>IF($C40="","",IF(AND($I40&lt;1,S$6&lt;=$J40,S$6+6&gt;$H40,$J40&gt;$H40),3,IF(AND($I40&gt;0,S$6&lt;=$G40+($H40-$G40+1)*$I40-1,S$6+6&gt;=$G40),2,IF(AND(S$6&lt;=$H40,S$6+6&gt;=$G40),1,0))))</x:f>
      </x:c>
      <x:c r="T40" s="43" t="str">
        <x:f>IF($C40="","",IF(AND($I40&lt;1,T$6&lt;=$J40,T$6+6&gt;$H40,$J40&gt;$H40),3,IF(AND($I40&gt;0,T$6&lt;=$G40+($H40-$G40+1)*$I40-1,T$6+6&gt;=$G40),2,IF(AND(T$6&lt;=$H40,T$6+6&gt;=$G40),1,0))))</x:f>
      </x:c>
      <x:c r="U40" s="43" t="str">
        <x:f>IF($C40="","",IF(AND($I40&lt;1,U$6&lt;=$J40,U$6+6&gt;$H40,$J40&gt;$H40),3,IF(AND($I40&gt;0,U$6&lt;=$G40+($H40-$G40+1)*$I40-1,U$6+6&gt;=$G40),2,IF(AND(U$6&lt;=$H40,U$6+6&gt;=$G40),1,0))))</x:f>
      </x:c>
      <x:c r="V40" s="43" t="str">
        <x:f>IF($C40="","",IF(AND($I40&lt;1,V$6&lt;=$J40,V$6+6&gt;$H40,$J40&gt;$H40),3,IF(AND($I40&gt;0,V$6&lt;=$G40+($H40-$G40+1)*$I40-1,V$6+6&gt;=$G40),2,IF(AND(V$6&lt;=$H40,V$6+6&gt;=$G40),1,0))))</x:f>
      </x:c>
      <x:c r="W40" s="43" t="str">
        <x:f>IF($C40="","",IF(AND($I40&lt;1,W$6&lt;=$J40,W$6+6&gt;$H40,$J40&gt;$H40),3,IF(AND($I40&gt;0,W$6&lt;=$G40+($H40-$G40+1)*$I40-1,W$6+6&gt;=$G40),2,IF(AND(W$6&lt;=$H40,W$6+6&gt;=$G40),1,0))))</x:f>
      </x:c>
      <x:c r="X40" s="43" t="str">
        <x:f>IF($C40="","",IF(AND($I40&lt;1,X$6&lt;=$J40,X$6+6&gt;$H40,$J40&gt;$H40),3,IF(AND($I40&gt;0,X$6&lt;=$G40+($H40-$G40+1)*$I40-1,X$6+6&gt;=$G40),2,IF(AND(X$6&lt;=$H40,X$6+6&gt;=$G40),1,0))))</x:f>
      </x:c>
      <x:c r="Y40" s="43" t="str">
        <x:f>IF($C40="","",IF(AND($I40&lt;1,Y$6&lt;=$J40,Y$6+6&gt;$H40,$J40&gt;$H40),3,IF(AND($I40&gt;0,Y$6&lt;=$G40+($H40-$G40+1)*$I40-1,Y$6+6&gt;=$G40),2,IF(AND(Y$6&lt;=$H40,Y$6+6&gt;=$G40),1,0))))</x:f>
      </x:c>
      <x:c r="Z40" s="43" t="str">
        <x:f>IF($C40="","",IF(AND($I40&lt;1,Z$6&lt;=$J40,Z$6+6&gt;$H40,$J40&gt;$H40),3,IF(AND($I40&gt;0,Z$6&lt;=$G40+($H40-$G40+1)*$I40-1,Z$6+6&gt;=$G40),2,IF(AND(Z$6&lt;=$H40,Z$6+6&gt;=$G40),1,0))))</x:f>
      </x:c>
      <x:c r="AA40" s="43" t="str">
        <x:f>IF($C40="","",IF(AND($I40&lt;1,AA$6&lt;=$J40,AA$6+6&gt;$H40,$J40&gt;$H40),3,IF(AND($I40&gt;0,AA$6&lt;=$G40+($H40-$G40+1)*$I40-1,AA$6+6&gt;=$G40),2,IF(AND(AA$6&lt;=$H40,AA$6+6&gt;=$G40),1,0))))</x:f>
      </x:c>
      <x:c r="AB40" s="43" t="str">
        <x:f>IF($C40="","",IF(AND($I40&lt;1,AB$6&lt;=$J40,AB$6+6&gt;$H40,$J40&gt;$H40),3,IF(AND($I40&gt;0,AB$6&lt;=$G40+($H40-$G40+1)*$I40-1,AB$6+6&gt;=$G40),2,IF(AND(AB$6&lt;=$H40,AB$6+6&gt;=$G40),1,0))))</x:f>
      </x:c>
      <x:c r="AC40" s="43" t="str">
        <x:f>IF($C40="","",IF(AND($I40&lt;1,AC$6&lt;=$J40,AC$6+6&gt;$H40,$J40&gt;$H40),3,IF(AND($I40&gt;0,AC$6&lt;=$G40+($H40-$G40+1)*$I40-1,AC$6+6&gt;=$G40),2,IF(AND(AC$6&lt;=$H40,AC$6+6&gt;=$G40),1,0))))</x:f>
      </x:c>
      <x:c r="AD40" s="43" t="str">
        <x:f>IF($C40="","",IF(AND($I40&lt;1,AD$6&lt;=$J40,AD$6+6&gt;$H40,$J40&gt;$H40),3,IF(AND($I40&gt;0,AD$6&lt;=$G40+($H40-$G40+1)*$I40-1,AD$6+6&gt;=$G40),2,IF(AND(AD$6&lt;=$H40,AD$6+6&gt;=$G40),1,0))))</x:f>
      </x:c>
      <x:c r="AE40" s="43" t="str">
        <x:f>IF($C40="","",IF(AND($I40&lt;1,AE$6&lt;=$J40,AE$6+6&gt;$H40,$J40&gt;$H40),3,IF(AND($I40&gt;0,AE$6&lt;=$G40+($H40-$G40+1)*$I40-1,AE$6+6&gt;=$G40),2,IF(AND(AE$6&lt;=$H40,AE$6+6&gt;=$G40),1,0))))</x:f>
      </x:c>
      <x:c r="AF40" s="43" t="str">
        <x:f>IF($C40="","",IF(AND($I40&lt;1,AF$6&lt;=$J40,AF$6+6&gt;$H40,$J40&gt;$H40),3,IF(AND($I40&gt;0,AF$6&lt;=$G40+($H40-$G40+1)*$I40-1,AF$6+6&gt;=$G40),2,IF(AND(AF$6&lt;=$H40,AF$6+6&gt;=$G40),1,0))))</x:f>
      </x:c>
      <x:c r="AG40" s="43" t="str">
        <x:f>IF($C40="","",IF(AND($I40&lt;1,AG$6&lt;=$J40,AG$6+6&gt;$H40,$J40&gt;$H40),3,IF(AND($I40&gt;0,AG$6&lt;=$G40+($H40-$G40+1)*$I40-1,AG$6+6&gt;=$G40),2,IF(AND(AG$6&lt;=$H40,AG$6+6&gt;=$G40),1,0))))</x:f>
      </x:c>
      <x:c r="AH40" s="43" t="str">
        <x:f>IF($C40="","",IF(AND($I40&lt;1,AH$6&lt;=$J40,AH$6+6&gt;$H40,$J40&gt;$H40),3,IF(AND($I40&gt;0,AH$6&lt;=$G40+($H40-$G40+1)*$I40-1,AH$6+6&gt;=$G40),2,IF(AND(AH$6&lt;=$H40,AH$6+6&gt;=$G40),1,0))))</x:f>
      </x:c>
      <x:c r="AI40" s="43" t="str">
        <x:f>IF($C40="","",IF(AND($I40&lt;1,AI$6&lt;=$J40,AI$6+6&gt;$H40,$J40&gt;$H40),3,IF(AND($I40&gt;0,AI$6&lt;=$G40+($H40-$G40+1)*$I40-1,AI$6+6&gt;=$G40),2,IF(AND(AI$6&lt;=$H40,AI$6+6&gt;=$G40),1,0))))</x:f>
      </x:c>
      <x:c r="AJ40" s="43" t="str">
        <x:f>IF($C40="","",IF(AND($I40&lt;1,AJ$6&lt;=$J40,AJ$6+6&gt;$H40,$J40&gt;$H40),3,IF(AND($I40&gt;0,AJ$6&lt;=$G40+($H40-$G40+1)*$I40-1,AJ$6+6&gt;=$G40),2,IF(AND(AJ$6&lt;=$H40,AJ$6+6&gt;=$G40),1,0))))</x:f>
      </x:c>
      <x:c r="AK40" s="43" t="str">
        <x:f>IF($C40="","",IF(AND($I40&lt;1,AK$6&lt;=$J40,AK$6+6&gt;$H40,$J40&gt;$H40),3,IF(AND($I40&gt;0,AK$6&lt;=$G40+($H40-$G40+1)*$I40-1,AK$6+6&gt;=$G40),2,IF(AND(AK$6&lt;=$H40,AK$6+6&gt;=$G40),1,0))))</x:f>
      </x:c>
    </x:row>
    <x:row r="41" ht="22" customHeight="1">
      <x:c r="A41" s="2"/>
      <x:c r="B41" s="2" t="n">
        <x:v>35</x:v>
      </x:c>
      <x:c r="C41" s="2" t="str">
        <x:f>IF($B41&gt;INDEX('Portfoy'!$U$7:$U$26,MATCH('Panel'!$C$5,'Portfoy'!$A$7:$A$26,0)),"",INDEX('Gorevler'!$A$7:$A$206,MATCH($B41,'Gorevler'!$S$7:$S$206,0)))</x:f>
      </x:c>
      <x:c r="D41" s="2" t="str">
        <x:f>IF($B41&gt;INDEX('Portfoy'!$U$7:$U$26,MATCH('Panel'!$C$5,'Portfoy'!$A$7:$A$26,0)),"",INDEX('Gorevler'!$C$7:$C$206,MATCH($B41,'Gorevler'!$S$7:$S$206,0)))</x:f>
      </x:c>
      <x:c r="E41" s="2" t="str">
        <x:f>IF($B41&gt;INDEX('Portfoy'!$U$7:$U$26,MATCH('Panel'!$C$5,'Portfoy'!$A$7:$A$26,0)),"",INDEX('Gorevler'!$D$7:$D$206,MATCH($B41,'Gorevler'!$S$7:$S$206,0)))</x:f>
      </x:c>
      <x:c r="F41" s="2" t="str">
        <x:f>IF($B41&gt;INDEX('Portfoy'!$U$7:$U$26,MATCH('Panel'!$C$5,'Portfoy'!$A$7:$A$26,0)),"",INDEX('Gorevler'!$K$7:$K$206,MATCH($B41,'Gorevler'!$S$7:$S$206,0)))</x:f>
      </x:c>
      <x:c r="G41" s="5" t="str">
        <x:f>IF($B41&gt;INDEX('Portfoy'!$U$7:$U$26,MATCH('Panel'!$C$5,'Portfoy'!$A$7:$A$26,0)),"",INDEX('Gorevler'!$F$7:$F$206,MATCH($B41,'Gorevler'!$S$7:$S$206,0)))</x:f>
      </x:c>
      <x:c r="H41" s="5" t="str">
        <x:f>IF($B41&gt;INDEX('Portfoy'!$U$7:$U$26,MATCH('Panel'!$C$5,'Portfoy'!$A$7:$A$26,0)),"",INDEX('Gorevler'!$G$7:$G$206,MATCH($B41,'Gorevler'!$S$7:$S$206,0)))</x:f>
      </x:c>
      <x:c r="I41" s="37" t="str">
        <x:f>IF($B41&gt;INDEX('Portfoy'!$U$7:$U$26,MATCH('Panel'!$C$5,'Portfoy'!$A$7:$A$26,0)),"",INDEX('Gorevler'!$I$7:$I$206,MATCH($B41,'Gorevler'!$S$7:$S$206,0)))</x:f>
      </x:c>
      <x:c r="J41" s="5" t="str">
        <x:f>IF($B41&gt;INDEX('Portfoy'!$U$7:$U$26,MATCH('Panel'!$C$5,'Portfoy'!$A$7:$A$26,0)),"",INDEX('Gorevler'!$J$7:$J$206,MATCH($B41,'Gorevler'!$S$7:$S$206,0)))</x:f>
      </x:c>
      <x:c r="K41" s="2"/>
      <x:c r="L41" s="43" t="str">
        <x:f>IF($C41="","",IF(AND($I41&lt;1,L$6&lt;=$J41,L$6+6&gt;$H41,$J41&gt;$H41),3,IF(AND($I41&gt;0,L$6&lt;=$G41+($H41-$G41+1)*$I41-1,L$6+6&gt;=$G41),2,IF(AND(L$6&lt;=$H41,L$6+6&gt;=$G41),1,0))))</x:f>
      </x:c>
      <x:c r="M41" s="43" t="str">
        <x:f>IF($C41="","",IF(AND($I41&lt;1,M$6&lt;=$J41,M$6+6&gt;$H41,$J41&gt;$H41),3,IF(AND($I41&gt;0,M$6&lt;=$G41+($H41-$G41+1)*$I41-1,M$6+6&gt;=$G41),2,IF(AND(M$6&lt;=$H41,M$6+6&gt;=$G41),1,0))))</x:f>
      </x:c>
      <x:c r="N41" s="43" t="str">
        <x:f>IF($C41="","",IF(AND($I41&lt;1,N$6&lt;=$J41,N$6+6&gt;$H41,$J41&gt;$H41),3,IF(AND($I41&gt;0,N$6&lt;=$G41+($H41-$G41+1)*$I41-1,N$6+6&gt;=$G41),2,IF(AND(N$6&lt;=$H41,N$6+6&gt;=$G41),1,0))))</x:f>
      </x:c>
      <x:c r="O41" s="43" t="str">
        <x:f>IF($C41="","",IF(AND($I41&lt;1,O$6&lt;=$J41,O$6+6&gt;$H41,$J41&gt;$H41),3,IF(AND($I41&gt;0,O$6&lt;=$G41+($H41-$G41+1)*$I41-1,O$6+6&gt;=$G41),2,IF(AND(O$6&lt;=$H41,O$6+6&gt;=$G41),1,0))))</x:f>
      </x:c>
      <x:c r="P41" s="43" t="str">
        <x:f>IF($C41="","",IF(AND($I41&lt;1,P$6&lt;=$J41,P$6+6&gt;$H41,$J41&gt;$H41),3,IF(AND($I41&gt;0,P$6&lt;=$G41+($H41-$G41+1)*$I41-1,P$6+6&gt;=$G41),2,IF(AND(P$6&lt;=$H41,P$6+6&gt;=$G41),1,0))))</x:f>
      </x:c>
      <x:c r="Q41" s="43" t="str">
        <x:f>IF($C41="","",IF(AND($I41&lt;1,Q$6&lt;=$J41,Q$6+6&gt;$H41,$J41&gt;$H41),3,IF(AND($I41&gt;0,Q$6&lt;=$G41+($H41-$G41+1)*$I41-1,Q$6+6&gt;=$G41),2,IF(AND(Q$6&lt;=$H41,Q$6+6&gt;=$G41),1,0))))</x:f>
      </x:c>
      <x:c r="R41" s="43" t="str">
        <x:f>IF($C41="","",IF(AND($I41&lt;1,R$6&lt;=$J41,R$6+6&gt;$H41,$J41&gt;$H41),3,IF(AND($I41&gt;0,R$6&lt;=$G41+($H41-$G41+1)*$I41-1,R$6+6&gt;=$G41),2,IF(AND(R$6&lt;=$H41,R$6+6&gt;=$G41),1,0))))</x:f>
      </x:c>
      <x:c r="S41" s="43" t="str">
        <x:f>IF($C41="","",IF(AND($I41&lt;1,S$6&lt;=$J41,S$6+6&gt;$H41,$J41&gt;$H41),3,IF(AND($I41&gt;0,S$6&lt;=$G41+($H41-$G41+1)*$I41-1,S$6+6&gt;=$G41),2,IF(AND(S$6&lt;=$H41,S$6+6&gt;=$G41),1,0))))</x:f>
      </x:c>
      <x:c r="T41" s="43" t="str">
        <x:f>IF($C41="","",IF(AND($I41&lt;1,T$6&lt;=$J41,T$6+6&gt;$H41,$J41&gt;$H41),3,IF(AND($I41&gt;0,T$6&lt;=$G41+($H41-$G41+1)*$I41-1,T$6+6&gt;=$G41),2,IF(AND(T$6&lt;=$H41,T$6+6&gt;=$G41),1,0))))</x:f>
      </x:c>
      <x:c r="U41" s="43" t="str">
        <x:f>IF($C41="","",IF(AND($I41&lt;1,U$6&lt;=$J41,U$6+6&gt;$H41,$J41&gt;$H41),3,IF(AND($I41&gt;0,U$6&lt;=$G41+($H41-$G41+1)*$I41-1,U$6+6&gt;=$G41),2,IF(AND(U$6&lt;=$H41,U$6+6&gt;=$G41),1,0))))</x:f>
      </x:c>
      <x:c r="V41" s="43" t="str">
        <x:f>IF($C41="","",IF(AND($I41&lt;1,V$6&lt;=$J41,V$6+6&gt;$H41,$J41&gt;$H41),3,IF(AND($I41&gt;0,V$6&lt;=$G41+($H41-$G41+1)*$I41-1,V$6+6&gt;=$G41),2,IF(AND(V$6&lt;=$H41,V$6+6&gt;=$G41),1,0))))</x:f>
      </x:c>
      <x:c r="W41" s="43" t="str">
        <x:f>IF($C41="","",IF(AND($I41&lt;1,W$6&lt;=$J41,W$6+6&gt;$H41,$J41&gt;$H41),3,IF(AND($I41&gt;0,W$6&lt;=$G41+($H41-$G41+1)*$I41-1,W$6+6&gt;=$G41),2,IF(AND(W$6&lt;=$H41,W$6+6&gt;=$G41),1,0))))</x:f>
      </x:c>
      <x:c r="X41" s="43" t="str">
        <x:f>IF($C41="","",IF(AND($I41&lt;1,X$6&lt;=$J41,X$6+6&gt;$H41,$J41&gt;$H41),3,IF(AND($I41&gt;0,X$6&lt;=$G41+($H41-$G41+1)*$I41-1,X$6+6&gt;=$G41),2,IF(AND(X$6&lt;=$H41,X$6+6&gt;=$G41),1,0))))</x:f>
      </x:c>
      <x:c r="Y41" s="43" t="str">
        <x:f>IF($C41="","",IF(AND($I41&lt;1,Y$6&lt;=$J41,Y$6+6&gt;$H41,$J41&gt;$H41),3,IF(AND($I41&gt;0,Y$6&lt;=$G41+($H41-$G41+1)*$I41-1,Y$6+6&gt;=$G41),2,IF(AND(Y$6&lt;=$H41,Y$6+6&gt;=$G41),1,0))))</x:f>
      </x:c>
      <x:c r="Z41" s="43" t="str">
        <x:f>IF($C41="","",IF(AND($I41&lt;1,Z$6&lt;=$J41,Z$6+6&gt;$H41,$J41&gt;$H41),3,IF(AND($I41&gt;0,Z$6&lt;=$G41+($H41-$G41+1)*$I41-1,Z$6+6&gt;=$G41),2,IF(AND(Z$6&lt;=$H41,Z$6+6&gt;=$G41),1,0))))</x:f>
      </x:c>
      <x:c r="AA41" s="43" t="str">
        <x:f>IF($C41="","",IF(AND($I41&lt;1,AA$6&lt;=$J41,AA$6+6&gt;$H41,$J41&gt;$H41),3,IF(AND($I41&gt;0,AA$6&lt;=$G41+($H41-$G41+1)*$I41-1,AA$6+6&gt;=$G41),2,IF(AND(AA$6&lt;=$H41,AA$6+6&gt;=$G41),1,0))))</x:f>
      </x:c>
      <x:c r="AB41" s="43" t="str">
        <x:f>IF($C41="","",IF(AND($I41&lt;1,AB$6&lt;=$J41,AB$6+6&gt;$H41,$J41&gt;$H41),3,IF(AND($I41&gt;0,AB$6&lt;=$G41+($H41-$G41+1)*$I41-1,AB$6+6&gt;=$G41),2,IF(AND(AB$6&lt;=$H41,AB$6+6&gt;=$G41),1,0))))</x:f>
      </x:c>
      <x:c r="AC41" s="43" t="str">
        <x:f>IF($C41="","",IF(AND($I41&lt;1,AC$6&lt;=$J41,AC$6+6&gt;$H41,$J41&gt;$H41),3,IF(AND($I41&gt;0,AC$6&lt;=$G41+($H41-$G41+1)*$I41-1,AC$6+6&gt;=$G41),2,IF(AND(AC$6&lt;=$H41,AC$6+6&gt;=$G41),1,0))))</x:f>
      </x:c>
      <x:c r="AD41" s="43" t="str">
        <x:f>IF($C41="","",IF(AND($I41&lt;1,AD$6&lt;=$J41,AD$6+6&gt;$H41,$J41&gt;$H41),3,IF(AND($I41&gt;0,AD$6&lt;=$G41+($H41-$G41+1)*$I41-1,AD$6+6&gt;=$G41),2,IF(AND(AD$6&lt;=$H41,AD$6+6&gt;=$G41),1,0))))</x:f>
      </x:c>
      <x:c r="AE41" s="43" t="str">
        <x:f>IF($C41="","",IF(AND($I41&lt;1,AE$6&lt;=$J41,AE$6+6&gt;$H41,$J41&gt;$H41),3,IF(AND($I41&gt;0,AE$6&lt;=$G41+($H41-$G41+1)*$I41-1,AE$6+6&gt;=$G41),2,IF(AND(AE$6&lt;=$H41,AE$6+6&gt;=$G41),1,0))))</x:f>
      </x:c>
      <x:c r="AF41" s="43" t="str">
        <x:f>IF($C41="","",IF(AND($I41&lt;1,AF$6&lt;=$J41,AF$6+6&gt;$H41,$J41&gt;$H41),3,IF(AND($I41&gt;0,AF$6&lt;=$G41+($H41-$G41+1)*$I41-1,AF$6+6&gt;=$G41),2,IF(AND(AF$6&lt;=$H41,AF$6+6&gt;=$G41),1,0))))</x:f>
      </x:c>
      <x:c r="AG41" s="43" t="str">
        <x:f>IF($C41="","",IF(AND($I41&lt;1,AG$6&lt;=$J41,AG$6+6&gt;$H41,$J41&gt;$H41),3,IF(AND($I41&gt;0,AG$6&lt;=$G41+($H41-$G41+1)*$I41-1,AG$6+6&gt;=$G41),2,IF(AND(AG$6&lt;=$H41,AG$6+6&gt;=$G41),1,0))))</x:f>
      </x:c>
      <x:c r="AH41" s="43" t="str">
        <x:f>IF($C41="","",IF(AND($I41&lt;1,AH$6&lt;=$J41,AH$6+6&gt;$H41,$J41&gt;$H41),3,IF(AND($I41&gt;0,AH$6&lt;=$G41+($H41-$G41+1)*$I41-1,AH$6+6&gt;=$G41),2,IF(AND(AH$6&lt;=$H41,AH$6+6&gt;=$G41),1,0))))</x:f>
      </x:c>
      <x:c r="AI41" s="43" t="str">
        <x:f>IF($C41="","",IF(AND($I41&lt;1,AI$6&lt;=$J41,AI$6+6&gt;$H41,$J41&gt;$H41),3,IF(AND($I41&gt;0,AI$6&lt;=$G41+($H41-$G41+1)*$I41-1,AI$6+6&gt;=$G41),2,IF(AND(AI$6&lt;=$H41,AI$6+6&gt;=$G41),1,0))))</x:f>
      </x:c>
      <x:c r="AJ41" s="43" t="str">
        <x:f>IF($C41="","",IF(AND($I41&lt;1,AJ$6&lt;=$J41,AJ$6+6&gt;$H41,$J41&gt;$H41),3,IF(AND($I41&gt;0,AJ$6&lt;=$G41+($H41-$G41+1)*$I41-1,AJ$6+6&gt;=$G41),2,IF(AND(AJ$6&lt;=$H41,AJ$6+6&gt;=$G41),1,0))))</x:f>
      </x:c>
      <x:c r="AK41" s="43" t="str">
        <x:f>IF($C41="","",IF(AND($I41&lt;1,AK$6&lt;=$J41,AK$6+6&gt;$H41,$J41&gt;$H41),3,IF(AND($I41&gt;0,AK$6&lt;=$G41+($H41-$G41+1)*$I41-1,AK$6+6&gt;=$G41),2,IF(AND(AK$6&lt;=$H41,AK$6+6&gt;=$G41),1,0))))</x:f>
      </x:c>
    </x:row>
    <x:row r="42" ht="22" customHeight="1">
      <x:c r="A42" s="2"/>
      <x:c r="B42" s="2" t="n">
        <x:v>36</x:v>
      </x:c>
      <x:c r="C42" s="2" t="str">
        <x:f>IF($B42&gt;INDEX('Portfoy'!$U$7:$U$26,MATCH('Panel'!$C$5,'Portfoy'!$A$7:$A$26,0)),"",INDEX('Gorevler'!$A$7:$A$206,MATCH($B42,'Gorevler'!$S$7:$S$206,0)))</x:f>
      </x:c>
      <x:c r="D42" s="2" t="str">
        <x:f>IF($B42&gt;INDEX('Portfoy'!$U$7:$U$26,MATCH('Panel'!$C$5,'Portfoy'!$A$7:$A$26,0)),"",INDEX('Gorevler'!$C$7:$C$206,MATCH($B42,'Gorevler'!$S$7:$S$206,0)))</x:f>
      </x:c>
      <x:c r="E42" s="2" t="str">
        <x:f>IF($B42&gt;INDEX('Portfoy'!$U$7:$U$26,MATCH('Panel'!$C$5,'Portfoy'!$A$7:$A$26,0)),"",INDEX('Gorevler'!$D$7:$D$206,MATCH($B42,'Gorevler'!$S$7:$S$206,0)))</x:f>
      </x:c>
      <x:c r="F42" s="2" t="str">
        <x:f>IF($B42&gt;INDEX('Portfoy'!$U$7:$U$26,MATCH('Panel'!$C$5,'Portfoy'!$A$7:$A$26,0)),"",INDEX('Gorevler'!$K$7:$K$206,MATCH($B42,'Gorevler'!$S$7:$S$206,0)))</x:f>
      </x:c>
      <x:c r="G42" s="5" t="str">
        <x:f>IF($B42&gt;INDEX('Portfoy'!$U$7:$U$26,MATCH('Panel'!$C$5,'Portfoy'!$A$7:$A$26,0)),"",INDEX('Gorevler'!$F$7:$F$206,MATCH($B42,'Gorevler'!$S$7:$S$206,0)))</x:f>
      </x:c>
      <x:c r="H42" s="5" t="str">
        <x:f>IF($B42&gt;INDEX('Portfoy'!$U$7:$U$26,MATCH('Panel'!$C$5,'Portfoy'!$A$7:$A$26,0)),"",INDEX('Gorevler'!$G$7:$G$206,MATCH($B42,'Gorevler'!$S$7:$S$206,0)))</x:f>
      </x:c>
      <x:c r="I42" s="37" t="str">
        <x:f>IF($B42&gt;INDEX('Portfoy'!$U$7:$U$26,MATCH('Panel'!$C$5,'Portfoy'!$A$7:$A$26,0)),"",INDEX('Gorevler'!$I$7:$I$206,MATCH($B42,'Gorevler'!$S$7:$S$206,0)))</x:f>
      </x:c>
      <x:c r="J42" s="5" t="str">
        <x:f>IF($B42&gt;INDEX('Portfoy'!$U$7:$U$26,MATCH('Panel'!$C$5,'Portfoy'!$A$7:$A$26,0)),"",INDEX('Gorevler'!$J$7:$J$206,MATCH($B42,'Gorevler'!$S$7:$S$206,0)))</x:f>
      </x:c>
      <x:c r="K42" s="2"/>
      <x:c r="L42" s="43" t="str">
        <x:f>IF($C42="","",IF(AND($I42&lt;1,L$6&lt;=$J42,L$6+6&gt;$H42,$J42&gt;$H42),3,IF(AND($I42&gt;0,L$6&lt;=$G42+($H42-$G42+1)*$I42-1,L$6+6&gt;=$G42),2,IF(AND(L$6&lt;=$H42,L$6+6&gt;=$G42),1,0))))</x:f>
      </x:c>
      <x:c r="M42" s="43" t="str">
        <x:f>IF($C42="","",IF(AND($I42&lt;1,M$6&lt;=$J42,M$6+6&gt;$H42,$J42&gt;$H42),3,IF(AND($I42&gt;0,M$6&lt;=$G42+($H42-$G42+1)*$I42-1,M$6+6&gt;=$G42),2,IF(AND(M$6&lt;=$H42,M$6+6&gt;=$G42),1,0))))</x:f>
      </x:c>
      <x:c r="N42" s="43" t="str">
        <x:f>IF($C42="","",IF(AND($I42&lt;1,N$6&lt;=$J42,N$6+6&gt;$H42,$J42&gt;$H42),3,IF(AND($I42&gt;0,N$6&lt;=$G42+($H42-$G42+1)*$I42-1,N$6+6&gt;=$G42),2,IF(AND(N$6&lt;=$H42,N$6+6&gt;=$G42),1,0))))</x:f>
      </x:c>
      <x:c r="O42" s="43" t="str">
        <x:f>IF($C42="","",IF(AND($I42&lt;1,O$6&lt;=$J42,O$6+6&gt;$H42,$J42&gt;$H42),3,IF(AND($I42&gt;0,O$6&lt;=$G42+($H42-$G42+1)*$I42-1,O$6+6&gt;=$G42),2,IF(AND(O$6&lt;=$H42,O$6+6&gt;=$G42),1,0))))</x:f>
      </x:c>
      <x:c r="P42" s="43" t="str">
        <x:f>IF($C42="","",IF(AND($I42&lt;1,P$6&lt;=$J42,P$6+6&gt;$H42,$J42&gt;$H42),3,IF(AND($I42&gt;0,P$6&lt;=$G42+($H42-$G42+1)*$I42-1,P$6+6&gt;=$G42),2,IF(AND(P$6&lt;=$H42,P$6+6&gt;=$G42),1,0))))</x:f>
      </x:c>
      <x:c r="Q42" s="43" t="str">
        <x:f>IF($C42="","",IF(AND($I42&lt;1,Q$6&lt;=$J42,Q$6+6&gt;$H42,$J42&gt;$H42),3,IF(AND($I42&gt;0,Q$6&lt;=$G42+($H42-$G42+1)*$I42-1,Q$6+6&gt;=$G42),2,IF(AND(Q$6&lt;=$H42,Q$6+6&gt;=$G42),1,0))))</x:f>
      </x:c>
      <x:c r="R42" s="43" t="str">
        <x:f>IF($C42="","",IF(AND($I42&lt;1,R$6&lt;=$J42,R$6+6&gt;$H42,$J42&gt;$H42),3,IF(AND($I42&gt;0,R$6&lt;=$G42+($H42-$G42+1)*$I42-1,R$6+6&gt;=$G42),2,IF(AND(R$6&lt;=$H42,R$6+6&gt;=$G42),1,0))))</x:f>
      </x:c>
      <x:c r="S42" s="43" t="str">
        <x:f>IF($C42="","",IF(AND($I42&lt;1,S$6&lt;=$J42,S$6+6&gt;$H42,$J42&gt;$H42),3,IF(AND($I42&gt;0,S$6&lt;=$G42+($H42-$G42+1)*$I42-1,S$6+6&gt;=$G42),2,IF(AND(S$6&lt;=$H42,S$6+6&gt;=$G42),1,0))))</x:f>
      </x:c>
      <x:c r="T42" s="43" t="str">
        <x:f>IF($C42="","",IF(AND($I42&lt;1,T$6&lt;=$J42,T$6+6&gt;$H42,$J42&gt;$H42),3,IF(AND($I42&gt;0,T$6&lt;=$G42+($H42-$G42+1)*$I42-1,T$6+6&gt;=$G42),2,IF(AND(T$6&lt;=$H42,T$6+6&gt;=$G42),1,0))))</x:f>
      </x:c>
      <x:c r="U42" s="43" t="str">
        <x:f>IF($C42="","",IF(AND($I42&lt;1,U$6&lt;=$J42,U$6+6&gt;$H42,$J42&gt;$H42),3,IF(AND($I42&gt;0,U$6&lt;=$G42+($H42-$G42+1)*$I42-1,U$6+6&gt;=$G42),2,IF(AND(U$6&lt;=$H42,U$6+6&gt;=$G42),1,0))))</x:f>
      </x:c>
      <x:c r="V42" s="43" t="str">
        <x:f>IF($C42="","",IF(AND($I42&lt;1,V$6&lt;=$J42,V$6+6&gt;$H42,$J42&gt;$H42),3,IF(AND($I42&gt;0,V$6&lt;=$G42+($H42-$G42+1)*$I42-1,V$6+6&gt;=$G42),2,IF(AND(V$6&lt;=$H42,V$6+6&gt;=$G42),1,0))))</x:f>
      </x:c>
      <x:c r="W42" s="43" t="str">
        <x:f>IF($C42="","",IF(AND($I42&lt;1,W$6&lt;=$J42,W$6+6&gt;$H42,$J42&gt;$H42),3,IF(AND($I42&gt;0,W$6&lt;=$G42+($H42-$G42+1)*$I42-1,W$6+6&gt;=$G42),2,IF(AND(W$6&lt;=$H42,W$6+6&gt;=$G42),1,0))))</x:f>
      </x:c>
      <x:c r="X42" s="43" t="str">
        <x:f>IF($C42="","",IF(AND($I42&lt;1,X$6&lt;=$J42,X$6+6&gt;$H42,$J42&gt;$H42),3,IF(AND($I42&gt;0,X$6&lt;=$G42+($H42-$G42+1)*$I42-1,X$6+6&gt;=$G42),2,IF(AND(X$6&lt;=$H42,X$6+6&gt;=$G42),1,0))))</x:f>
      </x:c>
      <x:c r="Y42" s="43" t="str">
        <x:f>IF($C42="","",IF(AND($I42&lt;1,Y$6&lt;=$J42,Y$6+6&gt;$H42,$J42&gt;$H42),3,IF(AND($I42&gt;0,Y$6&lt;=$G42+($H42-$G42+1)*$I42-1,Y$6+6&gt;=$G42),2,IF(AND(Y$6&lt;=$H42,Y$6+6&gt;=$G42),1,0))))</x:f>
      </x:c>
      <x:c r="Z42" s="43" t="str">
        <x:f>IF($C42="","",IF(AND($I42&lt;1,Z$6&lt;=$J42,Z$6+6&gt;$H42,$J42&gt;$H42),3,IF(AND($I42&gt;0,Z$6&lt;=$G42+($H42-$G42+1)*$I42-1,Z$6+6&gt;=$G42),2,IF(AND(Z$6&lt;=$H42,Z$6+6&gt;=$G42),1,0))))</x:f>
      </x:c>
      <x:c r="AA42" s="43" t="str">
        <x:f>IF($C42="","",IF(AND($I42&lt;1,AA$6&lt;=$J42,AA$6+6&gt;$H42,$J42&gt;$H42),3,IF(AND($I42&gt;0,AA$6&lt;=$G42+($H42-$G42+1)*$I42-1,AA$6+6&gt;=$G42),2,IF(AND(AA$6&lt;=$H42,AA$6+6&gt;=$G42),1,0))))</x:f>
      </x:c>
      <x:c r="AB42" s="43" t="str">
        <x:f>IF($C42="","",IF(AND($I42&lt;1,AB$6&lt;=$J42,AB$6+6&gt;$H42,$J42&gt;$H42),3,IF(AND($I42&gt;0,AB$6&lt;=$G42+($H42-$G42+1)*$I42-1,AB$6+6&gt;=$G42),2,IF(AND(AB$6&lt;=$H42,AB$6+6&gt;=$G42),1,0))))</x:f>
      </x:c>
      <x:c r="AC42" s="43" t="str">
        <x:f>IF($C42="","",IF(AND($I42&lt;1,AC$6&lt;=$J42,AC$6+6&gt;$H42,$J42&gt;$H42),3,IF(AND($I42&gt;0,AC$6&lt;=$G42+($H42-$G42+1)*$I42-1,AC$6+6&gt;=$G42),2,IF(AND(AC$6&lt;=$H42,AC$6+6&gt;=$G42),1,0))))</x:f>
      </x:c>
      <x:c r="AD42" s="43" t="str">
        <x:f>IF($C42="","",IF(AND($I42&lt;1,AD$6&lt;=$J42,AD$6+6&gt;$H42,$J42&gt;$H42),3,IF(AND($I42&gt;0,AD$6&lt;=$G42+($H42-$G42+1)*$I42-1,AD$6+6&gt;=$G42),2,IF(AND(AD$6&lt;=$H42,AD$6+6&gt;=$G42),1,0))))</x:f>
      </x:c>
      <x:c r="AE42" s="43" t="str">
        <x:f>IF($C42="","",IF(AND($I42&lt;1,AE$6&lt;=$J42,AE$6+6&gt;$H42,$J42&gt;$H42),3,IF(AND($I42&gt;0,AE$6&lt;=$G42+($H42-$G42+1)*$I42-1,AE$6+6&gt;=$G42),2,IF(AND(AE$6&lt;=$H42,AE$6+6&gt;=$G42),1,0))))</x:f>
      </x:c>
      <x:c r="AF42" s="43" t="str">
        <x:f>IF($C42="","",IF(AND($I42&lt;1,AF$6&lt;=$J42,AF$6+6&gt;$H42,$J42&gt;$H42),3,IF(AND($I42&gt;0,AF$6&lt;=$G42+($H42-$G42+1)*$I42-1,AF$6+6&gt;=$G42),2,IF(AND(AF$6&lt;=$H42,AF$6+6&gt;=$G42),1,0))))</x:f>
      </x:c>
      <x:c r="AG42" s="43" t="str">
        <x:f>IF($C42="","",IF(AND($I42&lt;1,AG$6&lt;=$J42,AG$6+6&gt;$H42,$J42&gt;$H42),3,IF(AND($I42&gt;0,AG$6&lt;=$G42+($H42-$G42+1)*$I42-1,AG$6+6&gt;=$G42),2,IF(AND(AG$6&lt;=$H42,AG$6+6&gt;=$G42),1,0))))</x:f>
      </x:c>
      <x:c r="AH42" s="43" t="str">
        <x:f>IF($C42="","",IF(AND($I42&lt;1,AH$6&lt;=$J42,AH$6+6&gt;$H42,$J42&gt;$H42),3,IF(AND($I42&gt;0,AH$6&lt;=$G42+($H42-$G42+1)*$I42-1,AH$6+6&gt;=$G42),2,IF(AND(AH$6&lt;=$H42,AH$6+6&gt;=$G42),1,0))))</x:f>
      </x:c>
      <x:c r="AI42" s="43" t="str">
        <x:f>IF($C42="","",IF(AND($I42&lt;1,AI$6&lt;=$J42,AI$6+6&gt;$H42,$J42&gt;$H42),3,IF(AND($I42&gt;0,AI$6&lt;=$G42+($H42-$G42+1)*$I42-1,AI$6+6&gt;=$G42),2,IF(AND(AI$6&lt;=$H42,AI$6+6&gt;=$G42),1,0))))</x:f>
      </x:c>
      <x:c r="AJ42" s="43" t="str">
        <x:f>IF($C42="","",IF(AND($I42&lt;1,AJ$6&lt;=$J42,AJ$6+6&gt;$H42,$J42&gt;$H42),3,IF(AND($I42&gt;0,AJ$6&lt;=$G42+($H42-$G42+1)*$I42-1,AJ$6+6&gt;=$G42),2,IF(AND(AJ$6&lt;=$H42,AJ$6+6&gt;=$G42),1,0))))</x:f>
      </x:c>
      <x:c r="AK42" s="43" t="str">
        <x:f>IF($C42="","",IF(AND($I42&lt;1,AK$6&lt;=$J42,AK$6+6&gt;$H42,$J42&gt;$H42),3,IF(AND($I42&gt;0,AK$6&lt;=$G42+($H42-$G42+1)*$I42-1,AK$6+6&gt;=$G42),2,IF(AND(AK$6&lt;=$H42,AK$6+6&gt;=$G42),1,0))))</x:f>
      </x:c>
    </x:row>
    <x:row r="43" ht="22" customHeight="1">
      <x:c r="A43" s="2"/>
      <x:c r="B43" s="2" t="n">
        <x:v>37</x:v>
      </x:c>
      <x:c r="C43" s="2" t="str">
        <x:f>IF($B43&gt;INDEX('Portfoy'!$U$7:$U$26,MATCH('Panel'!$C$5,'Portfoy'!$A$7:$A$26,0)),"",INDEX('Gorevler'!$A$7:$A$206,MATCH($B43,'Gorevler'!$S$7:$S$206,0)))</x:f>
      </x:c>
      <x:c r="D43" s="2" t="str">
        <x:f>IF($B43&gt;INDEX('Portfoy'!$U$7:$U$26,MATCH('Panel'!$C$5,'Portfoy'!$A$7:$A$26,0)),"",INDEX('Gorevler'!$C$7:$C$206,MATCH($B43,'Gorevler'!$S$7:$S$206,0)))</x:f>
      </x:c>
      <x:c r="E43" s="2" t="str">
        <x:f>IF($B43&gt;INDEX('Portfoy'!$U$7:$U$26,MATCH('Panel'!$C$5,'Portfoy'!$A$7:$A$26,0)),"",INDEX('Gorevler'!$D$7:$D$206,MATCH($B43,'Gorevler'!$S$7:$S$206,0)))</x:f>
      </x:c>
      <x:c r="F43" s="2" t="str">
        <x:f>IF($B43&gt;INDEX('Portfoy'!$U$7:$U$26,MATCH('Panel'!$C$5,'Portfoy'!$A$7:$A$26,0)),"",INDEX('Gorevler'!$K$7:$K$206,MATCH($B43,'Gorevler'!$S$7:$S$206,0)))</x:f>
      </x:c>
      <x:c r="G43" s="5" t="str">
        <x:f>IF($B43&gt;INDEX('Portfoy'!$U$7:$U$26,MATCH('Panel'!$C$5,'Portfoy'!$A$7:$A$26,0)),"",INDEX('Gorevler'!$F$7:$F$206,MATCH($B43,'Gorevler'!$S$7:$S$206,0)))</x:f>
      </x:c>
      <x:c r="H43" s="5" t="str">
        <x:f>IF($B43&gt;INDEX('Portfoy'!$U$7:$U$26,MATCH('Panel'!$C$5,'Portfoy'!$A$7:$A$26,0)),"",INDEX('Gorevler'!$G$7:$G$206,MATCH($B43,'Gorevler'!$S$7:$S$206,0)))</x:f>
      </x:c>
      <x:c r="I43" s="37" t="str">
        <x:f>IF($B43&gt;INDEX('Portfoy'!$U$7:$U$26,MATCH('Panel'!$C$5,'Portfoy'!$A$7:$A$26,0)),"",INDEX('Gorevler'!$I$7:$I$206,MATCH($B43,'Gorevler'!$S$7:$S$206,0)))</x:f>
      </x:c>
      <x:c r="J43" s="5" t="str">
        <x:f>IF($B43&gt;INDEX('Portfoy'!$U$7:$U$26,MATCH('Panel'!$C$5,'Portfoy'!$A$7:$A$26,0)),"",INDEX('Gorevler'!$J$7:$J$206,MATCH($B43,'Gorevler'!$S$7:$S$206,0)))</x:f>
      </x:c>
      <x:c r="K43" s="2"/>
      <x:c r="L43" s="43" t="str">
        <x:f>IF($C43="","",IF(AND($I43&lt;1,L$6&lt;=$J43,L$6+6&gt;$H43,$J43&gt;$H43),3,IF(AND($I43&gt;0,L$6&lt;=$G43+($H43-$G43+1)*$I43-1,L$6+6&gt;=$G43),2,IF(AND(L$6&lt;=$H43,L$6+6&gt;=$G43),1,0))))</x:f>
      </x:c>
      <x:c r="M43" s="43" t="str">
        <x:f>IF($C43="","",IF(AND($I43&lt;1,M$6&lt;=$J43,M$6+6&gt;$H43,$J43&gt;$H43),3,IF(AND($I43&gt;0,M$6&lt;=$G43+($H43-$G43+1)*$I43-1,M$6+6&gt;=$G43),2,IF(AND(M$6&lt;=$H43,M$6+6&gt;=$G43),1,0))))</x:f>
      </x:c>
      <x:c r="N43" s="43" t="str">
        <x:f>IF($C43="","",IF(AND($I43&lt;1,N$6&lt;=$J43,N$6+6&gt;$H43,$J43&gt;$H43),3,IF(AND($I43&gt;0,N$6&lt;=$G43+($H43-$G43+1)*$I43-1,N$6+6&gt;=$G43),2,IF(AND(N$6&lt;=$H43,N$6+6&gt;=$G43),1,0))))</x:f>
      </x:c>
      <x:c r="O43" s="43" t="str">
        <x:f>IF($C43="","",IF(AND($I43&lt;1,O$6&lt;=$J43,O$6+6&gt;$H43,$J43&gt;$H43),3,IF(AND($I43&gt;0,O$6&lt;=$G43+($H43-$G43+1)*$I43-1,O$6+6&gt;=$G43),2,IF(AND(O$6&lt;=$H43,O$6+6&gt;=$G43),1,0))))</x:f>
      </x:c>
      <x:c r="P43" s="43" t="str">
        <x:f>IF($C43="","",IF(AND($I43&lt;1,P$6&lt;=$J43,P$6+6&gt;$H43,$J43&gt;$H43),3,IF(AND($I43&gt;0,P$6&lt;=$G43+($H43-$G43+1)*$I43-1,P$6+6&gt;=$G43),2,IF(AND(P$6&lt;=$H43,P$6+6&gt;=$G43),1,0))))</x:f>
      </x:c>
      <x:c r="Q43" s="43" t="str">
        <x:f>IF($C43="","",IF(AND($I43&lt;1,Q$6&lt;=$J43,Q$6+6&gt;$H43,$J43&gt;$H43),3,IF(AND($I43&gt;0,Q$6&lt;=$G43+($H43-$G43+1)*$I43-1,Q$6+6&gt;=$G43),2,IF(AND(Q$6&lt;=$H43,Q$6+6&gt;=$G43),1,0))))</x:f>
      </x:c>
      <x:c r="R43" s="43" t="str">
        <x:f>IF($C43="","",IF(AND($I43&lt;1,R$6&lt;=$J43,R$6+6&gt;$H43,$J43&gt;$H43),3,IF(AND($I43&gt;0,R$6&lt;=$G43+($H43-$G43+1)*$I43-1,R$6+6&gt;=$G43),2,IF(AND(R$6&lt;=$H43,R$6+6&gt;=$G43),1,0))))</x:f>
      </x:c>
      <x:c r="S43" s="43" t="str">
        <x:f>IF($C43="","",IF(AND($I43&lt;1,S$6&lt;=$J43,S$6+6&gt;$H43,$J43&gt;$H43),3,IF(AND($I43&gt;0,S$6&lt;=$G43+($H43-$G43+1)*$I43-1,S$6+6&gt;=$G43),2,IF(AND(S$6&lt;=$H43,S$6+6&gt;=$G43),1,0))))</x:f>
      </x:c>
      <x:c r="T43" s="43" t="str">
        <x:f>IF($C43="","",IF(AND($I43&lt;1,T$6&lt;=$J43,T$6+6&gt;$H43,$J43&gt;$H43),3,IF(AND($I43&gt;0,T$6&lt;=$G43+($H43-$G43+1)*$I43-1,T$6+6&gt;=$G43),2,IF(AND(T$6&lt;=$H43,T$6+6&gt;=$G43),1,0))))</x:f>
      </x:c>
      <x:c r="U43" s="43" t="str">
        <x:f>IF($C43="","",IF(AND($I43&lt;1,U$6&lt;=$J43,U$6+6&gt;$H43,$J43&gt;$H43),3,IF(AND($I43&gt;0,U$6&lt;=$G43+($H43-$G43+1)*$I43-1,U$6+6&gt;=$G43),2,IF(AND(U$6&lt;=$H43,U$6+6&gt;=$G43),1,0))))</x:f>
      </x:c>
      <x:c r="V43" s="43" t="str">
        <x:f>IF($C43="","",IF(AND($I43&lt;1,V$6&lt;=$J43,V$6+6&gt;$H43,$J43&gt;$H43),3,IF(AND($I43&gt;0,V$6&lt;=$G43+($H43-$G43+1)*$I43-1,V$6+6&gt;=$G43),2,IF(AND(V$6&lt;=$H43,V$6+6&gt;=$G43),1,0))))</x:f>
      </x:c>
      <x:c r="W43" s="43" t="str">
        <x:f>IF($C43="","",IF(AND($I43&lt;1,W$6&lt;=$J43,W$6+6&gt;$H43,$J43&gt;$H43),3,IF(AND($I43&gt;0,W$6&lt;=$G43+($H43-$G43+1)*$I43-1,W$6+6&gt;=$G43),2,IF(AND(W$6&lt;=$H43,W$6+6&gt;=$G43),1,0))))</x:f>
      </x:c>
      <x:c r="X43" s="43" t="str">
        <x:f>IF($C43="","",IF(AND($I43&lt;1,X$6&lt;=$J43,X$6+6&gt;$H43,$J43&gt;$H43),3,IF(AND($I43&gt;0,X$6&lt;=$G43+($H43-$G43+1)*$I43-1,X$6+6&gt;=$G43),2,IF(AND(X$6&lt;=$H43,X$6+6&gt;=$G43),1,0))))</x:f>
      </x:c>
      <x:c r="Y43" s="43" t="str">
        <x:f>IF($C43="","",IF(AND($I43&lt;1,Y$6&lt;=$J43,Y$6+6&gt;$H43,$J43&gt;$H43),3,IF(AND($I43&gt;0,Y$6&lt;=$G43+($H43-$G43+1)*$I43-1,Y$6+6&gt;=$G43),2,IF(AND(Y$6&lt;=$H43,Y$6+6&gt;=$G43),1,0))))</x:f>
      </x:c>
      <x:c r="Z43" s="43" t="str">
        <x:f>IF($C43="","",IF(AND($I43&lt;1,Z$6&lt;=$J43,Z$6+6&gt;$H43,$J43&gt;$H43),3,IF(AND($I43&gt;0,Z$6&lt;=$G43+($H43-$G43+1)*$I43-1,Z$6+6&gt;=$G43),2,IF(AND(Z$6&lt;=$H43,Z$6+6&gt;=$G43),1,0))))</x:f>
      </x:c>
      <x:c r="AA43" s="43" t="str">
        <x:f>IF($C43="","",IF(AND($I43&lt;1,AA$6&lt;=$J43,AA$6+6&gt;$H43,$J43&gt;$H43),3,IF(AND($I43&gt;0,AA$6&lt;=$G43+($H43-$G43+1)*$I43-1,AA$6+6&gt;=$G43),2,IF(AND(AA$6&lt;=$H43,AA$6+6&gt;=$G43),1,0))))</x:f>
      </x:c>
      <x:c r="AB43" s="43" t="str">
        <x:f>IF($C43="","",IF(AND($I43&lt;1,AB$6&lt;=$J43,AB$6+6&gt;$H43,$J43&gt;$H43),3,IF(AND($I43&gt;0,AB$6&lt;=$G43+($H43-$G43+1)*$I43-1,AB$6+6&gt;=$G43),2,IF(AND(AB$6&lt;=$H43,AB$6+6&gt;=$G43),1,0))))</x:f>
      </x:c>
      <x:c r="AC43" s="43" t="str">
        <x:f>IF($C43="","",IF(AND($I43&lt;1,AC$6&lt;=$J43,AC$6+6&gt;$H43,$J43&gt;$H43),3,IF(AND($I43&gt;0,AC$6&lt;=$G43+($H43-$G43+1)*$I43-1,AC$6+6&gt;=$G43),2,IF(AND(AC$6&lt;=$H43,AC$6+6&gt;=$G43),1,0))))</x:f>
      </x:c>
      <x:c r="AD43" s="43" t="str">
        <x:f>IF($C43="","",IF(AND($I43&lt;1,AD$6&lt;=$J43,AD$6+6&gt;$H43,$J43&gt;$H43),3,IF(AND($I43&gt;0,AD$6&lt;=$G43+($H43-$G43+1)*$I43-1,AD$6+6&gt;=$G43),2,IF(AND(AD$6&lt;=$H43,AD$6+6&gt;=$G43),1,0))))</x:f>
      </x:c>
      <x:c r="AE43" s="43" t="str">
        <x:f>IF($C43="","",IF(AND($I43&lt;1,AE$6&lt;=$J43,AE$6+6&gt;$H43,$J43&gt;$H43),3,IF(AND($I43&gt;0,AE$6&lt;=$G43+($H43-$G43+1)*$I43-1,AE$6+6&gt;=$G43),2,IF(AND(AE$6&lt;=$H43,AE$6+6&gt;=$G43),1,0))))</x:f>
      </x:c>
      <x:c r="AF43" s="43" t="str">
        <x:f>IF($C43="","",IF(AND($I43&lt;1,AF$6&lt;=$J43,AF$6+6&gt;$H43,$J43&gt;$H43),3,IF(AND($I43&gt;0,AF$6&lt;=$G43+($H43-$G43+1)*$I43-1,AF$6+6&gt;=$G43),2,IF(AND(AF$6&lt;=$H43,AF$6+6&gt;=$G43),1,0))))</x:f>
      </x:c>
      <x:c r="AG43" s="43" t="str">
        <x:f>IF($C43="","",IF(AND($I43&lt;1,AG$6&lt;=$J43,AG$6+6&gt;$H43,$J43&gt;$H43),3,IF(AND($I43&gt;0,AG$6&lt;=$G43+($H43-$G43+1)*$I43-1,AG$6+6&gt;=$G43),2,IF(AND(AG$6&lt;=$H43,AG$6+6&gt;=$G43),1,0))))</x:f>
      </x:c>
      <x:c r="AH43" s="43" t="str">
        <x:f>IF($C43="","",IF(AND($I43&lt;1,AH$6&lt;=$J43,AH$6+6&gt;$H43,$J43&gt;$H43),3,IF(AND($I43&gt;0,AH$6&lt;=$G43+($H43-$G43+1)*$I43-1,AH$6+6&gt;=$G43),2,IF(AND(AH$6&lt;=$H43,AH$6+6&gt;=$G43),1,0))))</x:f>
      </x:c>
      <x:c r="AI43" s="43" t="str">
        <x:f>IF($C43="","",IF(AND($I43&lt;1,AI$6&lt;=$J43,AI$6+6&gt;$H43,$J43&gt;$H43),3,IF(AND($I43&gt;0,AI$6&lt;=$G43+($H43-$G43+1)*$I43-1,AI$6+6&gt;=$G43),2,IF(AND(AI$6&lt;=$H43,AI$6+6&gt;=$G43),1,0))))</x:f>
      </x:c>
      <x:c r="AJ43" s="43" t="str">
        <x:f>IF($C43="","",IF(AND($I43&lt;1,AJ$6&lt;=$J43,AJ$6+6&gt;$H43,$J43&gt;$H43),3,IF(AND($I43&gt;0,AJ$6&lt;=$G43+($H43-$G43+1)*$I43-1,AJ$6+6&gt;=$G43),2,IF(AND(AJ$6&lt;=$H43,AJ$6+6&gt;=$G43),1,0))))</x:f>
      </x:c>
      <x:c r="AK43" s="43" t="str">
        <x:f>IF($C43="","",IF(AND($I43&lt;1,AK$6&lt;=$J43,AK$6+6&gt;$H43,$J43&gt;$H43),3,IF(AND($I43&gt;0,AK$6&lt;=$G43+($H43-$G43+1)*$I43-1,AK$6+6&gt;=$G43),2,IF(AND(AK$6&lt;=$H43,AK$6+6&gt;=$G43),1,0))))</x:f>
      </x:c>
    </x:row>
    <x:row r="44" ht="22" customHeight="1">
      <x:c r="A44" s="2"/>
      <x:c r="B44" s="2" t="n">
        <x:v>38</x:v>
      </x:c>
      <x:c r="C44" s="2" t="str">
        <x:f>IF($B44&gt;INDEX('Portfoy'!$U$7:$U$26,MATCH('Panel'!$C$5,'Portfoy'!$A$7:$A$26,0)),"",INDEX('Gorevler'!$A$7:$A$206,MATCH($B44,'Gorevler'!$S$7:$S$206,0)))</x:f>
      </x:c>
      <x:c r="D44" s="2" t="str">
        <x:f>IF($B44&gt;INDEX('Portfoy'!$U$7:$U$26,MATCH('Panel'!$C$5,'Portfoy'!$A$7:$A$26,0)),"",INDEX('Gorevler'!$C$7:$C$206,MATCH($B44,'Gorevler'!$S$7:$S$206,0)))</x:f>
      </x:c>
      <x:c r="E44" s="2" t="str">
        <x:f>IF($B44&gt;INDEX('Portfoy'!$U$7:$U$26,MATCH('Panel'!$C$5,'Portfoy'!$A$7:$A$26,0)),"",INDEX('Gorevler'!$D$7:$D$206,MATCH($B44,'Gorevler'!$S$7:$S$206,0)))</x:f>
      </x:c>
      <x:c r="F44" s="2" t="str">
        <x:f>IF($B44&gt;INDEX('Portfoy'!$U$7:$U$26,MATCH('Panel'!$C$5,'Portfoy'!$A$7:$A$26,0)),"",INDEX('Gorevler'!$K$7:$K$206,MATCH($B44,'Gorevler'!$S$7:$S$206,0)))</x:f>
      </x:c>
      <x:c r="G44" s="5" t="str">
        <x:f>IF($B44&gt;INDEX('Portfoy'!$U$7:$U$26,MATCH('Panel'!$C$5,'Portfoy'!$A$7:$A$26,0)),"",INDEX('Gorevler'!$F$7:$F$206,MATCH($B44,'Gorevler'!$S$7:$S$206,0)))</x:f>
      </x:c>
      <x:c r="H44" s="5" t="str">
        <x:f>IF($B44&gt;INDEX('Portfoy'!$U$7:$U$26,MATCH('Panel'!$C$5,'Portfoy'!$A$7:$A$26,0)),"",INDEX('Gorevler'!$G$7:$G$206,MATCH($B44,'Gorevler'!$S$7:$S$206,0)))</x:f>
      </x:c>
      <x:c r="I44" s="37" t="str">
        <x:f>IF($B44&gt;INDEX('Portfoy'!$U$7:$U$26,MATCH('Panel'!$C$5,'Portfoy'!$A$7:$A$26,0)),"",INDEX('Gorevler'!$I$7:$I$206,MATCH($B44,'Gorevler'!$S$7:$S$206,0)))</x:f>
      </x:c>
      <x:c r="J44" s="5" t="str">
        <x:f>IF($B44&gt;INDEX('Portfoy'!$U$7:$U$26,MATCH('Panel'!$C$5,'Portfoy'!$A$7:$A$26,0)),"",INDEX('Gorevler'!$J$7:$J$206,MATCH($B44,'Gorevler'!$S$7:$S$206,0)))</x:f>
      </x:c>
      <x:c r="K44" s="2"/>
      <x:c r="L44" s="43" t="str">
        <x:f>IF($C44="","",IF(AND($I44&lt;1,L$6&lt;=$J44,L$6+6&gt;$H44,$J44&gt;$H44),3,IF(AND($I44&gt;0,L$6&lt;=$G44+($H44-$G44+1)*$I44-1,L$6+6&gt;=$G44),2,IF(AND(L$6&lt;=$H44,L$6+6&gt;=$G44),1,0))))</x:f>
      </x:c>
      <x:c r="M44" s="43" t="str">
        <x:f>IF($C44="","",IF(AND($I44&lt;1,M$6&lt;=$J44,M$6+6&gt;$H44,$J44&gt;$H44),3,IF(AND($I44&gt;0,M$6&lt;=$G44+($H44-$G44+1)*$I44-1,M$6+6&gt;=$G44),2,IF(AND(M$6&lt;=$H44,M$6+6&gt;=$G44),1,0))))</x:f>
      </x:c>
      <x:c r="N44" s="43" t="str">
        <x:f>IF($C44="","",IF(AND($I44&lt;1,N$6&lt;=$J44,N$6+6&gt;$H44,$J44&gt;$H44),3,IF(AND($I44&gt;0,N$6&lt;=$G44+($H44-$G44+1)*$I44-1,N$6+6&gt;=$G44),2,IF(AND(N$6&lt;=$H44,N$6+6&gt;=$G44),1,0))))</x:f>
      </x:c>
      <x:c r="O44" s="43" t="str">
        <x:f>IF($C44="","",IF(AND($I44&lt;1,O$6&lt;=$J44,O$6+6&gt;$H44,$J44&gt;$H44),3,IF(AND($I44&gt;0,O$6&lt;=$G44+($H44-$G44+1)*$I44-1,O$6+6&gt;=$G44),2,IF(AND(O$6&lt;=$H44,O$6+6&gt;=$G44),1,0))))</x:f>
      </x:c>
      <x:c r="P44" s="43" t="str">
        <x:f>IF($C44="","",IF(AND($I44&lt;1,P$6&lt;=$J44,P$6+6&gt;$H44,$J44&gt;$H44),3,IF(AND($I44&gt;0,P$6&lt;=$G44+($H44-$G44+1)*$I44-1,P$6+6&gt;=$G44),2,IF(AND(P$6&lt;=$H44,P$6+6&gt;=$G44),1,0))))</x:f>
      </x:c>
      <x:c r="Q44" s="43" t="str">
        <x:f>IF($C44="","",IF(AND($I44&lt;1,Q$6&lt;=$J44,Q$6+6&gt;$H44,$J44&gt;$H44),3,IF(AND($I44&gt;0,Q$6&lt;=$G44+($H44-$G44+1)*$I44-1,Q$6+6&gt;=$G44),2,IF(AND(Q$6&lt;=$H44,Q$6+6&gt;=$G44),1,0))))</x:f>
      </x:c>
      <x:c r="R44" s="43" t="str">
        <x:f>IF($C44="","",IF(AND($I44&lt;1,R$6&lt;=$J44,R$6+6&gt;$H44,$J44&gt;$H44),3,IF(AND($I44&gt;0,R$6&lt;=$G44+($H44-$G44+1)*$I44-1,R$6+6&gt;=$G44),2,IF(AND(R$6&lt;=$H44,R$6+6&gt;=$G44),1,0))))</x:f>
      </x:c>
      <x:c r="S44" s="43" t="str">
        <x:f>IF($C44="","",IF(AND($I44&lt;1,S$6&lt;=$J44,S$6+6&gt;$H44,$J44&gt;$H44),3,IF(AND($I44&gt;0,S$6&lt;=$G44+($H44-$G44+1)*$I44-1,S$6+6&gt;=$G44),2,IF(AND(S$6&lt;=$H44,S$6+6&gt;=$G44),1,0))))</x:f>
      </x:c>
      <x:c r="T44" s="43" t="str">
        <x:f>IF($C44="","",IF(AND($I44&lt;1,T$6&lt;=$J44,T$6+6&gt;$H44,$J44&gt;$H44),3,IF(AND($I44&gt;0,T$6&lt;=$G44+($H44-$G44+1)*$I44-1,T$6+6&gt;=$G44),2,IF(AND(T$6&lt;=$H44,T$6+6&gt;=$G44),1,0))))</x:f>
      </x:c>
      <x:c r="U44" s="43" t="str">
        <x:f>IF($C44="","",IF(AND($I44&lt;1,U$6&lt;=$J44,U$6+6&gt;$H44,$J44&gt;$H44),3,IF(AND($I44&gt;0,U$6&lt;=$G44+($H44-$G44+1)*$I44-1,U$6+6&gt;=$G44),2,IF(AND(U$6&lt;=$H44,U$6+6&gt;=$G44),1,0))))</x:f>
      </x:c>
      <x:c r="V44" s="43" t="str">
        <x:f>IF($C44="","",IF(AND($I44&lt;1,V$6&lt;=$J44,V$6+6&gt;$H44,$J44&gt;$H44),3,IF(AND($I44&gt;0,V$6&lt;=$G44+($H44-$G44+1)*$I44-1,V$6+6&gt;=$G44),2,IF(AND(V$6&lt;=$H44,V$6+6&gt;=$G44),1,0))))</x:f>
      </x:c>
      <x:c r="W44" s="43" t="str">
        <x:f>IF($C44="","",IF(AND($I44&lt;1,W$6&lt;=$J44,W$6+6&gt;$H44,$J44&gt;$H44),3,IF(AND($I44&gt;0,W$6&lt;=$G44+($H44-$G44+1)*$I44-1,W$6+6&gt;=$G44),2,IF(AND(W$6&lt;=$H44,W$6+6&gt;=$G44),1,0))))</x:f>
      </x:c>
      <x:c r="X44" s="43" t="str">
        <x:f>IF($C44="","",IF(AND($I44&lt;1,X$6&lt;=$J44,X$6+6&gt;$H44,$J44&gt;$H44),3,IF(AND($I44&gt;0,X$6&lt;=$G44+($H44-$G44+1)*$I44-1,X$6+6&gt;=$G44),2,IF(AND(X$6&lt;=$H44,X$6+6&gt;=$G44),1,0))))</x:f>
      </x:c>
      <x:c r="Y44" s="43" t="str">
        <x:f>IF($C44="","",IF(AND($I44&lt;1,Y$6&lt;=$J44,Y$6+6&gt;$H44,$J44&gt;$H44),3,IF(AND($I44&gt;0,Y$6&lt;=$G44+($H44-$G44+1)*$I44-1,Y$6+6&gt;=$G44),2,IF(AND(Y$6&lt;=$H44,Y$6+6&gt;=$G44),1,0))))</x:f>
      </x:c>
      <x:c r="Z44" s="43" t="str">
        <x:f>IF($C44="","",IF(AND($I44&lt;1,Z$6&lt;=$J44,Z$6+6&gt;$H44,$J44&gt;$H44),3,IF(AND($I44&gt;0,Z$6&lt;=$G44+($H44-$G44+1)*$I44-1,Z$6+6&gt;=$G44),2,IF(AND(Z$6&lt;=$H44,Z$6+6&gt;=$G44),1,0))))</x:f>
      </x:c>
      <x:c r="AA44" s="43" t="str">
        <x:f>IF($C44="","",IF(AND($I44&lt;1,AA$6&lt;=$J44,AA$6+6&gt;$H44,$J44&gt;$H44),3,IF(AND($I44&gt;0,AA$6&lt;=$G44+($H44-$G44+1)*$I44-1,AA$6+6&gt;=$G44),2,IF(AND(AA$6&lt;=$H44,AA$6+6&gt;=$G44),1,0))))</x:f>
      </x:c>
      <x:c r="AB44" s="43" t="str">
        <x:f>IF($C44="","",IF(AND($I44&lt;1,AB$6&lt;=$J44,AB$6+6&gt;$H44,$J44&gt;$H44),3,IF(AND($I44&gt;0,AB$6&lt;=$G44+($H44-$G44+1)*$I44-1,AB$6+6&gt;=$G44),2,IF(AND(AB$6&lt;=$H44,AB$6+6&gt;=$G44),1,0))))</x:f>
      </x:c>
      <x:c r="AC44" s="43" t="str">
        <x:f>IF($C44="","",IF(AND($I44&lt;1,AC$6&lt;=$J44,AC$6+6&gt;$H44,$J44&gt;$H44),3,IF(AND($I44&gt;0,AC$6&lt;=$G44+($H44-$G44+1)*$I44-1,AC$6+6&gt;=$G44),2,IF(AND(AC$6&lt;=$H44,AC$6+6&gt;=$G44),1,0))))</x:f>
      </x:c>
      <x:c r="AD44" s="43" t="str">
        <x:f>IF($C44="","",IF(AND($I44&lt;1,AD$6&lt;=$J44,AD$6+6&gt;$H44,$J44&gt;$H44),3,IF(AND($I44&gt;0,AD$6&lt;=$G44+($H44-$G44+1)*$I44-1,AD$6+6&gt;=$G44),2,IF(AND(AD$6&lt;=$H44,AD$6+6&gt;=$G44),1,0))))</x:f>
      </x:c>
      <x:c r="AE44" s="43" t="str">
        <x:f>IF($C44="","",IF(AND($I44&lt;1,AE$6&lt;=$J44,AE$6+6&gt;$H44,$J44&gt;$H44),3,IF(AND($I44&gt;0,AE$6&lt;=$G44+($H44-$G44+1)*$I44-1,AE$6+6&gt;=$G44),2,IF(AND(AE$6&lt;=$H44,AE$6+6&gt;=$G44),1,0))))</x:f>
      </x:c>
      <x:c r="AF44" s="43" t="str">
        <x:f>IF($C44="","",IF(AND($I44&lt;1,AF$6&lt;=$J44,AF$6+6&gt;$H44,$J44&gt;$H44),3,IF(AND($I44&gt;0,AF$6&lt;=$G44+($H44-$G44+1)*$I44-1,AF$6+6&gt;=$G44),2,IF(AND(AF$6&lt;=$H44,AF$6+6&gt;=$G44),1,0))))</x:f>
      </x:c>
      <x:c r="AG44" s="43" t="str">
        <x:f>IF($C44="","",IF(AND($I44&lt;1,AG$6&lt;=$J44,AG$6+6&gt;$H44,$J44&gt;$H44),3,IF(AND($I44&gt;0,AG$6&lt;=$G44+($H44-$G44+1)*$I44-1,AG$6+6&gt;=$G44),2,IF(AND(AG$6&lt;=$H44,AG$6+6&gt;=$G44),1,0))))</x:f>
      </x:c>
      <x:c r="AH44" s="43" t="str">
        <x:f>IF($C44="","",IF(AND($I44&lt;1,AH$6&lt;=$J44,AH$6+6&gt;$H44,$J44&gt;$H44),3,IF(AND($I44&gt;0,AH$6&lt;=$G44+($H44-$G44+1)*$I44-1,AH$6+6&gt;=$G44),2,IF(AND(AH$6&lt;=$H44,AH$6+6&gt;=$G44),1,0))))</x:f>
      </x:c>
      <x:c r="AI44" s="43" t="str">
        <x:f>IF($C44="","",IF(AND($I44&lt;1,AI$6&lt;=$J44,AI$6+6&gt;$H44,$J44&gt;$H44),3,IF(AND($I44&gt;0,AI$6&lt;=$G44+($H44-$G44+1)*$I44-1,AI$6+6&gt;=$G44),2,IF(AND(AI$6&lt;=$H44,AI$6+6&gt;=$G44),1,0))))</x:f>
      </x:c>
      <x:c r="AJ44" s="43" t="str">
        <x:f>IF($C44="","",IF(AND($I44&lt;1,AJ$6&lt;=$J44,AJ$6+6&gt;$H44,$J44&gt;$H44),3,IF(AND($I44&gt;0,AJ$6&lt;=$G44+($H44-$G44+1)*$I44-1,AJ$6+6&gt;=$G44),2,IF(AND(AJ$6&lt;=$H44,AJ$6+6&gt;=$G44),1,0))))</x:f>
      </x:c>
      <x:c r="AK44" s="43" t="str">
        <x:f>IF($C44="","",IF(AND($I44&lt;1,AK$6&lt;=$J44,AK$6+6&gt;$H44,$J44&gt;$H44),3,IF(AND($I44&gt;0,AK$6&lt;=$G44+($H44-$G44+1)*$I44-1,AK$6+6&gt;=$G44),2,IF(AND(AK$6&lt;=$H44,AK$6+6&gt;=$G44),1,0))))</x:f>
      </x:c>
    </x:row>
    <x:row r="45" ht="22" customHeight="1">
      <x:c r="A45" s="2"/>
      <x:c r="B45" s="2" t="n">
        <x:v>39</x:v>
      </x:c>
      <x:c r="C45" s="2" t="str">
        <x:f>IF($B45&gt;INDEX('Portfoy'!$U$7:$U$26,MATCH('Panel'!$C$5,'Portfoy'!$A$7:$A$26,0)),"",INDEX('Gorevler'!$A$7:$A$206,MATCH($B45,'Gorevler'!$S$7:$S$206,0)))</x:f>
      </x:c>
      <x:c r="D45" s="2" t="str">
        <x:f>IF($B45&gt;INDEX('Portfoy'!$U$7:$U$26,MATCH('Panel'!$C$5,'Portfoy'!$A$7:$A$26,0)),"",INDEX('Gorevler'!$C$7:$C$206,MATCH($B45,'Gorevler'!$S$7:$S$206,0)))</x:f>
      </x:c>
      <x:c r="E45" s="2" t="str">
        <x:f>IF($B45&gt;INDEX('Portfoy'!$U$7:$U$26,MATCH('Panel'!$C$5,'Portfoy'!$A$7:$A$26,0)),"",INDEX('Gorevler'!$D$7:$D$206,MATCH($B45,'Gorevler'!$S$7:$S$206,0)))</x:f>
      </x:c>
      <x:c r="F45" s="2" t="str">
        <x:f>IF($B45&gt;INDEX('Portfoy'!$U$7:$U$26,MATCH('Panel'!$C$5,'Portfoy'!$A$7:$A$26,0)),"",INDEX('Gorevler'!$K$7:$K$206,MATCH($B45,'Gorevler'!$S$7:$S$206,0)))</x:f>
      </x:c>
      <x:c r="G45" s="5" t="str">
        <x:f>IF($B45&gt;INDEX('Portfoy'!$U$7:$U$26,MATCH('Panel'!$C$5,'Portfoy'!$A$7:$A$26,0)),"",INDEX('Gorevler'!$F$7:$F$206,MATCH($B45,'Gorevler'!$S$7:$S$206,0)))</x:f>
      </x:c>
      <x:c r="H45" s="5" t="str">
        <x:f>IF($B45&gt;INDEX('Portfoy'!$U$7:$U$26,MATCH('Panel'!$C$5,'Portfoy'!$A$7:$A$26,0)),"",INDEX('Gorevler'!$G$7:$G$206,MATCH($B45,'Gorevler'!$S$7:$S$206,0)))</x:f>
      </x:c>
      <x:c r="I45" s="37" t="str">
        <x:f>IF($B45&gt;INDEX('Portfoy'!$U$7:$U$26,MATCH('Panel'!$C$5,'Portfoy'!$A$7:$A$26,0)),"",INDEX('Gorevler'!$I$7:$I$206,MATCH($B45,'Gorevler'!$S$7:$S$206,0)))</x:f>
      </x:c>
      <x:c r="J45" s="5" t="str">
        <x:f>IF($B45&gt;INDEX('Portfoy'!$U$7:$U$26,MATCH('Panel'!$C$5,'Portfoy'!$A$7:$A$26,0)),"",INDEX('Gorevler'!$J$7:$J$206,MATCH($B45,'Gorevler'!$S$7:$S$206,0)))</x:f>
      </x:c>
      <x:c r="K45" s="2"/>
      <x:c r="L45" s="43" t="str">
        <x:f>IF($C45="","",IF(AND($I45&lt;1,L$6&lt;=$J45,L$6+6&gt;$H45,$J45&gt;$H45),3,IF(AND($I45&gt;0,L$6&lt;=$G45+($H45-$G45+1)*$I45-1,L$6+6&gt;=$G45),2,IF(AND(L$6&lt;=$H45,L$6+6&gt;=$G45),1,0))))</x:f>
      </x:c>
      <x:c r="M45" s="43" t="str">
        <x:f>IF($C45="","",IF(AND($I45&lt;1,M$6&lt;=$J45,M$6+6&gt;$H45,$J45&gt;$H45),3,IF(AND($I45&gt;0,M$6&lt;=$G45+($H45-$G45+1)*$I45-1,M$6+6&gt;=$G45),2,IF(AND(M$6&lt;=$H45,M$6+6&gt;=$G45),1,0))))</x:f>
      </x:c>
      <x:c r="N45" s="43" t="str">
        <x:f>IF($C45="","",IF(AND($I45&lt;1,N$6&lt;=$J45,N$6+6&gt;$H45,$J45&gt;$H45),3,IF(AND($I45&gt;0,N$6&lt;=$G45+($H45-$G45+1)*$I45-1,N$6+6&gt;=$G45),2,IF(AND(N$6&lt;=$H45,N$6+6&gt;=$G45),1,0))))</x:f>
      </x:c>
      <x:c r="O45" s="43" t="str">
        <x:f>IF($C45="","",IF(AND($I45&lt;1,O$6&lt;=$J45,O$6+6&gt;$H45,$J45&gt;$H45),3,IF(AND($I45&gt;0,O$6&lt;=$G45+($H45-$G45+1)*$I45-1,O$6+6&gt;=$G45),2,IF(AND(O$6&lt;=$H45,O$6+6&gt;=$G45),1,0))))</x:f>
      </x:c>
      <x:c r="P45" s="43" t="str">
        <x:f>IF($C45="","",IF(AND($I45&lt;1,P$6&lt;=$J45,P$6+6&gt;$H45,$J45&gt;$H45),3,IF(AND($I45&gt;0,P$6&lt;=$G45+($H45-$G45+1)*$I45-1,P$6+6&gt;=$G45),2,IF(AND(P$6&lt;=$H45,P$6+6&gt;=$G45),1,0))))</x:f>
      </x:c>
      <x:c r="Q45" s="43" t="str">
        <x:f>IF($C45="","",IF(AND($I45&lt;1,Q$6&lt;=$J45,Q$6+6&gt;$H45,$J45&gt;$H45),3,IF(AND($I45&gt;0,Q$6&lt;=$G45+($H45-$G45+1)*$I45-1,Q$6+6&gt;=$G45),2,IF(AND(Q$6&lt;=$H45,Q$6+6&gt;=$G45),1,0))))</x:f>
      </x:c>
      <x:c r="R45" s="43" t="str">
        <x:f>IF($C45="","",IF(AND($I45&lt;1,R$6&lt;=$J45,R$6+6&gt;$H45,$J45&gt;$H45),3,IF(AND($I45&gt;0,R$6&lt;=$G45+($H45-$G45+1)*$I45-1,R$6+6&gt;=$G45),2,IF(AND(R$6&lt;=$H45,R$6+6&gt;=$G45),1,0))))</x:f>
      </x:c>
      <x:c r="S45" s="43" t="str">
        <x:f>IF($C45="","",IF(AND($I45&lt;1,S$6&lt;=$J45,S$6+6&gt;$H45,$J45&gt;$H45),3,IF(AND($I45&gt;0,S$6&lt;=$G45+($H45-$G45+1)*$I45-1,S$6+6&gt;=$G45),2,IF(AND(S$6&lt;=$H45,S$6+6&gt;=$G45),1,0))))</x:f>
      </x:c>
      <x:c r="T45" s="43" t="str">
        <x:f>IF($C45="","",IF(AND($I45&lt;1,T$6&lt;=$J45,T$6+6&gt;$H45,$J45&gt;$H45),3,IF(AND($I45&gt;0,T$6&lt;=$G45+($H45-$G45+1)*$I45-1,T$6+6&gt;=$G45),2,IF(AND(T$6&lt;=$H45,T$6+6&gt;=$G45),1,0))))</x:f>
      </x:c>
      <x:c r="U45" s="43" t="str">
        <x:f>IF($C45="","",IF(AND($I45&lt;1,U$6&lt;=$J45,U$6+6&gt;$H45,$J45&gt;$H45),3,IF(AND($I45&gt;0,U$6&lt;=$G45+($H45-$G45+1)*$I45-1,U$6+6&gt;=$G45),2,IF(AND(U$6&lt;=$H45,U$6+6&gt;=$G45),1,0))))</x:f>
      </x:c>
      <x:c r="V45" s="43" t="str">
        <x:f>IF($C45="","",IF(AND($I45&lt;1,V$6&lt;=$J45,V$6+6&gt;$H45,$J45&gt;$H45),3,IF(AND($I45&gt;0,V$6&lt;=$G45+($H45-$G45+1)*$I45-1,V$6+6&gt;=$G45),2,IF(AND(V$6&lt;=$H45,V$6+6&gt;=$G45),1,0))))</x:f>
      </x:c>
      <x:c r="W45" s="43" t="str">
        <x:f>IF($C45="","",IF(AND($I45&lt;1,W$6&lt;=$J45,W$6+6&gt;$H45,$J45&gt;$H45),3,IF(AND($I45&gt;0,W$6&lt;=$G45+($H45-$G45+1)*$I45-1,W$6+6&gt;=$G45),2,IF(AND(W$6&lt;=$H45,W$6+6&gt;=$G45),1,0))))</x:f>
      </x:c>
      <x:c r="X45" s="43" t="str">
        <x:f>IF($C45="","",IF(AND($I45&lt;1,X$6&lt;=$J45,X$6+6&gt;$H45,$J45&gt;$H45),3,IF(AND($I45&gt;0,X$6&lt;=$G45+($H45-$G45+1)*$I45-1,X$6+6&gt;=$G45),2,IF(AND(X$6&lt;=$H45,X$6+6&gt;=$G45),1,0))))</x:f>
      </x:c>
      <x:c r="Y45" s="43" t="str">
        <x:f>IF($C45="","",IF(AND($I45&lt;1,Y$6&lt;=$J45,Y$6+6&gt;$H45,$J45&gt;$H45),3,IF(AND($I45&gt;0,Y$6&lt;=$G45+($H45-$G45+1)*$I45-1,Y$6+6&gt;=$G45),2,IF(AND(Y$6&lt;=$H45,Y$6+6&gt;=$G45),1,0))))</x:f>
      </x:c>
      <x:c r="Z45" s="43" t="str">
        <x:f>IF($C45="","",IF(AND($I45&lt;1,Z$6&lt;=$J45,Z$6+6&gt;$H45,$J45&gt;$H45),3,IF(AND($I45&gt;0,Z$6&lt;=$G45+($H45-$G45+1)*$I45-1,Z$6+6&gt;=$G45),2,IF(AND(Z$6&lt;=$H45,Z$6+6&gt;=$G45),1,0))))</x:f>
      </x:c>
      <x:c r="AA45" s="43" t="str">
        <x:f>IF($C45="","",IF(AND($I45&lt;1,AA$6&lt;=$J45,AA$6+6&gt;$H45,$J45&gt;$H45),3,IF(AND($I45&gt;0,AA$6&lt;=$G45+($H45-$G45+1)*$I45-1,AA$6+6&gt;=$G45),2,IF(AND(AA$6&lt;=$H45,AA$6+6&gt;=$G45),1,0))))</x:f>
      </x:c>
      <x:c r="AB45" s="43" t="str">
        <x:f>IF($C45="","",IF(AND($I45&lt;1,AB$6&lt;=$J45,AB$6+6&gt;$H45,$J45&gt;$H45),3,IF(AND($I45&gt;0,AB$6&lt;=$G45+($H45-$G45+1)*$I45-1,AB$6+6&gt;=$G45),2,IF(AND(AB$6&lt;=$H45,AB$6+6&gt;=$G45),1,0))))</x:f>
      </x:c>
      <x:c r="AC45" s="43" t="str">
        <x:f>IF($C45="","",IF(AND($I45&lt;1,AC$6&lt;=$J45,AC$6+6&gt;$H45,$J45&gt;$H45),3,IF(AND($I45&gt;0,AC$6&lt;=$G45+($H45-$G45+1)*$I45-1,AC$6+6&gt;=$G45),2,IF(AND(AC$6&lt;=$H45,AC$6+6&gt;=$G45),1,0))))</x:f>
      </x:c>
      <x:c r="AD45" s="43" t="str">
        <x:f>IF($C45="","",IF(AND($I45&lt;1,AD$6&lt;=$J45,AD$6+6&gt;$H45,$J45&gt;$H45),3,IF(AND($I45&gt;0,AD$6&lt;=$G45+($H45-$G45+1)*$I45-1,AD$6+6&gt;=$G45),2,IF(AND(AD$6&lt;=$H45,AD$6+6&gt;=$G45),1,0))))</x:f>
      </x:c>
      <x:c r="AE45" s="43" t="str">
        <x:f>IF($C45="","",IF(AND($I45&lt;1,AE$6&lt;=$J45,AE$6+6&gt;$H45,$J45&gt;$H45),3,IF(AND($I45&gt;0,AE$6&lt;=$G45+($H45-$G45+1)*$I45-1,AE$6+6&gt;=$G45),2,IF(AND(AE$6&lt;=$H45,AE$6+6&gt;=$G45),1,0))))</x:f>
      </x:c>
      <x:c r="AF45" s="43" t="str">
        <x:f>IF($C45="","",IF(AND($I45&lt;1,AF$6&lt;=$J45,AF$6+6&gt;$H45,$J45&gt;$H45),3,IF(AND($I45&gt;0,AF$6&lt;=$G45+($H45-$G45+1)*$I45-1,AF$6+6&gt;=$G45),2,IF(AND(AF$6&lt;=$H45,AF$6+6&gt;=$G45),1,0))))</x:f>
      </x:c>
      <x:c r="AG45" s="43" t="str">
        <x:f>IF($C45="","",IF(AND($I45&lt;1,AG$6&lt;=$J45,AG$6+6&gt;$H45,$J45&gt;$H45),3,IF(AND($I45&gt;0,AG$6&lt;=$G45+($H45-$G45+1)*$I45-1,AG$6+6&gt;=$G45),2,IF(AND(AG$6&lt;=$H45,AG$6+6&gt;=$G45),1,0))))</x:f>
      </x:c>
      <x:c r="AH45" s="43" t="str">
        <x:f>IF($C45="","",IF(AND($I45&lt;1,AH$6&lt;=$J45,AH$6+6&gt;$H45,$J45&gt;$H45),3,IF(AND($I45&gt;0,AH$6&lt;=$G45+($H45-$G45+1)*$I45-1,AH$6+6&gt;=$G45),2,IF(AND(AH$6&lt;=$H45,AH$6+6&gt;=$G45),1,0))))</x:f>
      </x:c>
      <x:c r="AI45" s="43" t="str">
        <x:f>IF($C45="","",IF(AND($I45&lt;1,AI$6&lt;=$J45,AI$6+6&gt;$H45,$J45&gt;$H45),3,IF(AND($I45&gt;0,AI$6&lt;=$G45+($H45-$G45+1)*$I45-1,AI$6+6&gt;=$G45),2,IF(AND(AI$6&lt;=$H45,AI$6+6&gt;=$G45),1,0))))</x:f>
      </x:c>
      <x:c r="AJ45" s="43" t="str">
        <x:f>IF($C45="","",IF(AND($I45&lt;1,AJ$6&lt;=$J45,AJ$6+6&gt;$H45,$J45&gt;$H45),3,IF(AND($I45&gt;0,AJ$6&lt;=$G45+($H45-$G45+1)*$I45-1,AJ$6+6&gt;=$G45),2,IF(AND(AJ$6&lt;=$H45,AJ$6+6&gt;=$G45),1,0))))</x:f>
      </x:c>
      <x:c r="AK45" s="43" t="str">
        <x:f>IF($C45="","",IF(AND($I45&lt;1,AK$6&lt;=$J45,AK$6+6&gt;$H45,$J45&gt;$H45),3,IF(AND($I45&gt;0,AK$6&lt;=$G45+($H45-$G45+1)*$I45-1,AK$6+6&gt;=$G45),2,IF(AND(AK$6&lt;=$H45,AK$6+6&gt;=$G45),1,0))))</x:f>
      </x:c>
    </x:row>
    <x:row r="46" ht="22" customHeight="1">
      <x:c r="A46" s="2"/>
      <x:c r="B46" s="2" t="n">
        <x:v>40</x:v>
      </x:c>
      <x:c r="C46" s="2" t="str">
        <x:f>IF($B46&gt;INDEX('Portfoy'!$U$7:$U$26,MATCH('Panel'!$C$5,'Portfoy'!$A$7:$A$26,0)),"",INDEX('Gorevler'!$A$7:$A$206,MATCH($B46,'Gorevler'!$S$7:$S$206,0)))</x:f>
      </x:c>
      <x:c r="D46" s="2" t="str">
        <x:f>IF($B46&gt;INDEX('Portfoy'!$U$7:$U$26,MATCH('Panel'!$C$5,'Portfoy'!$A$7:$A$26,0)),"",INDEX('Gorevler'!$C$7:$C$206,MATCH($B46,'Gorevler'!$S$7:$S$206,0)))</x:f>
      </x:c>
      <x:c r="E46" s="2" t="str">
        <x:f>IF($B46&gt;INDEX('Portfoy'!$U$7:$U$26,MATCH('Panel'!$C$5,'Portfoy'!$A$7:$A$26,0)),"",INDEX('Gorevler'!$D$7:$D$206,MATCH($B46,'Gorevler'!$S$7:$S$206,0)))</x:f>
      </x:c>
      <x:c r="F46" s="2" t="str">
        <x:f>IF($B46&gt;INDEX('Portfoy'!$U$7:$U$26,MATCH('Panel'!$C$5,'Portfoy'!$A$7:$A$26,0)),"",INDEX('Gorevler'!$K$7:$K$206,MATCH($B46,'Gorevler'!$S$7:$S$206,0)))</x:f>
      </x:c>
      <x:c r="G46" s="5" t="str">
        <x:f>IF($B46&gt;INDEX('Portfoy'!$U$7:$U$26,MATCH('Panel'!$C$5,'Portfoy'!$A$7:$A$26,0)),"",INDEX('Gorevler'!$F$7:$F$206,MATCH($B46,'Gorevler'!$S$7:$S$206,0)))</x:f>
      </x:c>
      <x:c r="H46" s="5" t="str">
        <x:f>IF($B46&gt;INDEX('Portfoy'!$U$7:$U$26,MATCH('Panel'!$C$5,'Portfoy'!$A$7:$A$26,0)),"",INDEX('Gorevler'!$G$7:$G$206,MATCH($B46,'Gorevler'!$S$7:$S$206,0)))</x:f>
      </x:c>
      <x:c r="I46" s="37" t="str">
        <x:f>IF($B46&gt;INDEX('Portfoy'!$U$7:$U$26,MATCH('Panel'!$C$5,'Portfoy'!$A$7:$A$26,0)),"",INDEX('Gorevler'!$I$7:$I$206,MATCH($B46,'Gorevler'!$S$7:$S$206,0)))</x:f>
      </x:c>
      <x:c r="J46" s="5" t="str">
        <x:f>IF($B46&gt;INDEX('Portfoy'!$U$7:$U$26,MATCH('Panel'!$C$5,'Portfoy'!$A$7:$A$26,0)),"",INDEX('Gorevler'!$J$7:$J$206,MATCH($B46,'Gorevler'!$S$7:$S$206,0)))</x:f>
      </x:c>
      <x:c r="K46" s="2"/>
      <x:c r="L46" s="43" t="str">
        <x:f>IF($C46="","",IF(AND($I46&lt;1,L$6&lt;=$J46,L$6+6&gt;$H46,$J46&gt;$H46),3,IF(AND($I46&gt;0,L$6&lt;=$G46+($H46-$G46+1)*$I46-1,L$6+6&gt;=$G46),2,IF(AND(L$6&lt;=$H46,L$6+6&gt;=$G46),1,0))))</x:f>
      </x:c>
      <x:c r="M46" s="43" t="str">
        <x:f>IF($C46="","",IF(AND($I46&lt;1,M$6&lt;=$J46,M$6+6&gt;$H46,$J46&gt;$H46),3,IF(AND($I46&gt;0,M$6&lt;=$G46+($H46-$G46+1)*$I46-1,M$6+6&gt;=$G46),2,IF(AND(M$6&lt;=$H46,M$6+6&gt;=$G46),1,0))))</x:f>
      </x:c>
      <x:c r="N46" s="43" t="str">
        <x:f>IF($C46="","",IF(AND($I46&lt;1,N$6&lt;=$J46,N$6+6&gt;$H46,$J46&gt;$H46),3,IF(AND($I46&gt;0,N$6&lt;=$G46+($H46-$G46+1)*$I46-1,N$6+6&gt;=$G46),2,IF(AND(N$6&lt;=$H46,N$6+6&gt;=$G46),1,0))))</x:f>
      </x:c>
      <x:c r="O46" s="43" t="str">
        <x:f>IF($C46="","",IF(AND($I46&lt;1,O$6&lt;=$J46,O$6+6&gt;$H46,$J46&gt;$H46),3,IF(AND($I46&gt;0,O$6&lt;=$G46+($H46-$G46+1)*$I46-1,O$6+6&gt;=$G46),2,IF(AND(O$6&lt;=$H46,O$6+6&gt;=$G46),1,0))))</x:f>
      </x:c>
      <x:c r="P46" s="43" t="str">
        <x:f>IF($C46="","",IF(AND($I46&lt;1,P$6&lt;=$J46,P$6+6&gt;$H46,$J46&gt;$H46),3,IF(AND($I46&gt;0,P$6&lt;=$G46+($H46-$G46+1)*$I46-1,P$6+6&gt;=$G46),2,IF(AND(P$6&lt;=$H46,P$6+6&gt;=$G46),1,0))))</x:f>
      </x:c>
      <x:c r="Q46" s="43" t="str">
        <x:f>IF($C46="","",IF(AND($I46&lt;1,Q$6&lt;=$J46,Q$6+6&gt;$H46,$J46&gt;$H46),3,IF(AND($I46&gt;0,Q$6&lt;=$G46+($H46-$G46+1)*$I46-1,Q$6+6&gt;=$G46),2,IF(AND(Q$6&lt;=$H46,Q$6+6&gt;=$G46),1,0))))</x:f>
      </x:c>
      <x:c r="R46" s="43" t="str">
        <x:f>IF($C46="","",IF(AND($I46&lt;1,R$6&lt;=$J46,R$6+6&gt;$H46,$J46&gt;$H46),3,IF(AND($I46&gt;0,R$6&lt;=$G46+($H46-$G46+1)*$I46-1,R$6+6&gt;=$G46),2,IF(AND(R$6&lt;=$H46,R$6+6&gt;=$G46),1,0))))</x:f>
      </x:c>
      <x:c r="S46" s="43" t="str">
        <x:f>IF($C46="","",IF(AND($I46&lt;1,S$6&lt;=$J46,S$6+6&gt;$H46,$J46&gt;$H46),3,IF(AND($I46&gt;0,S$6&lt;=$G46+($H46-$G46+1)*$I46-1,S$6+6&gt;=$G46),2,IF(AND(S$6&lt;=$H46,S$6+6&gt;=$G46),1,0))))</x:f>
      </x:c>
      <x:c r="T46" s="43" t="str">
        <x:f>IF($C46="","",IF(AND($I46&lt;1,T$6&lt;=$J46,T$6+6&gt;$H46,$J46&gt;$H46),3,IF(AND($I46&gt;0,T$6&lt;=$G46+($H46-$G46+1)*$I46-1,T$6+6&gt;=$G46),2,IF(AND(T$6&lt;=$H46,T$6+6&gt;=$G46),1,0))))</x:f>
      </x:c>
      <x:c r="U46" s="43" t="str">
        <x:f>IF($C46="","",IF(AND($I46&lt;1,U$6&lt;=$J46,U$6+6&gt;$H46,$J46&gt;$H46),3,IF(AND($I46&gt;0,U$6&lt;=$G46+($H46-$G46+1)*$I46-1,U$6+6&gt;=$G46),2,IF(AND(U$6&lt;=$H46,U$6+6&gt;=$G46),1,0))))</x:f>
      </x:c>
      <x:c r="V46" s="43" t="str">
        <x:f>IF($C46="","",IF(AND($I46&lt;1,V$6&lt;=$J46,V$6+6&gt;$H46,$J46&gt;$H46),3,IF(AND($I46&gt;0,V$6&lt;=$G46+($H46-$G46+1)*$I46-1,V$6+6&gt;=$G46),2,IF(AND(V$6&lt;=$H46,V$6+6&gt;=$G46),1,0))))</x:f>
      </x:c>
      <x:c r="W46" s="43" t="str">
        <x:f>IF($C46="","",IF(AND($I46&lt;1,W$6&lt;=$J46,W$6+6&gt;$H46,$J46&gt;$H46),3,IF(AND($I46&gt;0,W$6&lt;=$G46+($H46-$G46+1)*$I46-1,W$6+6&gt;=$G46),2,IF(AND(W$6&lt;=$H46,W$6+6&gt;=$G46),1,0))))</x:f>
      </x:c>
      <x:c r="X46" s="43" t="str">
        <x:f>IF($C46="","",IF(AND($I46&lt;1,X$6&lt;=$J46,X$6+6&gt;$H46,$J46&gt;$H46),3,IF(AND($I46&gt;0,X$6&lt;=$G46+($H46-$G46+1)*$I46-1,X$6+6&gt;=$G46),2,IF(AND(X$6&lt;=$H46,X$6+6&gt;=$G46),1,0))))</x:f>
      </x:c>
      <x:c r="Y46" s="43" t="str">
        <x:f>IF($C46="","",IF(AND($I46&lt;1,Y$6&lt;=$J46,Y$6+6&gt;$H46,$J46&gt;$H46),3,IF(AND($I46&gt;0,Y$6&lt;=$G46+($H46-$G46+1)*$I46-1,Y$6+6&gt;=$G46),2,IF(AND(Y$6&lt;=$H46,Y$6+6&gt;=$G46),1,0))))</x:f>
      </x:c>
      <x:c r="Z46" s="43" t="str">
        <x:f>IF($C46="","",IF(AND($I46&lt;1,Z$6&lt;=$J46,Z$6+6&gt;$H46,$J46&gt;$H46),3,IF(AND($I46&gt;0,Z$6&lt;=$G46+($H46-$G46+1)*$I46-1,Z$6+6&gt;=$G46),2,IF(AND(Z$6&lt;=$H46,Z$6+6&gt;=$G46),1,0))))</x:f>
      </x:c>
      <x:c r="AA46" s="43" t="str">
        <x:f>IF($C46="","",IF(AND($I46&lt;1,AA$6&lt;=$J46,AA$6+6&gt;$H46,$J46&gt;$H46),3,IF(AND($I46&gt;0,AA$6&lt;=$G46+($H46-$G46+1)*$I46-1,AA$6+6&gt;=$G46),2,IF(AND(AA$6&lt;=$H46,AA$6+6&gt;=$G46),1,0))))</x:f>
      </x:c>
      <x:c r="AB46" s="43" t="str">
        <x:f>IF($C46="","",IF(AND($I46&lt;1,AB$6&lt;=$J46,AB$6+6&gt;$H46,$J46&gt;$H46),3,IF(AND($I46&gt;0,AB$6&lt;=$G46+($H46-$G46+1)*$I46-1,AB$6+6&gt;=$G46),2,IF(AND(AB$6&lt;=$H46,AB$6+6&gt;=$G46),1,0))))</x:f>
      </x:c>
      <x:c r="AC46" s="43" t="str">
        <x:f>IF($C46="","",IF(AND($I46&lt;1,AC$6&lt;=$J46,AC$6+6&gt;$H46,$J46&gt;$H46),3,IF(AND($I46&gt;0,AC$6&lt;=$G46+($H46-$G46+1)*$I46-1,AC$6+6&gt;=$G46),2,IF(AND(AC$6&lt;=$H46,AC$6+6&gt;=$G46),1,0))))</x:f>
      </x:c>
      <x:c r="AD46" s="43" t="str">
        <x:f>IF($C46="","",IF(AND($I46&lt;1,AD$6&lt;=$J46,AD$6+6&gt;$H46,$J46&gt;$H46),3,IF(AND($I46&gt;0,AD$6&lt;=$G46+($H46-$G46+1)*$I46-1,AD$6+6&gt;=$G46),2,IF(AND(AD$6&lt;=$H46,AD$6+6&gt;=$G46),1,0))))</x:f>
      </x:c>
      <x:c r="AE46" s="43" t="str">
        <x:f>IF($C46="","",IF(AND($I46&lt;1,AE$6&lt;=$J46,AE$6+6&gt;$H46,$J46&gt;$H46),3,IF(AND($I46&gt;0,AE$6&lt;=$G46+($H46-$G46+1)*$I46-1,AE$6+6&gt;=$G46),2,IF(AND(AE$6&lt;=$H46,AE$6+6&gt;=$G46),1,0))))</x:f>
      </x:c>
      <x:c r="AF46" s="43" t="str">
        <x:f>IF($C46="","",IF(AND($I46&lt;1,AF$6&lt;=$J46,AF$6+6&gt;$H46,$J46&gt;$H46),3,IF(AND($I46&gt;0,AF$6&lt;=$G46+($H46-$G46+1)*$I46-1,AF$6+6&gt;=$G46),2,IF(AND(AF$6&lt;=$H46,AF$6+6&gt;=$G46),1,0))))</x:f>
      </x:c>
      <x:c r="AG46" s="43" t="str">
        <x:f>IF($C46="","",IF(AND($I46&lt;1,AG$6&lt;=$J46,AG$6+6&gt;$H46,$J46&gt;$H46),3,IF(AND($I46&gt;0,AG$6&lt;=$G46+($H46-$G46+1)*$I46-1,AG$6+6&gt;=$G46),2,IF(AND(AG$6&lt;=$H46,AG$6+6&gt;=$G46),1,0))))</x:f>
      </x:c>
      <x:c r="AH46" s="43" t="str">
        <x:f>IF($C46="","",IF(AND($I46&lt;1,AH$6&lt;=$J46,AH$6+6&gt;$H46,$J46&gt;$H46),3,IF(AND($I46&gt;0,AH$6&lt;=$G46+($H46-$G46+1)*$I46-1,AH$6+6&gt;=$G46),2,IF(AND(AH$6&lt;=$H46,AH$6+6&gt;=$G46),1,0))))</x:f>
      </x:c>
      <x:c r="AI46" s="43" t="str">
        <x:f>IF($C46="","",IF(AND($I46&lt;1,AI$6&lt;=$J46,AI$6+6&gt;$H46,$J46&gt;$H46),3,IF(AND($I46&gt;0,AI$6&lt;=$G46+($H46-$G46+1)*$I46-1,AI$6+6&gt;=$G46),2,IF(AND(AI$6&lt;=$H46,AI$6+6&gt;=$G46),1,0))))</x:f>
      </x:c>
      <x:c r="AJ46" s="43" t="str">
        <x:f>IF($C46="","",IF(AND($I46&lt;1,AJ$6&lt;=$J46,AJ$6+6&gt;$H46,$J46&gt;$H46),3,IF(AND($I46&gt;0,AJ$6&lt;=$G46+($H46-$G46+1)*$I46-1,AJ$6+6&gt;=$G46),2,IF(AND(AJ$6&lt;=$H46,AJ$6+6&gt;=$G46),1,0))))</x:f>
      </x:c>
      <x:c r="AK46" s="43" t="str">
        <x:f>IF($C46="","",IF(AND($I46&lt;1,AK$6&lt;=$J46,AK$6+6&gt;$H46,$J46&gt;$H46),3,IF(AND($I46&gt;0,AK$6&lt;=$G46+($H46-$G46+1)*$I46-1,AK$6+6&gt;=$G46),2,IF(AND(AK$6&lt;=$H46,AK$6+6&gt;=$G46),1,0))))</x:f>
      </x:c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</x:row>
    <x:row r="48" ht="22" customHeight="1">
      <x:c r="A48" s="2"/>
      <x:c r="B48" s="2" t="str">
        <x:v>İlk 40 görev ve proje başlangıcından itibaren 26 hafta gösterilir. Kritik işaretleri yönetici tarafından girilir; otomatik kritik yol hesabı değildir.</x:v>
      </x:c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</x:row>
  </x:sheetData>
  <x:conditionalFormatting sqref="L7:AK46">
    <x:cfRule type="cellIs" dxfId="16" priority="1" operator="equal">
      <x:formula>1</x:formula>
    </x:cfRule>
    <x:cfRule type="cellIs" dxfId="17" priority="2" operator="equal">
      <x:formula>2</x:formula>
    </x:cfRule>
    <x:cfRule type="cellIs" dxfId="18" priority="3" operator="equal">
      <x:formula>3</x:formula>
    </x:cfRule>
  </x:conditionalFormatting>
  <x:conditionalFormatting sqref="L6:AK6">
    <x:cfRule type="expression" dxfId="19" priority="4">
      <x:formula>AND(L6&lt;='Panel'!$N$5,L6+6&gt;='Panel'!$N$5)</x:formula>
    </x:cfRule>
  </x:conditionalFormatting>
  <x:conditionalFormatting sqref="F7:F46">
    <x:cfRule type="expression" dxfId="20" priority="5">
      <x:formula>F7="Evet"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5" hidden="0" customWidth="1"/>
    <x:col min="2" max="2" width="31" hidden="0" customWidth="1"/>
    <x:col min="3" max="3" width="3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2" customHeight="1">
      <x:c r="A2" s="3" t="str">
        <x:v>Proje tanımları</x:v>
      </x:c>
      <x:c r="B2" s="2"/>
      <x:c r="C2" s="2"/>
      <x:c r="D2" s="2"/>
      <x:c r="E2" s="2"/>
      <x:c r="F2" s="2"/>
      <x:c r="G2" s="2"/>
      <x:c r="H2" s="2"/>
      <x:c r="I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34" customHeight="1">
      <x:c r="A6" s="12" t="str">
        <x:v>Proje ID</x:v>
      </x:c>
      <x:c r="B6" s="12" t="str">
        <x:v>Proje adı</x:v>
      </x:c>
      <x:c r="C6" s="12" t="str">
        <x:v>Proje yöneticisi</x:v>
      </x:c>
      <x:c r="D6" s="12" t="str">
        <x:v>Plan başlangıç</x:v>
      </x:c>
      <x:c r="E6" s="12" t="str">
        <x:v>Plan bitiş</x:v>
      </x:c>
      <x:c r="F6" s="12" t="str">
        <x:v>Onaylı bütçe (TL)</x:v>
      </x:c>
      <x:c r="G6" s="12" t="str">
        <x:v>Kalan efor (saat)</x:v>
      </x:c>
      <x:c r="H6" s="12" t="str">
        <x:v>Kalan efor TL/saat</x:v>
      </x:c>
      <x:c r="I6" s="12" t="str">
        <x:v>Kalan efor maliyeti (TL)</x:v>
      </x:c>
    </x:row>
    <x:row r="7" ht="22" customHeight="1">
      <x:c r="A7" s="6" t="str">
        <x:v>PRJ-001</x:v>
      </x:c>
      <x:c r="B7" s="6" t="str">
        <x:v>Üretim Hattı Modernizasyonu</x:v>
      </x:c>
      <x:c r="C7" s="6" t="str">
        <x:v>Ayşe Yılmaz</x:v>
      </x:c>
      <x:c r="D7" s="7" t="n">
        <x:v>46272</x:v>
      </x:c>
      <x:c r="E7" s="7" t="n">
        <x:v>46360</x:v>
      </x:c>
      <x:c r="F7" s="13" t="n">
        <x:v>2200000</x:v>
      </x:c>
      <x:c r="G7" s="6" t="n">
        <x:v>620</x:v>
      </x:c>
      <x:c r="H7" s="13" t="n">
        <x:v>850</x:v>
      </x:c>
      <x:c r="I7" s="14" t="n">
        <x:f>IF(A7="","",IF(OR(NOT(ISNUMBER(G7)),NOT(ISNUMBER(H7))),"Eksik tahmin",G7*H7))</x:f>
        <x:v>527000</x:v>
      </x:c>
    </x:row>
    <x:row r="8" ht="22" customHeight="1">
      <x:c r="A8" s="6" t="str">
        <x:v>PRJ-002</x:v>
      </x:c>
      <x:c r="B8" s="6" t="str">
        <x:v>Müşteri Portalı</x:v>
      </x:c>
      <x:c r="C8" s="6" t="str">
        <x:v>Mehmet Demir</x:v>
      </x:c>
      <x:c r="D8" s="7" t="n">
        <x:v>46279</x:v>
      </x:c>
      <x:c r="E8" s="7" t="n">
        <x:v>46353</x:v>
      </x:c>
      <x:c r="F8" s="13" t="n">
        <x:v>950000</x:v>
      </x:c>
      <x:c r="G8" s="6" t="n">
        <x:v>440</x:v>
      </x:c>
      <x:c r="H8" s="13" t="n">
        <x:v>900</x:v>
      </x:c>
      <x:c r="I8" s="14" t="n">
        <x:f>IF(A8="","",IF(OR(NOT(ISNUMBER(G8)),NOT(ISNUMBER(H8))),"Eksik tahmin",G8*H8))</x:f>
        <x:v>396000</x:v>
      </x:c>
    </x:row>
    <x:row r="9" ht="22" customHeight="1">
      <x:c r="A9" s="6" t="str">
        <x:v>PRJ-003</x:v>
      </x:c>
      <x:c r="B9" s="6" t="str">
        <x:v>Depo Otomasyonu</x:v>
      </x:c>
      <x:c r="C9" s="6" t="str">
        <x:v>Selin Kaya</x:v>
      </x:c>
      <x:c r="D9" s="7" t="n">
        <x:v>46266</x:v>
      </x:c>
      <x:c r="E9" s="7" t="n">
        <x:v>46346</x:v>
      </x:c>
      <x:c r="F9" s="13" t="n">
        <x:v>1450000</x:v>
      </x:c>
      <x:c r="G9" s="6" t="n">
        <x:v>360</x:v>
      </x:c>
      <x:c r="H9" s="13" t="n">
        <x:v>800</x:v>
      </x:c>
      <x:c r="I9" s="14" t="n">
        <x:f>IF(A9="","",IF(OR(NOT(ISNUMBER(G9)),NOT(ISNUMBER(H9))),"Eksik tahmin",G9*H9))</x:f>
        <x:v>288000</x:v>
      </x:c>
    </x:row>
    <x:row r="10" ht="22" customHeight="1">
      <x:c r="A10" s="6"/>
      <x:c r="B10" s="6"/>
      <x:c r="C10" s="6"/>
      <x:c r="D10" s="7"/>
      <x:c r="E10" s="7"/>
      <x:c r="F10" s="13"/>
      <x:c r="G10" s="6"/>
      <x:c r="H10" s="13"/>
      <x:c r="I10" s="14" t="str">
        <x:f>IF(A10="","",IF(OR(NOT(ISNUMBER(G10)),NOT(ISNUMBER(H10))),"Eksik tahmin",G10*H10))</x:f>
      </x:c>
    </x:row>
    <x:row r="11" ht="22" customHeight="1">
      <x:c r="A11" s="6"/>
      <x:c r="B11" s="6"/>
      <x:c r="C11" s="6"/>
      <x:c r="D11" s="7"/>
      <x:c r="E11" s="7"/>
      <x:c r="F11" s="13"/>
      <x:c r="G11" s="6"/>
      <x:c r="H11" s="13"/>
      <x:c r="I11" s="14" t="str">
        <x:f>IF(A11="","",IF(OR(NOT(ISNUMBER(G11)),NOT(ISNUMBER(H11))),"Eksik tahmin",G11*H11))</x:f>
      </x:c>
    </x:row>
    <x:row r="12" ht="22" customHeight="1">
      <x:c r="A12" s="6"/>
      <x:c r="B12" s="6"/>
      <x:c r="C12" s="6"/>
      <x:c r="D12" s="7"/>
      <x:c r="E12" s="7"/>
      <x:c r="F12" s="13"/>
      <x:c r="G12" s="6"/>
      <x:c r="H12" s="13"/>
      <x:c r="I12" s="14" t="str">
        <x:f>IF(A12="","",IF(OR(NOT(ISNUMBER(G12)),NOT(ISNUMBER(H12))),"Eksik tahmin",G12*H12))</x:f>
      </x:c>
    </x:row>
    <x:row r="13" ht="22" customHeight="1">
      <x:c r="A13" s="6"/>
      <x:c r="B13" s="6"/>
      <x:c r="C13" s="6"/>
      <x:c r="D13" s="7"/>
      <x:c r="E13" s="7"/>
      <x:c r="F13" s="13"/>
      <x:c r="G13" s="6"/>
      <x:c r="H13" s="13"/>
      <x:c r="I13" s="14" t="str">
        <x:f>IF(A13="","",IF(OR(NOT(ISNUMBER(G13)),NOT(ISNUMBER(H13))),"Eksik tahmin",G13*H13))</x:f>
      </x:c>
    </x:row>
    <x:row r="14" ht="22" customHeight="1">
      <x:c r="A14" s="6"/>
      <x:c r="B14" s="6"/>
      <x:c r="C14" s="6"/>
      <x:c r="D14" s="7"/>
      <x:c r="E14" s="7"/>
      <x:c r="F14" s="13"/>
      <x:c r="G14" s="6"/>
      <x:c r="H14" s="13"/>
      <x:c r="I14" s="14" t="str">
        <x:f>IF(A14="","",IF(OR(NOT(ISNUMBER(G14)),NOT(ISNUMBER(H14))),"Eksik tahmin",G14*H14))</x:f>
      </x:c>
    </x:row>
    <x:row r="15" ht="22" customHeight="1">
      <x:c r="A15" s="6"/>
      <x:c r="B15" s="6"/>
      <x:c r="C15" s="6"/>
      <x:c r="D15" s="7"/>
      <x:c r="E15" s="7"/>
      <x:c r="F15" s="13"/>
      <x:c r="G15" s="6"/>
      <x:c r="H15" s="13"/>
      <x:c r="I15" s="14" t="str">
        <x:f>IF(A15="","",IF(OR(NOT(ISNUMBER(G15)),NOT(ISNUMBER(H15))),"Eksik tahmin",G15*H15))</x:f>
      </x:c>
    </x:row>
    <x:row r="16" ht="22" customHeight="1">
      <x:c r="A16" s="6"/>
      <x:c r="B16" s="6"/>
      <x:c r="C16" s="6"/>
      <x:c r="D16" s="7"/>
      <x:c r="E16" s="7"/>
      <x:c r="F16" s="13"/>
      <x:c r="G16" s="6"/>
      <x:c r="H16" s="13"/>
      <x:c r="I16" s="14" t="str">
        <x:f>IF(A16="","",IF(OR(NOT(ISNUMBER(G16)),NOT(ISNUMBER(H16))),"Eksik tahmin",G16*H16))</x:f>
      </x:c>
    </x:row>
    <x:row r="17" ht="22" customHeight="1">
      <x:c r="A17" s="6"/>
      <x:c r="B17" s="6"/>
      <x:c r="C17" s="6"/>
      <x:c r="D17" s="7"/>
      <x:c r="E17" s="7"/>
      <x:c r="F17" s="13"/>
      <x:c r="G17" s="6"/>
      <x:c r="H17" s="13"/>
      <x:c r="I17" s="14" t="str">
        <x:f>IF(A17="","",IF(OR(NOT(ISNUMBER(G17)),NOT(ISNUMBER(H17))),"Eksik tahmin",G17*H17))</x:f>
      </x:c>
    </x:row>
    <x:row r="18" ht="22" customHeight="1">
      <x:c r="A18" s="6"/>
      <x:c r="B18" s="6"/>
      <x:c r="C18" s="6"/>
      <x:c r="D18" s="7"/>
      <x:c r="E18" s="7"/>
      <x:c r="F18" s="13"/>
      <x:c r="G18" s="6"/>
      <x:c r="H18" s="13"/>
      <x:c r="I18" s="14" t="str">
        <x:f>IF(A18="","",IF(OR(NOT(ISNUMBER(G18)),NOT(ISNUMBER(H18))),"Eksik tahmin",G18*H18))</x:f>
      </x:c>
    </x:row>
    <x:row r="19" ht="22" customHeight="1">
      <x:c r="A19" s="6"/>
      <x:c r="B19" s="6"/>
      <x:c r="C19" s="6"/>
      <x:c r="D19" s="7"/>
      <x:c r="E19" s="7"/>
      <x:c r="F19" s="13"/>
      <x:c r="G19" s="6"/>
      <x:c r="H19" s="13"/>
      <x:c r="I19" s="14" t="str">
        <x:f>IF(A19="","",IF(OR(NOT(ISNUMBER(G19)),NOT(ISNUMBER(H19))),"Eksik tahmin",G19*H19))</x:f>
      </x:c>
    </x:row>
    <x:row r="20" ht="22" customHeight="1">
      <x:c r="A20" s="6"/>
      <x:c r="B20" s="6"/>
      <x:c r="C20" s="6"/>
      <x:c r="D20" s="7"/>
      <x:c r="E20" s="7"/>
      <x:c r="F20" s="13"/>
      <x:c r="G20" s="6"/>
      <x:c r="H20" s="13"/>
      <x:c r="I20" s="14" t="str">
        <x:f>IF(A20="","",IF(OR(NOT(ISNUMBER(G20)),NOT(ISNUMBER(H20))),"Eksik tahmin",G20*H20))</x:f>
      </x:c>
    </x:row>
    <x:row r="21" ht="22" customHeight="1">
      <x:c r="A21" s="6"/>
      <x:c r="B21" s="6"/>
      <x:c r="C21" s="6"/>
      <x:c r="D21" s="7"/>
      <x:c r="E21" s="7"/>
      <x:c r="F21" s="13"/>
      <x:c r="G21" s="6"/>
      <x:c r="H21" s="13"/>
      <x:c r="I21" s="14" t="str">
        <x:f>IF(A21="","",IF(OR(NOT(ISNUMBER(G21)),NOT(ISNUMBER(H21))),"Eksik tahmin",G21*H21))</x:f>
      </x:c>
    </x:row>
    <x:row r="22" ht="22" customHeight="1">
      <x:c r="A22" s="6"/>
      <x:c r="B22" s="6"/>
      <x:c r="C22" s="6"/>
      <x:c r="D22" s="7"/>
      <x:c r="E22" s="7"/>
      <x:c r="F22" s="13"/>
      <x:c r="G22" s="6"/>
      <x:c r="H22" s="13"/>
      <x:c r="I22" s="14" t="str">
        <x:f>IF(A22="","",IF(OR(NOT(ISNUMBER(G22)),NOT(ISNUMBER(H22))),"Eksik tahmin",G22*H22))</x:f>
      </x:c>
    </x:row>
    <x:row r="23" ht="22" customHeight="1">
      <x:c r="A23" s="6"/>
      <x:c r="B23" s="6"/>
      <x:c r="C23" s="6"/>
      <x:c r="D23" s="7"/>
      <x:c r="E23" s="7"/>
      <x:c r="F23" s="13"/>
      <x:c r="G23" s="6"/>
      <x:c r="H23" s="13"/>
      <x:c r="I23" s="14" t="str">
        <x:f>IF(A23="","",IF(OR(NOT(ISNUMBER(G23)),NOT(ISNUMBER(H23))),"Eksik tahmin",G23*H23))</x:f>
      </x:c>
    </x:row>
    <x:row r="24" ht="22" customHeight="1">
      <x:c r="A24" s="6"/>
      <x:c r="B24" s="6"/>
      <x:c r="C24" s="6"/>
      <x:c r="D24" s="7"/>
      <x:c r="E24" s="7"/>
      <x:c r="F24" s="13"/>
      <x:c r="G24" s="6"/>
      <x:c r="H24" s="13"/>
      <x:c r="I24" s="14" t="str">
        <x:f>IF(A24="","",IF(OR(NOT(ISNUMBER(G24)),NOT(ISNUMBER(H24))),"Eksik tahmin",G24*H24))</x:f>
      </x:c>
    </x:row>
    <x:row r="25" ht="22" customHeight="1">
      <x:c r="A25" s="6"/>
      <x:c r="B25" s="6"/>
      <x:c r="C25" s="6"/>
      <x:c r="D25" s="7"/>
      <x:c r="E25" s="7"/>
      <x:c r="F25" s="13"/>
      <x:c r="G25" s="6"/>
      <x:c r="H25" s="13"/>
      <x:c r="I25" s="14" t="str">
        <x:f>IF(A25="","",IF(OR(NOT(ISNUMBER(G25)),NOT(ISNUMBER(H25))),"Eksik tahmin",G25*H25))</x:f>
      </x:c>
    </x:row>
    <x:row r="26" ht="22" customHeight="1">
      <x:c r="A26" s="6"/>
      <x:c r="B26" s="6"/>
      <x:c r="C26" s="6"/>
      <x:c r="D26" s="7"/>
      <x:c r="E26" s="7"/>
      <x:c r="F26" s="13"/>
      <x:c r="G26" s="6"/>
      <x:c r="H26" s="13"/>
      <x:c r="I26" s="14" t="str">
        <x:f>IF(A26="","",IF(OR(NOT(ISNUMBER(G26)),NOT(ISNUMBER(H26))),"Eksik tahmin",G26*H26))</x:f>
      </x:c>
    </x:row>
  </x:sheetData>
  <x:conditionalFormatting sqref="A7:A26">
    <x:cfRule type="expression" dxfId="0" priority="1">
      <x:formula>AND(A7&lt;&gt;"",COUNTIFS($A$7:$A$26,A7)&gt;1)</x:formula>
    </x:cfRule>
  </x:conditionalFormatting>
  <x:conditionalFormatting sqref="E7:E26">
    <x:cfRule type="expression" dxfId="1" priority="2">
      <x:formula>AND(A7&lt;&gt;"",OR(D7="",E7&lt;D7))</x:formula>
    </x:cfRule>
  </x:conditionalFormatting>
  <x:dataValidations count="1">
    <x:dataValidation type="decimal" operator="between" sqref="F7:H26">
      <x:formula1>0</x:formula1>
      <x:formula2>10000000000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2848088c20d452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32" hidden="0" customWidth="1"/>
    <x:col min="4" max="4" width="23" hidden="0" customWidth="1"/>
    <x:col min="5" max="5" width="23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36" hidden="0" customWidth="1"/>
    <x:col min="19" max="19" width="18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İş paketleri ve ilerleme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12" t="str">
        <x:v>Görev ID</x:v>
      </x:c>
      <x:c r="B6" s="12" t="str">
        <x:v>Proje ID</x:v>
      </x:c>
      <x:c r="C6" s="12" t="str">
        <x:v>İş paketi / görev</x:v>
      </x:c>
      <x:c r="D6" s="12" t="str">
        <x:v>Sorumlu</x:v>
      </x:c>
      <x:c r="E6" s="12" t="str">
        <x:v>Birim</x:v>
      </x:c>
      <x:c r="F6" s="12" t="str">
        <x:v>Plan başlangıç</x:v>
      </x:c>
      <x:c r="G6" s="12" t="str">
        <x:v>Plan bitiş</x:v>
      </x:c>
      <x:c r="H6" s="12" t="str">
        <x:v>Ağırlık</x:v>
      </x:c>
      <x:c r="I6" s="12" t="str">
        <x:v>Güncel tamamlanma %</x:v>
      </x:c>
      <x:c r="J6" s="12" t="str">
        <x:v>Tahmini / gerçek bitiş</x:v>
      </x:c>
      <x:c r="K6" s="12" t="str">
        <x:v>Kritik mi?</x:v>
      </x:c>
      <x:c r="L6" s="12" t="str">
        <x:v>Öncül görev ID</x:v>
      </x:c>
      <x:c r="M6" s="12" t="str">
        <x:v>Durum</x:v>
      </x:c>
      <x:c r="N6" s="12" t="str">
        <x:v>Planlanan %</x:v>
      </x:c>
      <x:c r="O6" s="12" t="str">
        <x:v>Ağırlıklı gerçek</x:v>
      </x:c>
      <x:c r="P6" s="12" t="str">
        <x:v>Ağırlıklı plan</x:v>
      </x:c>
      <x:c r="Q6" s="12" t="str">
        <x:v>Bitiş sapması (gün)</x:v>
      </x:c>
      <x:c r="R6" s="12" t="str">
        <x:v>Engel / açıklama</x:v>
      </x:c>
      <x:c r="S6" s="12" t="str">
        <x:v>Panel sıra</x:v>
      </x:c>
    </x:row>
    <x:row r="7" ht="22" customHeight="1">
      <x:c r="A7" s="6" t="str">
        <x:v>G1-01</x:v>
      </x:c>
      <x:c r="B7" s="6" t="str">
        <x:v>PRJ-001</x:v>
      </x:c>
      <x:c r="C7" s="6" t="str">
        <x:v>Kapsam ve keşif</x:v>
      </x:c>
      <x:c r="D7" s="6" t="str">
        <x:v>Ayşe Yılmaz</x:v>
      </x:c>
      <x:c r="E7" s="6" t="str">
        <x:v>Mühendislik</x:v>
      </x:c>
      <x:c r="F7" s="7" t="n">
        <x:v>46272</x:v>
      </x:c>
      <x:c r="G7" s="7" t="n">
        <x:v>46276</x:v>
      </x:c>
      <x:c r="H7" s="6" t="n">
        <x:v>10</x:v>
      </x:c>
      <x:c r="I7" s="15" t="n">
        <x:v>1</x:v>
      </x:c>
      <x:c r="J7" s="7" t="n">
        <x:v>46276</x:v>
      </x:c>
      <x:c r="K7" s="6" t="str">
        <x:v>Hayır</x:v>
      </x:c>
      <x:c r="L7" s="6" t="str"/>
      <x:c r="M7" s="2" t="str">
        <x:f>IF(A7="","",IF(NOT(ISNUMBER(I7)),"Eksik ilerleme",IF(I7=1,"Tamamlandı",IF(G7&lt;'Panel'!$N$5,"Gecikmiş",IF(I7&gt;0,"Devam ediyor","Başlamadı")))))</x:f>
        <x:v>Tamamlandı</x:v>
      </x:c>
      <x:c r="N7" s="16" t="n">
        <x:f>IF(A7="","",IF(OR(F7="",G7="",G7&lt;F7),"Eksik tarih",MAX(0,MIN(1,('Panel'!$N$5-F7+1)/(G7-F7+1)))))</x:f>
        <x:v>1</x:v>
      </x:c>
      <x:c r="O7" s="2" t="n">
        <x:f>IF(A7="","",IF(OR(NOT(ISNUMBER(H7)),NOT(ISNUMBER(I7))),"Eksik ilerleme",H7*I7))</x:f>
        <x:v>10</x:v>
      </x:c>
      <x:c r="P7" s="2" t="n">
        <x:f>IF(A7="","",IF(OR(H7="",NOT(ISNUMBER(N7))),"Eksik plan",H7*N7))</x:f>
        <x:v>10</x:v>
      </x:c>
      <x:c r="Q7" s="2" t="n">
        <x:f>IF(A7="","",IF(J7="","Eksik bitiş",J7-G7))</x:f>
        <x:v>0</x:v>
      </x:c>
      <x:c r="R7" s="6"/>
      <x:c r="S7" s="2" t="n">
        <x:f>IF(AND(A7&lt;&gt;"",B7='Panel'!$C$5),COUNTIFS($B$7:B7,B7,$A$7:A7,"&lt;&gt;"),"")</x:f>
        <x:v>1</x:v>
      </x:c>
    </x:row>
    <x:row r="8" ht="22" customHeight="1">
      <x:c r="A8" s="6" t="str">
        <x:v>G1-02</x:v>
      </x:c>
      <x:c r="B8" s="6" t="str">
        <x:v>PRJ-001</x:v>
      </x:c>
      <x:c r="C8" s="6" t="str">
        <x:v>Detay tasarım</x:v>
      </x:c>
      <x:c r="D8" s="6" t="str">
        <x:v>Ayşe Yılmaz</x:v>
      </x:c>
      <x:c r="E8" s="6" t="str">
        <x:v>Mühendislik</x:v>
      </x:c>
      <x:c r="F8" s="7" t="n">
        <x:v>46279</x:v>
      </x:c>
      <x:c r="G8" s="7" t="n">
        <x:v>46297</x:v>
      </x:c>
      <x:c r="H8" s="6" t="n">
        <x:v>20</x:v>
      </x:c>
      <x:c r="I8" s="15" t="n">
        <x:v>1</x:v>
      </x:c>
      <x:c r="J8" s="7" t="n">
        <x:v>46297</x:v>
      </x:c>
      <x:c r="K8" s="6" t="str">
        <x:v>Evet</x:v>
      </x:c>
      <x:c r="L8" s="6" t="str">
        <x:v>G1-01</x:v>
      </x:c>
      <x:c r="M8" s="2" t="str">
        <x:f>IF(A8="","",IF(NOT(ISNUMBER(I8)),"Eksik ilerleme",IF(I8=1,"Tamamlandı",IF(G8&lt;'Panel'!$N$5,"Gecikmiş",IF(I8&gt;0,"Devam ediyor","Başlamadı")))))</x:f>
        <x:v>Tamamlandı</x:v>
      </x:c>
      <x:c r="N8" s="16" t="n">
        <x:f>IF(A8="","",IF(OR(F8="",G8="",G8&lt;F8),"Eksik tarih",MAX(0,MIN(1,('Panel'!$N$5-F8+1)/(G8-F8+1)))))</x:f>
        <x:v>1</x:v>
      </x:c>
      <x:c r="O8" s="2" t="n">
        <x:f>IF(A8="","",IF(OR(NOT(ISNUMBER(H8)),NOT(ISNUMBER(I8))),"Eksik ilerleme",H8*I8))</x:f>
        <x:v>20</x:v>
      </x:c>
      <x:c r="P8" s="2" t="n">
        <x:f>IF(A8="","",IF(OR(H8="",NOT(ISNUMBER(N8))),"Eksik plan",H8*N8))</x:f>
        <x:v>20</x:v>
      </x:c>
      <x:c r="Q8" s="2" t="n">
        <x:f>IF(A8="","",IF(J8="","Eksik bitiş",J8-G8))</x:f>
        <x:v>0</x:v>
      </x:c>
      <x:c r="R8" s="6"/>
      <x:c r="S8" s="2" t="n">
        <x:f>IF(AND(A8&lt;&gt;"",B8='Panel'!$C$5),COUNTIFS($B$7:B8,B8,$A$7:A8,"&lt;&gt;"),"")</x:f>
        <x:v>2</x:v>
      </x:c>
    </x:row>
    <x:row r="9" ht="22" customHeight="1">
      <x:c r="A9" s="6" t="str">
        <x:v>G1-03</x:v>
      </x:c>
      <x:c r="B9" s="6" t="str">
        <x:v>PRJ-001</x:v>
      </x:c>
      <x:c r="C9" s="6" t="str">
        <x:v>Ekipman tedariki</x:v>
      </x:c>
      <x:c r="D9" s="6" t="str">
        <x:v>Ayşe Yılmaz</x:v>
      </x:c>
      <x:c r="E9" s="6" t="str">
        <x:v>Satın Alma</x:v>
      </x:c>
      <x:c r="F9" s="7" t="n">
        <x:v>46286</x:v>
      </x:c>
      <x:c r="G9" s="7" t="n">
        <x:v>46318</x:v>
      </x:c>
      <x:c r="H9" s="6" t="n">
        <x:v>25</x:v>
      </x:c>
      <x:c r="I9" s="15" t="n">
        <x:v>0.55</x:v>
      </x:c>
      <x:c r="J9" s="7" t="n">
        <x:v>46325</x:v>
      </x:c>
      <x:c r="K9" s="6" t="str">
        <x:v>Evet</x:v>
      </x:c>
      <x:c r="L9" s="6" t="str">
        <x:v>G1-02</x:v>
      </x:c>
      <x:c r="M9" s="2" t="str">
        <x:f>IF(A9="","",IF(NOT(ISNUMBER(I9)),"Eksik ilerleme",IF(I9=1,"Tamamlandı",IF(G9&lt;'Panel'!$N$5,"Gecikmiş",IF(I9&gt;0,"Devam ediyor","Başlamadı")))))</x:f>
        <x:v>Devam ediyor</x:v>
      </x:c>
      <x:c r="N9" s="16" t="n">
        <x:f>IF(A9="","",IF(OR(F9="",G9="",G9&lt;F9),"Eksik tarih",MAX(0,MIN(1,('Panel'!$N$5-F9+1)/(G9-F9+1)))))</x:f>
        <x:v>0.7575757575757576</x:v>
      </x:c>
      <x:c r="O9" s="2" t="n">
        <x:f>IF(A9="","",IF(OR(NOT(ISNUMBER(H9)),NOT(ISNUMBER(I9))),"Eksik ilerleme",H9*I9))</x:f>
        <x:v>13.750000000000002</x:v>
      </x:c>
      <x:c r="P9" s="2" t="n">
        <x:f>IF(A9="","",IF(OR(H9="",NOT(ISNUMBER(N9))),"Eksik plan",H9*N9))</x:f>
        <x:v>18.939393939393938</x:v>
      </x:c>
      <x:c r="Q9" s="2" t="n">
        <x:f>IF(A9="","",IF(J9="","Eksik bitiş",J9-G9))</x:f>
        <x:v>7</x:v>
      </x:c>
      <x:c r="R9" s="6"/>
      <x:c r="S9" s="2" t="n">
        <x:f>IF(AND(A9&lt;&gt;"",B9='Panel'!$C$5),COUNTIFS($B$7:B9,B9,$A$7:A9,"&lt;&gt;"),"")</x:f>
        <x:v>3</x:v>
      </x:c>
    </x:row>
    <x:row r="10" ht="22" customHeight="1">
      <x:c r="A10" s="6" t="str">
        <x:v>G1-04</x:v>
      </x:c>
      <x:c r="B10" s="6" t="str">
        <x:v>PRJ-001</x:v>
      </x:c>
      <x:c r="C10" s="6" t="str">
        <x:v>Saha hazırlığı</x:v>
      </x:c>
      <x:c r="D10" s="6" t="str">
        <x:v>Ayşe Yılmaz</x:v>
      </x:c>
      <x:c r="E10" s="6" t="str">
        <x:v>Üretim</x:v>
      </x:c>
      <x:c r="F10" s="7" t="n">
        <x:v>46300</x:v>
      </x:c>
      <x:c r="G10" s="7" t="n">
        <x:v>46318</x:v>
      </x:c>
      <x:c r="H10" s="6" t="n">
        <x:v>15</x:v>
      </x:c>
      <x:c r="I10" s="15" t="n">
        <x:v>0.45</x:v>
      </x:c>
      <x:c r="J10" s="7" t="n">
        <x:v>46318</x:v>
      </x:c>
      <x:c r="K10" s="6" t="str">
        <x:v>Hayır</x:v>
      </x:c>
      <x:c r="L10" s="6" t="str">
        <x:v>G1-03</x:v>
      </x:c>
      <x:c r="M10" s="2" t="str">
        <x:f>IF(A10="","",IF(NOT(ISNUMBER(I10)),"Eksik ilerleme",IF(I10=1,"Tamamlandı",IF(G10&lt;'Panel'!$N$5,"Gecikmiş",IF(I10&gt;0,"Devam ediyor","Başlamadı")))))</x:f>
        <x:v>Devam ediyor</x:v>
      </x:c>
      <x:c r="N10" s="16" t="n">
        <x:f>IF(A10="","",IF(OR(F10="",G10="",G10&lt;F10),"Eksik tarih",MAX(0,MIN(1,('Panel'!$N$5-F10+1)/(G10-F10+1)))))</x:f>
        <x:v>0.5789473684210527</x:v>
      </x:c>
      <x:c r="O10" s="2" t="n">
        <x:f>IF(A10="","",IF(OR(NOT(ISNUMBER(H10)),NOT(ISNUMBER(I10))),"Eksik ilerleme",H10*I10))</x:f>
        <x:v>6.75</x:v>
      </x:c>
      <x:c r="P10" s="2" t="n">
        <x:f>IF(A10="","",IF(OR(H10="",NOT(ISNUMBER(N10))),"Eksik plan",H10*N10))</x:f>
        <x:v>8.68421052631579</x:v>
      </x:c>
      <x:c r="Q10" s="2" t="n">
        <x:f>IF(A10="","",IF(J10="","Eksik bitiş",J10-G10))</x:f>
        <x:v>0</x:v>
      </x:c>
      <x:c r="R10" s="6"/>
      <x:c r="S10" s="2" t="n">
        <x:f>IF(AND(A10&lt;&gt;"",B10='Panel'!$C$5),COUNTIFS($B$7:B10,B10,$A$7:A10,"&lt;&gt;"),"")</x:f>
        <x:v>4</x:v>
      </x:c>
    </x:row>
    <x:row r="11" ht="22" customHeight="1">
      <x:c r="A11" s="6" t="str">
        <x:v>G1-05</x:v>
      </x:c>
      <x:c r="B11" s="6" t="str">
        <x:v>PRJ-001</x:v>
      </x:c>
      <x:c r="C11" s="6" t="str">
        <x:v>Montaj ve entegrasyon</x:v>
      </x:c>
      <x:c r="D11" s="6" t="str">
        <x:v>Ayşe Yılmaz</x:v>
      </x:c>
      <x:c r="E11" s="6" t="str">
        <x:v>Mühendislik</x:v>
      </x:c>
      <x:c r="F11" s="7" t="n">
        <x:v>46321</x:v>
      </x:c>
      <x:c r="G11" s="7" t="n">
        <x:v>46339</x:v>
      </x:c>
      <x:c r="H11" s="6" t="n">
        <x:v>15</x:v>
      </x:c>
      <x:c r="I11" s="15" t="n">
        <x:v>0</x:v>
      </x:c>
      <x:c r="J11" s="7" t="n">
        <x:v>46346</x:v>
      </x:c>
      <x:c r="K11" s="6" t="str">
        <x:v>Evet</x:v>
      </x:c>
      <x:c r="L11" s="6" t="str">
        <x:v>G1-04</x:v>
      </x:c>
      <x:c r="M11" s="2" t="str">
        <x:f>IF(A11="","",IF(NOT(ISNUMBER(I11)),"Eksik ilerleme",IF(I11=1,"Tamamlandı",IF(G11&lt;'Panel'!$N$5,"Gecikmiş",IF(I11&gt;0,"Devam ediyor","Başlamadı")))))</x:f>
        <x:v>Başlamadı</x:v>
      </x:c>
      <x:c r="N11" s="16" t="n">
        <x:f>IF(A11="","",IF(OR(F11="",G11="",G11&lt;F11),"Eksik tarih",MAX(0,MIN(1,('Panel'!$N$5-F11+1)/(G11-F11+1)))))</x:f>
        <x:v>0</x:v>
      </x:c>
      <x:c r="O11" s="2" t="n">
        <x:f>IF(A11="","",IF(OR(NOT(ISNUMBER(H11)),NOT(ISNUMBER(I11))),"Eksik ilerleme",H11*I11))</x:f>
        <x:v>0</x:v>
      </x:c>
      <x:c r="P11" s="2" t="n">
        <x:f>IF(A11="","",IF(OR(H11="",NOT(ISNUMBER(N11))),"Eksik plan",H11*N11))</x:f>
        <x:v>0</x:v>
      </x:c>
      <x:c r="Q11" s="2" t="n">
        <x:f>IF(A11="","",IF(J11="","Eksik bitiş",J11-G11))</x:f>
        <x:v>7</x:v>
      </x:c>
      <x:c r="R11" s="6"/>
      <x:c r="S11" s="2" t="n">
        <x:f>IF(AND(A11&lt;&gt;"",B11='Panel'!$C$5),COUNTIFS($B$7:B11,B11,$A$7:A11,"&lt;&gt;"),"")</x:f>
        <x:v>5</x:v>
      </x:c>
    </x:row>
    <x:row r="12" ht="22" customHeight="1">
      <x:c r="A12" s="6" t="str">
        <x:v>G1-06</x:v>
      </x:c>
      <x:c r="B12" s="6" t="str">
        <x:v>PRJ-001</x:v>
      </x:c>
      <x:c r="C12" s="6" t="str">
        <x:v>Test ve devreye alma</x:v>
      </x:c>
      <x:c r="D12" s="6" t="str">
        <x:v>Ayşe Yılmaz</x:v>
      </x:c>
      <x:c r="E12" s="6" t="str">
        <x:v>Kalite</x:v>
      </x:c>
      <x:c r="F12" s="7" t="n">
        <x:v>46342</x:v>
      </x:c>
      <x:c r="G12" s="7" t="n">
        <x:v>46353</x:v>
      </x:c>
      <x:c r="H12" s="6" t="n">
        <x:v>10</x:v>
      </x:c>
      <x:c r="I12" s="15" t="n">
        <x:v>0</x:v>
      </x:c>
      <x:c r="J12" s="7" t="n">
        <x:v>46360</x:v>
      </x:c>
      <x:c r="K12" s="6" t="str">
        <x:v>Evet</x:v>
      </x:c>
      <x:c r="L12" s="6" t="str">
        <x:v>G1-05</x:v>
      </x:c>
      <x:c r="M12" s="2" t="str">
        <x:f>IF(A12="","",IF(NOT(ISNUMBER(I12)),"Eksik ilerleme",IF(I12=1,"Tamamlandı",IF(G12&lt;'Panel'!$N$5,"Gecikmiş",IF(I12&gt;0,"Devam ediyor","Başlamadı")))))</x:f>
        <x:v>Başlamadı</x:v>
      </x:c>
      <x:c r="N12" s="16" t="n">
        <x:f>IF(A12="","",IF(OR(F12="",G12="",G12&lt;F12),"Eksik tarih",MAX(0,MIN(1,('Panel'!$N$5-F12+1)/(G12-F12+1)))))</x:f>
        <x:v>0</x:v>
      </x:c>
      <x:c r="O12" s="2" t="n">
        <x:f>IF(A12="","",IF(OR(NOT(ISNUMBER(H12)),NOT(ISNUMBER(I12))),"Eksik ilerleme",H12*I12))</x:f>
        <x:v>0</x:v>
      </x:c>
      <x:c r="P12" s="2" t="n">
        <x:f>IF(A12="","",IF(OR(H12="",NOT(ISNUMBER(N12))),"Eksik plan",H12*N12))</x:f>
        <x:v>0</x:v>
      </x:c>
      <x:c r="Q12" s="2" t="n">
        <x:f>IF(A12="","",IF(J12="","Eksik bitiş",J12-G12))</x:f>
        <x:v>7</x:v>
      </x:c>
      <x:c r="R12" s="6"/>
      <x:c r="S12" s="2" t="n">
        <x:f>IF(AND(A12&lt;&gt;"",B12='Panel'!$C$5),COUNTIFS($B$7:B12,B12,$A$7:A12,"&lt;&gt;"),"")</x:f>
        <x:v>6</x:v>
      </x:c>
    </x:row>
    <x:row r="13" ht="22" customHeight="1">
      <x:c r="A13" s="6" t="str">
        <x:v>G1-07</x:v>
      </x:c>
      <x:c r="B13" s="6" t="str">
        <x:v>PRJ-001</x:v>
      </x:c>
      <x:c r="C13" s="6" t="str">
        <x:v>Kabul ve teslim</x:v>
      </x:c>
      <x:c r="D13" s="6" t="str">
        <x:v>Ayşe Yılmaz</x:v>
      </x:c>
      <x:c r="E13" s="6" t="str">
        <x:v>Proje Yönetimi</x:v>
      </x:c>
      <x:c r="F13" s="7" t="n">
        <x:v>46356</x:v>
      </x:c>
      <x:c r="G13" s="7" t="n">
        <x:v>46360</x:v>
      </x:c>
      <x:c r="H13" s="6" t="n">
        <x:v>5</x:v>
      </x:c>
      <x:c r="I13" s="15" t="n">
        <x:v>0</x:v>
      </x:c>
      <x:c r="J13" s="7" t="n">
        <x:v>46367</x:v>
      </x:c>
      <x:c r="K13" s="6" t="str">
        <x:v>Evet</x:v>
      </x:c>
      <x:c r="L13" s="6" t="str">
        <x:v>G1-06</x:v>
      </x:c>
      <x:c r="M13" s="2" t="str">
        <x:f>IF(A13="","",IF(NOT(ISNUMBER(I13)),"Eksik ilerleme",IF(I13=1,"Tamamlandı",IF(G13&lt;'Panel'!$N$5,"Gecikmiş",IF(I13&gt;0,"Devam ediyor","Başlamadı")))))</x:f>
        <x:v>Başlamadı</x:v>
      </x:c>
      <x:c r="N13" s="16" t="n">
        <x:f>IF(A13="","",IF(OR(F13="",G13="",G13&lt;F13),"Eksik tarih",MAX(0,MIN(1,('Panel'!$N$5-F13+1)/(G13-F13+1)))))</x:f>
        <x:v>0</x:v>
      </x:c>
      <x:c r="O13" s="2" t="n">
        <x:f>IF(A13="","",IF(OR(NOT(ISNUMBER(H13)),NOT(ISNUMBER(I13))),"Eksik ilerleme",H13*I13))</x:f>
        <x:v>0</x:v>
      </x:c>
      <x:c r="P13" s="2" t="n">
        <x:f>IF(A13="","",IF(OR(H13="",NOT(ISNUMBER(N13))),"Eksik plan",H13*N13))</x:f>
        <x:v>0</x:v>
      </x:c>
      <x:c r="Q13" s="2" t="n">
        <x:f>IF(A13="","",IF(J13="","Eksik bitiş",J13-G13))</x:f>
        <x:v>7</x:v>
      </x:c>
      <x:c r="R13" s="6"/>
      <x:c r="S13" s="2" t="n">
        <x:f>IF(AND(A13&lt;&gt;"",B13='Panel'!$C$5),COUNTIFS($B$7:B13,B13,$A$7:A13,"&lt;&gt;"),"")</x:f>
        <x:v>7</x:v>
      </x:c>
    </x:row>
    <x:row r="14" ht="22" customHeight="1">
      <x:c r="A14" s="6" t="str">
        <x:v>G2-01</x:v>
      </x:c>
      <x:c r="B14" s="6" t="str">
        <x:v>PRJ-002</x:v>
      </x:c>
      <x:c r="C14" s="6" t="str">
        <x:v>İhtiyaç analizi</x:v>
      </x:c>
      <x:c r="D14" s="6" t="str">
        <x:v>Mehmet Demir</x:v>
      </x:c>
      <x:c r="E14" s="6" t="str">
        <x:v>Bilgi Teknolojileri</x:v>
      </x:c>
      <x:c r="F14" s="7" t="n">
        <x:v>46279</x:v>
      </x:c>
      <x:c r="G14" s="7" t="n">
        <x:v>46290</x:v>
      </x:c>
      <x:c r="H14" s="6" t="n">
        <x:v>15</x:v>
      </x:c>
      <x:c r="I14" s="15" t="n">
        <x:v>1</x:v>
      </x:c>
      <x:c r="J14" s="7" t="n">
        <x:v>46290</x:v>
      </x:c>
      <x:c r="K14" s="6" t="str">
        <x:v>Hayır</x:v>
      </x:c>
      <x:c r="L14" s="6" t="str"/>
      <x:c r="M14" s="2" t="str">
        <x:f>IF(A14="","",IF(NOT(ISNUMBER(I14)),"Eksik ilerleme",IF(I14=1,"Tamamlandı",IF(G14&lt;'Panel'!$N$5,"Gecikmiş",IF(I14&gt;0,"Devam ediyor","Başlamadı")))))</x:f>
        <x:v>Tamamlandı</x:v>
      </x:c>
      <x:c r="N14" s="16" t="n">
        <x:f>IF(A14="","",IF(OR(F14="",G14="",G14&lt;F14),"Eksik tarih",MAX(0,MIN(1,('Panel'!$N$5-F14+1)/(G14-F14+1)))))</x:f>
        <x:v>1</x:v>
      </x:c>
      <x:c r="O14" s="2" t="n">
        <x:f>IF(A14="","",IF(OR(NOT(ISNUMBER(H14)),NOT(ISNUMBER(I14))),"Eksik ilerleme",H14*I14))</x:f>
        <x:v>15</x:v>
      </x:c>
      <x:c r="P14" s="2" t="n">
        <x:f>IF(A14="","",IF(OR(H14="",NOT(ISNUMBER(N14))),"Eksik plan",H14*N14))</x:f>
        <x:v>15</x:v>
      </x:c>
      <x:c r="Q14" s="2" t="n">
        <x:f>IF(A14="","",IF(J14="","Eksik bitiş",J14-G14))</x:f>
        <x:v>0</x:v>
      </x:c>
      <x:c r="R14" s="6"/>
      <x:c r="S14" s="2" t="str">
        <x:f>IF(AND(A14&lt;&gt;"",B14='Panel'!$C$5),COUNTIFS($B$7:B14,B14,$A$7:A14,"&lt;&gt;"),"")</x:f>
      </x:c>
    </x:row>
    <x:row r="15" ht="22" customHeight="1">
      <x:c r="A15" s="6" t="str">
        <x:v>G2-02</x:v>
      </x:c>
      <x:c r="B15" s="6" t="str">
        <x:v>PRJ-002</x:v>
      </x:c>
      <x:c r="C15" s="6" t="str">
        <x:v>Deneyim tasarımı</x:v>
      </x:c>
      <x:c r="D15" s="6" t="str">
        <x:v>Mehmet Demir</x:v>
      </x:c>
      <x:c r="E15" s="6" t="str">
        <x:v>Bilgi Teknolojileri</x:v>
      </x:c>
      <x:c r="F15" s="7" t="n">
        <x:v>46293</x:v>
      </x:c>
      <x:c r="G15" s="7" t="n">
        <x:v>46304</x:v>
      </x:c>
      <x:c r="H15" s="6" t="n">
        <x:v>15</x:v>
      </x:c>
      <x:c r="I15" s="15" t="n">
        <x:v>1</x:v>
      </x:c>
      <x:c r="J15" s="7" t="n">
        <x:v>46304</x:v>
      </x:c>
      <x:c r="K15" s="6" t="str">
        <x:v>Hayır</x:v>
      </x:c>
      <x:c r="L15" s="6" t="str">
        <x:v>G2-01</x:v>
      </x:c>
      <x:c r="M15" s="2" t="str">
        <x:f>IF(A15="","",IF(NOT(ISNUMBER(I15)),"Eksik ilerleme",IF(I15=1,"Tamamlandı",IF(G15&lt;'Panel'!$N$5,"Gecikmiş",IF(I15&gt;0,"Devam ediyor","Başlamadı")))))</x:f>
        <x:v>Tamamlandı</x:v>
      </x:c>
      <x:c r="N15" s="16" t="n">
        <x:f>IF(A15="","",IF(OR(F15="",G15="",G15&lt;F15),"Eksik tarih",MAX(0,MIN(1,('Panel'!$N$5-F15+1)/(G15-F15+1)))))</x:f>
        <x:v>1</x:v>
      </x:c>
      <x:c r="O15" s="2" t="n">
        <x:f>IF(A15="","",IF(OR(NOT(ISNUMBER(H15)),NOT(ISNUMBER(I15))),"Eksik ilerleme",H15*I15))</x:f>
        <x:v>15</x:v>
      </x:c>
      <x:c r="P15" s="2" t="n">
        <x:f>IF(A15="","",IF(OR(H15="",NOT(ISNUMBER(N15))),"Eksik plan",H15*N15))</x:f>
        <x:v>15</x:v>
      </x:c>
      <x:c r="Q15" s="2" t="n">
        <x:f>IF(A15="","",IF(J15="","Eksik bitiş",J15-G15))</x:f>
        <x:v>0</x:v>
      </x:c>
      <x:c r="R15" s="6"/>
      <x:c r="S15" s="2" t="str">
        <x:f>IF(AND(A15&lt;&gt;"",B15='Panel'!$C$5),COUNTIFS($B$7:B15,B15,$A$7:A15,"&lt;&gt;"),"")</x:f>
      </x:c>
    </x:row>
    <x:row r="16" ht="22" customHeight="1">
      <x:c r="A16" s="6" t="str">
        <x:v>G2-03</x:v>
      </x:c>
      <x:c r="B16" s="6" t="str">
        <x:v>PRJ-002</x:v>
      </x:c>
      <x:c r="C16" s="6" t="str">
        <x:v>Uygulama geliştirme</x:v>
      </x:c>
      <x:c r="D16" s="6" t="str">
        <x:v>Mehmet Demir</x:v>
      </x:c>
      <x:c r="E16" s="6" t="str">
        <x:v>Bilgi Teknolojileri</x:v>
      </x:c>
      <x:c r="F16" s="7" t="n">
        <x:v>46300</x:v>
      </x:c>
      <x:c r="G16" s="7" t="n">
        <x:v>46325</x:v>
      </x:c>
      <x:c r="H16" s="6" t="n">
        <x:v>35</x:v>
      </x:c>
      <x:c r="I16" s="15" t="n">
        <x:v>0.5</x:v>
      </x:c>
      <x:c r="J16" s="7" t="n">
        <x:v>46325</x:v>
      </x:c>
      <x:c r="K16" s="6" t="str">
        <x:v>Evet</x:v>
      </x:c>
      <x:c r="L16" s="6" t="str">
        <x:v>G2-02</x:v>
      </x:c>
      <x:c r="M16" s="2" t="str">
        <x:f>IF(A16="","",IF(NOT(ISNUMBER(I16)),"Eksik ilerleme",IF(I16=1,"Tamamlandı",IF(G16&lt;'Panel'!$N$5,"Gecikmiş",IF(I16&gt;0,"Devam ediyor","Başlamadı")))))</x:f>
        <x:v>Devam ediyor</x:v>
      </x:c>
      <x:c r="N16" s="16" t="n">
        <x:f>IF(A16="","",IF(OR(F16="",G16="",G16&lt;F16),"Eksik tarih",MAX(0,MIN(1,('Panel'!$N$5-F16+1)/(G16-F16+1)))))</x:f>
        <x:v>0.4230769230769231</x:v>
      </x:c>
      <x:c r="O16" s="2" t="n">
        <x:f>IF(A16="","",IF(OR(NOT(ISNUMBER(H16)),NOT(ISNUMBER(I16))),"Eksik ilerleme",H16*I16))</x:f>
        <x:v>17.5</x:v>
      </x:c>
      <x:c r="P16" s="2" t="n">
        <x:f>IF(A16="","",IF(OR(H16="",NOT(ISNUMBER(N16))),"Eksik plan",H16*N16))</x:f>
        <x:v>14.807692307692308</x:v>
      </x:c>
      <x:c r="Q16" s="2" t="n">
        <x:f>IF(A16="","",IF(J16="","Eksik bitiş",J16-G16))</x:f>
        <x:v>0</x:v>
      </x:c>
      <x:c r="R16" s="6"/>
      <x:c r="S16" s="2" t="str">
        <x:f>IF(AND(A16&lt;&gt;"",B16='Panel'!$C$5),COUNTIFS($B$7:B16,B16,$A$7:A16,"&lt;&gt;"),"")</x:f>
      </x:c>
    </x:row>
    <x:row r="17" ht="22" customHeight="1">
      <x:c r="A17" s="6" t="str">
        <x:v>G2-04</x:v>
      </x:c>
      <x:c r="B17" s="6" t="str">
        <x:v>PRJ-002</x:v>
      </x:c>
      <x:c r="C17" s="6" t="str">
        <x:v>Sistem entegrasyonu</x:v>
      </x:c>
      <x:c r="D17" s="6" t="str">
        <x:v>Mehmet Demir</x:v>
      </x:c>
      <x:c r="E17" s="6" t="str">
        <x:v>Bilgi Teknolojileri</x:v>
      </x:c>
      <x:c r="F17" s="7" t="n">
        <x:v>46314</x:v>
      </x:c>
      <x:c r="G17" s="7" t="n">
        <x:v>46332</x:v>
      </x:c>
      <x:c r="H17" s="6" t="n">
        <x:v>15</x:v>
      </x:c>
      <x:c r="I17" s="15" t="n">
        <x:v>0</x:v>
      </x:c>
      <x:c r="J17" s="7" t="n">
        <x:v>46332</x:v>
      </x:c>
      <x:c r="K17" s="6" t="str">
        <x:v>Evet</x:v>
      </x:c>
      <x:c r="L17" s="6" t="str">
        <x:v>G2-03</x:v>
      </x:c>
      <x:c r="M17" s="2" t="str">
        <x:f>IF(A17="","",IF(NOT(ISNUMBER(I17)),"Eksik ilerleme",IF(I17=1,"Tamamlandı",IF(G17&lt;'Panel'!$N$5,"Gecikmiş",IF(I17&gt;0,"Devam ediyor","Başlamadı")))))</x:f>
        <x:v>Başlamadı</x:v>
      </x:c>
      <x:c r="N17" s="16" t="n">
        <x:f>IF(A17="","",IF(OR(F17="",G17="",G17&lt;F17),"Eksik tarih",MAX(0,MIN(1,('Panel'!$N$5-F17+1)/(G17-F17+1)))))</x:f>
        <x:v>0</x:v>
      </x:c>
      <x:c r="O17" s="2" t="n">
        <x:f>IF(A17="","",IF(OR(NOT(ISNUMBER(H17)),NOT(ISNUMBER(I17))),"Eksik ilerleme",H17*I17))</x:f>
        <x:v>0</x:v>
      </x:c>
      <x:c r="P17" s="2" t="n">
        <x:f>IF(A17="","",IF(OR(H17="",NOT(ISNUMBER(N17))),"Eksik plan",H17*N17))</x:f>
        <x:v>0</x:v>
      </x:c>
      <x:c r="Q17" s="2" t="n">
        <x:f>IF(A17="","",IF(J17="","Eksik bitiş",J17-G17))</x:f>
        <x:v>0</x:v>
      </x:c>
      <x:c r="R17" s="6"/>
      <x:c r="S17" s="2" t="str">
        <x:f>IF(AND(A17&lt;&gt;"",B17='Panel'!$C$5),COUNTIFS($B$7:B17,B17,$A$7:A17,"&lt;&gt;"),"")</x:f>
      </x:c>
    </x:row>
    <x:row r="18" ht="22" customHeight="1">
      <x:c r="A18" s="6" t="str">
        <x:v>G2-05</x:v>
      </x:c>
      <x:c r="B18" s="6" t="str">
        <x:v>PRJ-002</x:v>
      </x:c>
      <x:c r="C18" s="6" t="str">
        <x:v>Kullanıcı kabul testleri</x:v>
      </x:c>
      <x:c r="D18" s="6" t="str">
        <x:v>Mehmet Demir</x:v>
      </x:c>
      <x:c r="E18" s="6" t="str">
        <x:v>Kalite</x:v>
      </x:c>
      <x:c r="F18" s="7" t="n">
        <x:v>46335</x:v>
      </x:c>
      <x:c r="G18" s="7" t="n">
        <x:v>46346</x:v>
      </x:c>
      <x:c r="H18" s="6" t="n">
        <x:v>15</x:v>
      </x:c>
      <x:c r="I18" s="15" t="n">
        <x:v>0</x:v>
      </x:c>
      <x:c r="J18" s="7" t="n">
        <x:v>46346</x:v>
      </x:c>
      <x:c r="K18" s="6" t="str">
        <x:v>Evet</x:v>
      </x:c>
      <x:c r="L18" s="6" t="str">
        <x:v>G2-04</x:v>
      </x:c>
      <x:c r="M18" s="2" t="str">
        <x:f>IF(A18="","",IF(NOT(ISNUMBER(I18)),"Eksik ilerleme",IF(I18=1,"Tamamlandı",IF(G18&lt;'Panel'!$N$5,"Gecikmiş",IF(I18&gt;0,"Devam ediyor","Başlamadı")))))</x:f>
        <x:v>Başlamadı</x:v>
      </x:c>
      <x:c r="N18" s="16" t="n">
        <x:f>IF(A18="","",IF(OR(F18="",G18="",G18&lt;F18),"Eksik tarih",MAX(0,MIN(1,('Panel'!$N$5-F18+1)/(G18-F18+1)))))</x:f>
        <x:v>0</x:v>
      </x:c>
      <x:c r="O18" s="2" t="n">
        <x:f>IF(A18="","",IF(OR(NOT(ISNUMBER(H18)),NOT(ISNUMBER(I18))),"Eksik ilerleme",H18*I18))</x:f>
        <x:v>0</x:v>
      </x:c>
      <x:c r="P18" s="2" t="n">
        <x:f>IF(A18="","",IF(OR(H18="",NOT(ISNUMBER(N18))),"Eksik plan",H18*N18))</x:f>
        <x:v>0</x:v>
      </x:c>
      <x:c r="Q18" s="2" t="n">
        <x:f>IF(A18="","",IF(J18="","Eksik bitiş",J18-G18))</x:f>
        <x:v>0</x:v>
      </x:c>
      <x:c r="R18" s="6"/>
      <x:c r="S18" s="2" t="str">
        <x:f>IF(AND(A18&lt;&gt;"",B18='Panel'!$C$5),COUNTIFS($B$7:B18,B18,$A$7:A18,"&lt;&gt;"),"")</x:f>
      </x:c>
    </x:row>
    <x:row r="19" ht="22" customHeight="1">
      <x:c r="A19" s="6" t="str">
        <x:v>G2-06</x:v>
      </x:c>
      <x:c r="B19" s="6" t="str">
        <x:v>PRJ-002</x:v>
      </x:c>
      <x:c r="C19" s="6" t="str">
        <x:v>Canlıya geçiş</x:v>
      </x:c>
      <x:c r="D19" s="6" t="str">
        <x:v>Mehmet Demir</x:v>
      </x:c>
      <x:c r="E19" s="6" t="str">
        <x:v>Proje Yönetimi</x:v>
      </x:c>
      <x:c r="F19" s="7" t="n">
        <x:v>46349</x:v>
      </x:c>
      <x:c r="G19" s="7" t="n">
        <x:v>46353</x:v>
      </x:c>
      <x:c r="H19" s="6" t="n">
        <x:v>5</x:v>
      </x:c>
      <x:c r="I19" s="15" t="n">
        <x:v>0</x:v>
      </x:c>
      <x:c r="J19" s="7" t="n">
        <x:v>46353</x:v>
      </x:c>
      <x:c r="K19" s="6" t="str">
        <x:v>Evet</x:v>
      </x:c>
      <x:c r="L19" s="6" t="str">
        <x:v>G2-05</x:v>
      </x:c>
      <x:c r="M19" s="2" t="str">
        <x:f>IF(A19="","",IF(NOT(ISNUMBER(I19)),"Eksik ilerleme",IF(I19=1,"Tamamlandı",IF(G19&lt;'Panel'!$N$5,"Gecikmiş",IF(I19&gt;0,"Devam ediyor","Başlamadı")))))</x:f>
        <x:v>Başlamadı</x:v>
      </x:c>
      <x:c r="N19" s="16" t="n">
        <x:f>IF(A19="","",IF(OR(F19="",G19="",G19&lt;F19),"Eksik tarih",MAX(0,MIN(1,('Panel'!$N$5-F19+1)/(G19-F19+1)))))</x:f>
        <x:v>0</x:v>
      </x:c>
      <x:c r="O19" s="2" t="n">
        <x:f>IF(A19="","",IF(OR(NOT(ISNUMBER(H19)),NOT(ISNUMBER(I19))),"Eksik ilerleme",H19*I19))</x:f>
        <x:v>0</x:v>
      </x:c>
      <x:c r="P19" s="2" t="n">
        <x:f>IF(A19="","",IF(OR(H19="",NOT(ISNUMBER(N19))),"Eksik plan",H19*N19))</x:f>
        <x:v>0</x:v>
      </x:c>
      <x:c r="Q19" s="2" t="n">
        <x:f>IF(A19="","",IF(J19="","Eksik bitiş",J19-G19))</x:f>
        <x:v>0</x:v>
      </x:c>
      <x:c r="R19" s="6"/>
      <x:c r="S19" s="2" t="str">
        <x:f>IF(AND(A19&lt;&gt;"",B19='Panel'!$C$5),COUNTIFS($B$7:B19,B19,$A$7:A19,"&lt;&gt;"),"")</x:f>
      </x:c>
    </x:row>
    <x:row r="20" ht="22" customHeight="1">
      <x:c r="A20" s="6" t="str">
        <x:v>G3-01</x:v>
      </x:c>
      <x:c r="B20" s="6" t="str">
        <x:v>PRJ-003</x:v>
      </x:c>
      <x:c r="C20" s="6" t="str">
        <x:v>Süreç analizi</x:v>
      </x:c>
      <x:c r="D20" s="6" t="str">
        <x:v>Selin Kaya</x:v>
      </x:c>
      <x:c r="E20" s="6" t="str">
        <x:v>Üretim</x:v>
      </x:c>
      <x:c r="F20" s="7" t="n">
        <x:v>46266</x:v>
      </x:c>
      <x:c r="G20" s="7" t="n">
        <x:v>46276</x:v>
      </x:c>
      <x:c r="H20" s="6" t="n">
        <x:v>10</x:v>
      </x:c>
      <x:c r="I20" s="15" t="n">
        <x:v>1</x:v>
      </x:c>
      <x:c r="J20" s="7" t="n">
        <x:v>46276</x:v>
      </x:c>
      <x:c r="K20" s="6" t="str">
        <x:v>Hayır</x:v>
      </x:c>
      <x:c r="L20" s="6" t="str"/>
      <x:c r="M20" s="2" t="str">
        <x:f>IF(A20="","",IF(NOT(ISNUMBER(I20)),"Eksik ilerleme",IF(I20=1,"Tamamlandı",IF(G20&lt;'Panel'!$N$5,"Gecikmiş",IF(I20&gt;0,"Devam ediyor","Başlamadı")))))</x:f>
        <x:v>Tamamlandı</x:v>
      </x:c>
      <x:c r="N20" s="16" t="n">
        <x:f>IF(A20="","",IF(OR(F20="",G20="",G20&lt;F20),"Eksik tarih",MAX(0,MIN(1,('Panel'!$N$5-F20+1)/(G20-F20+1)))))</x:f>
        <x:v>1</x:v>
      </x:c>
      <x:c r="O20" s="2" t="n">
        <x:f>IF(A20="","",IF(OR(NOT(ISNUMBER(H20)),NOT(ISNUMBER(I20))),"Eksik ilerleme",H20*I20))</x:f>
        <x:v>10</x:v>
      </x:c>
      <x:c r="P20" s="2" t="n">
        <x:f>IF(A20="","",IF(OR(H20="",NOT(ISNUMBER(N20))),"Eksik plan",H20*N20))</x:f>
        <x:v>10</x:v>
      </x:c>
      <x:c r="Q20" s="2" t="n">
        <x:f>IF(A20="","",IF(J20="","Eksik bitiş",J20-G20))</x:f>
        <x:v>0</x:v>
      </x:c>
      <x:c r="R20" s="6"/>
      <x:c r="S20" s="2" t="str">
        <x:f>IF(AND(A20&lt;&gt;"",B20='Panel'!$C$5),COUNTIFS($B$7:B20,B20,$A$7:A20,"&lt;&gt;"),"")</x:f>
      </x:c>
    </x:row>
    <x:row r="21" ht="22" customHeight="1">
      <x:c r="A21" s="6" t="str">
        <x:v>G3-02</x:v>
      </x:c>
      <x:c r="B21" s="6" t="str">
        <x:v>PRJ-003</x:v>
      </x:c>
      <x:c r="C21" s="6" t="str">
        <x:v>Çözüm tasarımı</x:v>
      </x:c>
      <x:c r="D21" s="6" t="str">
        <x:v>Selin Kaya</x:v>
      </x:c>
      <x:c r="E21" s="6" t="str">
        <x:v>Mühendislik</x:v>
      </x:c>
      <x:c r="F21" s="7" t="n">
        <x:v>46279</x:v>
      </x:c>
      <x:c r="G21" s="7" t="n">
        <x:v>46290</x:v>
      </x:c>
      <x:c r="H21" s="6" t="n">
        <x:v>15</x:v>
      </x:c>
      <x:c r="I21" s="15" t="n">
        <x:v>1</x:v>
      </x:c>
      <x:c r="J21" s="7" t="n">
        <x:v>46290</x:v>
      </x:c>
      <x:c r="K21" s="6" t="str">
        <x:v>Hayır</x:v>
      </x:c>
      <x:c r="L21" s="6" t="str">
        <x:v>G3-01</x:v>
      </x:c>
      <x:c r="M21" s="2" t="str">
        <x:f>IF(A21="","",IF(NOT(ISNUMBER(I21)),"Eksik ilerleme",IF(I21=1,"Tamamlandı",IF(G21&lt;'Panel'!$N$5,"Gecikmiş",IF(I21&gt;0,"Devam ediyor","Başlamadı")))))</x:f>
        <x:v>Tamamlandı</x:v>
      </x:c>
      <x:c r="N21" s="16" t="n">
        <x:f>IF(A21="","",IF(OR(F21="",G21="",G21&lt;F21),"Eksik tarih",MAX(0,MIN(1,('Panel'!$N$5-F21+1)/(G21-F21+1)))))</x:f>
        <x:v>1</x:v>
      </x:c>
      <x:c r="O21" s="2" t="n">
        <x:f>IF(A21="","",IF(OR(NOT(ISNUMBER(H21)),NOT(ISNUMBER(I21))),"Eksik ilerleme",H21*I21))</x:f>
        <x:v>15</x:v>
      </x:c>
      <x:c r="P21" s="2" t="n">
        <x:f>IF(A21="","",IF(OR(H21="",NOT(ISNUMBER(N21))),"Eksik plan",H21*N21))</x:f>
        <x:v>15</x:v>
      </x:c>
      <x:c r="Q21" s="2" t="n">
        <x:f>IF(A21="","",IF(J21="","Eksik bitiş",J21-G21))</x:f>
        <x:v>0</x:v>
      </x:c>
      <x:c r="R21" s="6"/>
      <x:c r="S21" s="2" t="str">
        <x:f>IF(AND(A21&lt;&gt;"",B21='Panel'!$C$5),COUNTIFS($B$7:B21,B21,$A$7:A21,"&lt;&gt;"),"")</x:f>
      </x:c>
    </x:row>
    <x:row r="22" ht="22" customHeight="1">
      <x:c r="A22" s="6" t="str">
        <x:v>G3-03</x:v>
      </x:c>
      <x:c r="B22" s="6" t="str">
        <x:v>PRJ-003</x:v>
      </x:c>
      <x:c r="C22" s="6" t="str">
        <x:v>Donanım alımı</x:v>
      </x:c>
      <x:c r="D22" s="6" t="str">
        <x:v>Selin Kaya</x:v>
      </x:c>
      <x:c r="E22" s="6" t="str">
        <x:v>Satın Alma</x:v>
      </x:c>
      <x:c r="F22" s="7" t="n">
        <x:v>46286</x:v>
      </x:c>
      <x:c r="G22" s="7" t="n">
        <x:v>46304</x:v>
      </x:c>
      <x:c r="H22" s="6" t="n">
        <x:v>25</x:v>
      </x:c>
      <x:c r="I22" s="15" t="n">
        <x:v>0.8</x:v>
      </x:c>
      <x:c r="J22" s="7" t="n">
        <x:v>46318</x:v>
      </x:c>
      <x:c r="K22" s="6" t="str">
        <x:v>Evet</x:v>
      </x:c>
      <x:c r="L22" s="6" t="str">
        <x:v>G3-02</x:v>
      </x:c>
      <x:c r="M22" s="2" t="str">
        <x:f>IF(A22="","",IF(NOT(ISNUMBER(I22)),"Eksik ilerleme",IF(I22=1,"Tamamlandı",IF(G22&lt;'Panel'!$N$5,"Gecikmiş",IF(I22&gt;0,"Devam ediyor","Başlamadı")))))</x:f>
        <x:v>Gecikmiş</x:v>
      </x:c>
      <x:c r="N22" s="16" t="n">
        <x:f>IF(A22="","",IF(OR(F22="",G22="",G22&lt;F22),"Eksik tarih",MAX(0,MIN(1,('Panel'!$N$5-F22+1)/(G22-F22+1)))))</x:f>
        <x:v>1</x:v>
      </x:c>
      <x:c r="O22" s="2" t="n">
        <x:f>IF(A22="","",IF(OR(NOT(ISNUMBER(H22)),NOT(ISNUMBER(I22))),"Eksik ilerleme",H22*I22))</x:f>
        <x:v>20</x:v>
      </x:c>
      <x:c r="P22" s="2" t="n">
        <x:f>IF(A22="","",IF(OR(H22="",NOT(ISNUMBER(N22))),"Eksik plan",H22*N22))</x:f>
        <x:v>25</x:v>
      </x:c>
      <x:c r="Q22" s="2" t="n">
        <x:f>IF(A22="","",IF(J22="","Eksik bitiş",J22-G22))</x:f>
        <x:v>14</x:v>
      </x:c>
      <x:c r="R22" s="6"/>
      <x:c r="S22" s="2" t="str">
        <x:f>IF(AND(A22&lt;&gt;"",B22='Panel'!$C$5),COUNTIFS($B$7:B22,B22,$A$7:A22,"&lt;&gt;"),"")</x:f>
      </x:c>
    </x:row>
    <x:row r="23" ht="22" customHeight="1">
      <x:c r="A23" s="6" t="str">
        <x:v>G3-04</x:v>
      </x:c>
      <x:c r="B23" s="6" t="str">
        <x:v>PRJ-003</x:v>
      </x:c>
      <x:c r="C23" s="6" t="str">
        <x:v>Yazılım uyarlama</x:v>
      </x:c>
      <x:c r="D23" s="6" t="str">
        <x:v>Selin Kaya</x:v>
      </x:c>
      <x:c r="E23" s="6" t="str">
        <x:v>Bilgi Teknolojileri</x:v>
      </x:c>
      <x:c r="F23" s="7" t="n">
        <x:v>46293</x:v>
      </x:c>
      <x:c r="G23" s="7" t="n">
        <x:v>46318</x:v>
      </x:c>
      <x:c r="H23" s="6" t="n">
        <x:v>20</x:v>
      </x:c>
      <x:c r="I23" s="15" t="n">
        <x:v>0.35</x:v>
      </x:c>
      <x:c r="J23" s="7" t="n">
        <x:v>46332</x:v>
      </x:c>
      <x:c r="K23" s="6" t="str">
        <x:v>Evet</x:v>
      </x:c>
      <x:c r="L23" s="6" t="str">
        <x:v>G3-03</x:v>
      </x:c>
      <x:c r="M23" s="2" t="str">
        <x:f>IF(A23="","",IF(NOT(ISNUMBER(I23)),"Eksik ilerleme",IF(I23=1,"Tamamlandı",IF(G23&lt;'Panel'!$N$5,"Gecikmiş",IF(I23&gt;0,"Devam ediyor","Başlamadı")))))</x:f>
        <x:v>Devam ediyor</x:v>
      </x:c>
      <x:c r="N23" s="16" t="n">
        <x:f>IF(A23="","",IF(OR(F23="",G23="",G23&lt;F23),"Eksik tarih",MAX(0,MIN(1,('Panel'!$N$5-F23+1)/(G23-F23+1)))))</x:f>
        <x:v>0.6923076923076923</x:v>
      </x:c>
      <x:c r="O23" s="2" t="n">
        <x:f>IF(A23="","",IF(OR(NOT(ISNUMBER(H23)),NOT(ISNUMBER(I23))),"Eksik ilerleme",H23*I23))</x:f>
        <x:v>7</x:v>
      </x:c>
      <x:c r="P23" s="2" t="n">
        <x:f>IF(A23="","",IF(OR(H23="",NOT(ISNUMBER(N23))),"Eksik plan",H23*N23))</x:f>
        <x:v>13.846153846153847</x:v>
      </x:c>
      <x:c r="Q23" s="2" t="n">
        <x:f>IF(A23="","",IF(J23="","Eksik bitiş",J23-G23))</x:f>
        <x:v>14</x:v>
      </x:c>
      <x:c r="R23" s="6"/>
      <x:c r="S23" s="2" t="str">
        <x:f>IF(AND(A23&lt;&gt;"",B23='Panel'!$C$5),COUNTIFS($B$7:B23,B23,$A$7:A23,"&lt;&gt;"),"")</x:f>
      </x:c>
    </x:row>
    <x:row r="24" ht="22" customHeight="1">
      <x:c r="A24" s="6" t="str">
        <x:v>G3-05</x:v>
      </x:c>
      <x:c r="B24" s="6" t="str">
        <x:v>PRJ-003</x:v>
      </x:c>
      <x:c r="C24" s="6" t="str">
        <x:v>Kurulum ve test</x:v>
      </x:c>
      <x:c r="D24" s="6" t="str">
        <x:v>Selin Kaya</x:v>
      </x:c>
      <x:c r="E24" s="6" t="str">
        <x:v>Kalite</x:v>
      </x:c>
      <x:c r="F24" s="7" t="n">
        <x:v>46321</x:v>
      </x:c>
      <x:c r="G24" s="7" t="n">
        <x:v>46339</x:v>
      </x:c>
      <x:c r="H24" s="6" t="n">
        <x:v>20</x:v>
      </x:c>
      <x:c r="I24" s="15" t="n">
        <x:v>0</x:v>
      </x:c>
      <x:c r="J24" s="7" t="n">
        <x:v>46353</x:v>
      </x:c>
      <x:c r="K24" s="6" t="str">
        <x:v>Evet</x:v>
      </x:c>
      <x:c r="L24" s="6" t="str">
        <x:v>G3-04</x:v>
      </x:c>
      <x:c r="M24" s="2" t="str">
        <x:f>IF(A24="","",IF(NOT(ISNUMBER(I24)),"Eksik ilerleme",IF(I24=1,"Tamamlandı",IF(G24&lt;'Panel'!$N$5,"Gecikmiş",IF(I24&gt;0,"Devam ediyor","Başlamadı")))))</x:f>
        <x:v>Başlamadı</x:v>
      </x:c>
      <x:c r="N24" s="16" t="n">
        <x:f>IF(A24="","",IF(OR(F24="",G24="",G24&lt;F24),"Eksik tarih",MAX(0,MIN(1,('Panel'!$N$5-F24+1)/(G24-F24+1)))))</x:f>
        <x:v>0</x:v>
      </x:c>
      <x:c r="O24" s="2" t="n">
        <x:f>IF(A24="","",IF(OR(NOT(ISNUMBER(H24)),NOT(ISNUMBER(I24))),"Eksik ilerleme",H24*I24))</x:f>
        <x:v>0</x:v>
      </x:c>
      <x:c r="P24" s="2" t="n">
        <x:f>IF(A24="","",IF(OR(H24="",NOT(ISNUMBER(N24))),"Eksik plan",H24*N24))</x:f>
        <x:v>0</x:v>
      </x:c>
      <x:c r="Q24" s="2" t="n">
        <x:f>IF(A24="","",IF(J24="","Eksik bitiş",J24-G24))</x:f>
        <x:v>14</x:v>
      </x:c>
      <x:c r="R24" s="6"/>
      <x:c r="S24" s="2" t="str">
        <x:f>IF(AND(A24&lt;&gt;"",B24='Panel'!$C$5),COUNTIFS($B$7:B24,B24,$A$7:A24,"&lt;&gt;"),"")</x:f>
      </x:c>
    </x:row>
    <x:row r="25" ht="22" customHeight="1">
      <x:c r="A25" s="6" t="str">
        <x:v>G3-06</x:v>
      </x:c>
      <x:c r="B25" s="6" t="str">
        <x:v>PRJ-003</x:v>
      </x:c>
      <x:c r="C25" s="6" t="str">
        <x:v>Eğitim ve kabul</x:v>
      </x:c>
      <x:c r="D25" s="6" t="str">
        <x:v>Selin Kaya</x:v>
      </x:c>
      <x:c r="E25" s="6" t="str">
        <x:v>Proje Yönetimi</x:v>
      </x:c>
      <x:c r="F25" s="7" t="n">
        <x:v>46342</x:v>
      </x:c>
      <x:c r="G25" s="7" t="n">
        <x:v>46346</x:v>
      </x:c>
      <x:c r="H25" s="6" t="n">
        <x:v>10</x:v>
      </x:c>
      <x:c r="I25" s="15" t="n">
        <x:v>0</x:v>
      </x:c>
      <x:c r="J25" s="7" t="n">
        <x:v>46360</x:v>
      </x:c>
      <x:c r="K25" s="6" t="str">
        <x:v>Evet</x:v>
      </x:c>
      <x:c r="L25" s="6" t="str">
        <x:v>G3-05</x:v>
      </x:c>
      <x:c r="M25" s="2" t="str">
        <x:f>IF(A25="","",IF(NOT(ISNUMBER(I25)),"Eksik ilerleme",IF(I25=1,"Tamamlandı",IF(G25&lt;'Panel'!$N$5,"Gecikmiş",IF(I25&gt;0,"Devam ediyor","Başlamadı")))))</x:f>
        <x:v>Başlamadı</x:v>
      </x:c>
      <x:c r="N25" s="16" t="n">
        <x:f>IF(A25="","",IF(OR(F25="",G25="",G25&lt;F25),"Eksik tarih",MAX(0,MIN(1,('Panel'!$N$5-F25+1)/(G25-F25+1)))))</x:f>
        <x:v>0</x:v>
      </x:c>
      <x:c r="O25" s="2" t="n">
        <x:f>IF(A25="","",IF(OR(NOT(ISNUMBER(H25)),NOT(ISNUMBER(I25))),"Eksik ilerleme",H25*I25))</x:f>
        <x:v>0</x:v>
      </x:c>
      <x:c r="P25" s="2" t="n">
        <x:f>IF(A25="","",IF(OR(H25="",NOT(ISNUMBER(N25))),"Eksik plan",H25*N25))</x:f>
        <x:v>0</x:v>
      </x:c>
      <x:c r="Q25" s="2" t="n">
        <x:f>IF(A25="","",IF(J25="","Eksik bitiş",J25-G25))</x:f>
        <x:v>14</x:v>
      </x:c>
      <x:c r="R25" s="6"/>
      <x:c r="S25" s="2" t="str">
        <x:f>IF(AND(A25&lt;&gt;"",B25='Panel'!$C$5),COUNTIFS($B$7:B25,B25,$A$7:A25,"&lt;&gt;"),"")</x:f>
      </x:c>
    </x:row>
    <x:row r="26" ht="22" customHeight="1">
      <x:c r="A26" s="6"/>
      <x:c r="B26" s="6"/>
      <x:c r="C26" s="6"/>
      <x:c r="D26" s="6"/>
      <x:c r="E26" s="6"/>
      <x:c r="F26" s="7"/>
      <x:c r="G26" s="7"/>
      <x:c r="H26" s="6"/>
      <x:c r="I26" s="15"/>
      <x:c r="J26" s="7"/>
      <x:c r="K26" s="6"/>
      <x:c r="L26" s="6"/>
      <x:c r="M26" s="2" t="str">
        <x:f>IF(A26="","",IF(NOT(ISNUMBER(I26)),"Eksik ilerleme",IF(I26=1,"Tamamlandı",IF(G26&lt;'Panel'!$N$5,"Gecikmiş",IF(I26&gt;0,"Devam ediyor","Başlamadı")))))</x:f>
      </x:c>
      <x:c r="N26" s="16" t="str">
        <x:f>IF(A26="","",IF(OR(F26="",G26="",G26&lt;F26),"Eksik tarih",MAX(0,MIN(1,('Panel'!$N$5-F26+1)/(G26-F26+1)))))</x:f>
      </x:c>
      <x:c r="O26" s="2" t="str">
        <x:f>IF(A26="","",IF(OR(NOT(ISNUMBER(H26)),NOT(ISNUMBER(I26))),"Eksik ilerleme",H26*I26))</x:f>
      </x:c>
      <x:c r="P26" s="2" t="str">
        <x:f>IF(A26="","",IF(OR(H26="",NOT(ISNUMBER(N26))),"Eksik plan",H26*N26))</x:f>
      </x:c>
      <x:c r="Q26" s="2" t="str">
        <x:f>IF(A26="","",IF(J26="","Eksik bitiş",J26-G26))</x:f>
      </x:c>
      <x:c r="R26" s="6"/>
      <x:c r="S26" s="2" t="str">
        <x:f>IF(AND(A26&lt;&gt;"",B26='Panel'!$C$5),COUNTIFS($B$7:B26,B26,$A$7:A26,"&lt;&gt;"),"")</x:f>
      </x:c>
    </x:row>
    <x:row r="27" ht="22" customHeight="1">
      <x:c r="A27" s="6"/>
      <x:c r="B27" s="6"/>
      <x:c r="C27" s="6"/>
      <x:c r="D27" s="6"/>
      <x:c r="E27" s="6"/>
      <x:c r="F27" s="7"/>
      <x:c r="G27" s="7"/>
      <x:c r="H27" s="6"/>
      <x:c r="I27" s="15"/>
      <x:c r="J27" s="7"/>
      <x:c r="K27" s="6"/>
      <x:c r="L27" s="6"/>
      <x:c r="M27" s="2" t="str">
        <x:f>IF(A27="","",IF(NOT(ISNUMBER(I27)),"Eksik ilerleme",IF(I27=1,"Tamamlandı",IF(G27&lt;'Panel'!$N$5,"Gecikmiş",IF(I27&gt;0,"Devam ediyor","Başlamadı")))))</x:f>
      </x:c>
      <x:c r="N27" s="16" t="str">
        <x:f>IF(A27="","",IF(OR(F27="",G27="",G27&lt;F27),"Eksik tarih",MAX(0,MIN(1,('Panel'!$N$5-F27+1)/(G27-F27+1)))))</x:f>
      </x:c>
      <x:c r="O27" s="2" t="str">
        <x:f>IF(A27="","",IF(OR(NOT(ISNUMBER(H27)),NOT(ISNUMBER(I27))),"Eksik ilerleme",H27*I27))</x:f>
      </x:c>
      <x:c r="P27" s="2" t="str">
        <x:f>IF(A27="","",IF(OR(H27="",NOT(ISNUMBER(N27))),"Eksik plan",H27*N27))</x:f>
      </x:c>
      <x:c r="Q27" s="2" t="str">
        <x:f>IF(A27="","",IF(J27="","Eksik bitiş",J27-G27))</x:f>
      </x:c>
      <x:c r="R27" s="6"/>
      <x:c r="S27" s="2" t="str">
        <x:f>IF(AND(A27&lt;&gt;"",B27='Panel'!$C$5),COUNTIFS($B$7:B27,B27,$A$7:A27,"&lt;&gt;"),"")</x:f>
      </x:c>
    </x:row>
    <x:row r="28" ht="22" customHeight="1">
      <x:c r="A28" s="6"/>
      <x:c r="B28" s="6"/>
      <x:c r="C28" s="6"/>
      <x:c r="D28" s="6"/>
      <x:c r="E28" s="6"/>
      <x:c r="F28" s="7"/>
      <x:c r="G28" s="7"/>
      <x:c r="H28" s="6"/>
      <x:c r="I28" s="15"/>
      <x:c r="J28" s="7"/>
      <x:c r="K28" s="6"/>
      <x:c r="L28" s="6"/>
      <x:c r="M28" s="2" t="str">
        <x:f>IF(A28="","",IF(NOT(ISNUMBER(I28)),"Eksik ilerleme",IF(I28=1,"Tamamlandı",IF(G28&lt;'Panel'!$N$5,"Gecikmiş",IF(I28&gt;0,"Devam ediyor","Başlamadı")))))</x:f>
      </x:c>
      <x:c r="N28" s="16" t="str">
        <x:f>IF(A28="","",IF(OR(F28="",G28="",G28&lt;F28),"Eksik tarih",MAX(0,MIN(1,('Panel'!$N$5-F28+1)/(G28-F28+1)))))</x:f>
      </x:c>
      <x:c r="O28" s="2" t="str">
        <x:f>IF(A28="","",IF(OR(NOT(ISNUMBER(H28)),NOT(ISNUMBER(I28))),"Eksik ilerleme",H28*I28))</x:f>
      </x:c>
      <x:c r="P28" s="2" t="str">
        <x:f>IF(A28="","",IF(OR(H28="",NOT(ISNUMBER(N28))),"Eksik plan",H28*N28))</x:f>
      </x:c>
      <x:c r="Q28" s="2" t="str">
        <x:f>IF(A28="","",IF(J28="","Eksik bitiş",J28-G28))</x:f>
      </x:c>
      <x:c r="R28" s="6"/>
      <x:c r="S28" s="2" t="str">
        <x:f>IF(AND(A28&lt;&gt;"",B28='Panel'!$C$5),COUNTIFS($B$7:B28,B28,$A$7:A28,"&lt;&gt;"),"")</x:f>
      </x:c>
    </x:row>
    <x:row r="29" ht="22" customHeight="1">
      <x:c r="A29" s="6"/>
      <x:c r="B29" s="6"/>
      <x:c r="C29" s="6"/>
      <x:c r="D29" s="6"/>
      <x:c r="E29" s="6"/>
      <x:c r="F29" s="7"/>
      <x:c r="G29" s="7"/>
      <x:c r="H29" s="6"/>
      <x:c r="I29" s="15"/>
      <x:c r="J29" s="7"/>
      <x:c r="K29" s="6"/>
      <x:c r="L29" s="6"/>
      <x:c r="M29" s="2" t="str">
        <x:f>IF(A29="","",IF(NOT(ISNUMBER(I29)),"Eksik ilerleme",IF(I29=1,"Tamamlandı",IF(G29&lt;'Panel'!$N$5,"Gecikmiş",IF(I29&gt;0,"Devam ediyor","Başlamadı")))))</x:f>
      </x:c>
      <x:c r="N29" s="16" t="str">
        <x:f>IF(A29="","",IF(OR(F29="",G29="",G29&lt;F29),"Eksik tarih",MAX(0,MIN(1,('Panel'!$N$5-F29+1)/(G29-F29+1)))))</x:f>
      </x:c>
      <x:c r="O29" s="2" t="str">
        <x:f>IF(A29="","",IF(OR(NOT(ISNUMBER(H29)),NOT(ISNUMBER(I29))),"Eksik ilerleme",H29*I29))</x:f>
      </x:c>
      <x:c r="P29" s="2" t="str">
        <x:f>IF(A29="","",IF(OR(H29="",NOT(ISNUMBER(N29))),"Eksik plan",H29*N29))</x:f>
      </x:c>
      <x:c r="Q29" s="2" t="str">
        <x:f>IF(A29="","",IF(J29="","Eksik bitiş",J29-G29))</x:f>
      </x:c>
      <x:c r="R29" s="6"/>
      <x:c r="S29" s="2" t="str">
        <x:f>IF(AND(A29&lt;&gt;"",B29='Panel'!$C$5),COUNTIFS($B$7:B29,B29,$A$7:A29,"&lt;&gt;"),"")</x:f>
      </x:c>
    </x:row>
    <x:row r="30" ht="22" customHeight="1">
      <x:c r="A30" s="6"/>
      <x:c r="B30" s="6"/>
      <x:c r="C30" s="6"/>
      <x:c r="D30" s="6"/>
      <x:c r="E30" s="6"/>
      <x:c r="F30" s="7"/>
      <x:c r="G30" s="7"/>
      <x:c r="H30" s="6"/>
      <x:c r="I30" s="15"/>
      <x:c r="J30" s="7"/>
      <x:c r="K30" s="6"/>
      <x:c r="L30" s="6"/>
      <x:c r="M30" s="2" t="str">
        <x:f>IF(A30="","",IF(NOT(ISNUMBER(I30)),"Eksik ilerleme",IF(I30=1,"Tamamlandı",IF(G30&lt;'Panel'!$N$5,"Gecikmiş",IF(I30&gt;0,"Devam ediyor","Başlamadı")))))</x:f>
      </x:c>
      <x:c r="N30" s="16" t="str">
        <x:f>IF(A30="","",IF(OR(F30="",G30="",G30&lt;F30),"Eksik tarih",MAX(0,MIN(1,('Panel'!$N$5-F30+1)/(G30-F30+1)))))</x:f>
      </x:c>
      <x:c r="O30" s="2" t="str">
        <x:f>IF(A30="","",IF(OR(NOT(ISNUMBER(H30)),NOT(ISNUMBER(I30))),"Eksik ilerleme",H30*I30))</x:f>
      </x:c>
      <x:c r="P30" s="2" t="str">
        <x:f>IF(A30="","",IF(OR(H30="",NOT(ISNUMBER(N30))),"Eksik plan",H30*N30))</x:f>
      </x:c>
      <x:c r="Q30" s="2" t="str">
        <x:f>IF(A30="","",IF(J30="","Eksik bitiş",J30-G30))</x:f>
      </x:c>
      <x:c r="R30" s="6"/>
      <x:c r="S30" s="2" t="str">
        <x:f>IF(AND(A30&lt;&gt;"",B30='Panel'!$C$5),COUNTIFS($B$7:B30,B30,$A$7:A30,"&lt;&gt;"),"")</x:f>
      </x:c>
    </x:row>
    <x:row r="31" ht="22" customHeight="1">
      <x:c r="A31" s="6"/>
      <x:c r="B31" s="6"/>
      <x:c r="C31" s="6"/>
      <x:c r="D31" s="6"/>
      <x:c r="E31" s="6"/>
      <x:c r="F31" s="7"/>
      <x:c r="G31" s="7"/>
      <x:c r="H31" s="6"/>
      <x:c r="I31" s="15"/>
      <x:c r="J31" s="7"/>
      <x:c r="K31" s="6"/>
      <x:c r="L31" s="6"/>
      <x:c r="M31" s="2" t="str">
        <x:f>IF(A31="","",IF(NOT(ISNUMBER(I31)),"Eksik ilerleme",IF(I31=1,"Tamamlandı",IF(G31&lt;'Panel'!$N$5,"Gecikmiş",IF(I31&gt;0,"Devam ediyor","Başlamadı")))))</x:f>
      </x:c>
      <x:c r="N31" s="16" t="str">
        <x:f>IF(A31="","",IF(OR(F31="",G31="",G31&lt;F31),"Eksik tarih",MAX(0,MIN(1,('Panel'!$N$5-F31+1)/(G31-F31+1)))))</x:f>
      </x:c>
      <x:c r="O31" s="2" t="str">
        <x:f>IF(A31="","",IF(OR(NOT(ISNUMBER(H31)),NOT(ISNUMBER(I31))),"Eksik ilerleme",H31*I31))</x:f>
      </x:c>
      <x:c r="P31" s="2" t="str">
        <x:f>IF(A31="","",IF(OR(H31="",NOT(ISNUMBER(N31))),"Eksik plan",H31*N31))</x:f>
      </x:c>
      <x:c r="Q31" s="2" t="str">
        <x:f>IF(A31="","",IF(J31="","Eksik bitiş",J31-G31))</x:f>
      </x:c>
      <x:c r="R31" s="6"/>
      <x:c r="S31" s="2" t="str">
        <x:f>IF(AND(A31&lt;&gt;"",B31='Panel'!$C$5),COUNTIFS($B$7:B31,B31,$A$7:A31,"&lt;&gt;"),"")</x:f>
      </x:c>
    </x:row>
    <x:row r="32" ht="22" customHeight="1">
      <x:c r="A32" s="6"/>
      <x:c r="B32" s="6"/>
      <x:c r="C32" s="6"/>
      <x:c r="D32" s="6"/>
      <x:c r="E32" s="6"/>
      <x:c r="F32" s="7"/>
      <x:c r="G32" s="7"/>
      <x:c r="H32" s="6"/>
      <x:c r="I32" s="15"/>
      <x:c r="J32" s="7"/>
      <x:c r="K32" s="6"/>
      <x:c r="L32" s="6"/>
      <x:c r="M32" s="2" t="str">
        <x:f>IF(A32="","",IF(NOT(ISNUMBER(I32)),"Eksik ilerleme",IF(I32=1,"Tamamlandı",IF(G32&lt;'Panel'!$N$5,"Gecikmiş",IF(I32&gt;0,"Devam ediyor","Başlamadı")))))</x:f>
      </x:c>
      <x:c r="N32" s="16" t="str">
        <x:f>IF(A32="","",IF(OR(F32="",G32="",G32&lt;F32),"Eksik tarih",MAX(0,MIN(1,('Panel'!$N$5-F32+1)/(G32-F32+1)))))</x:f>
      </x:c>
      <x:c r="O32" s="2" t="str">
        <x:f>IF(A32="","",IF(OR(NOT(ISNUMBER(H32)),NOT(ISNUMBER(I32))),"Eksik ilerleme",H32*I32))</x:f>
      </x:c>
      <x:c r="P32" s="2" t="str">
        <x:f>IF(A32="","",IF(OR(H32="",NOT(ISNUMBER(N32))),"Eksik plan",H32*N32))</x:f>
      </x:c>
      <x:c r="Q32" s="2" t="str">
        <x:f>IF(A32="","",IF(J32="","Eksik bitiş",J32-G32))</x:f>
      </x:c>
      <x:c r="R32" s="6"/>
      <x:c r="S32" s="2" t="str">
        <x:f>IF(AND(A32&lt;&gt;"",B32='Panel'!$C$5),COUNTIFS($B$7:B32,B32,$A$7:A32,"&lt;&gt;"),"")</x:f>
      </x:c>
    </x:row>
    <x:row r="33" ht="22" customHeight="1">
      <x:c r="A33" s="6"/>
      <x:c r="B33" s="6"/>
      <x:c r="C33" s="6"/>
      <x:c r="D33" s="6"/>
      <x:c r="E33" s="6"/>
      <x:c r="F33" s="7"/>
      <x:c r="G33" s="7"/>
      <x:c r="H33" s="6"/>
      <x:c r="I33" s="15"/>
      <x:c r="J33" s="7"/>
      <x:c r="K33" s="6"/>
      <x:c r="L33" s="6"/>
      <x:c r="M33" s="2" t="str">
        <x:f>IF(A33="","",IF(NOT(ISNUMBER(I33)),"Eksik ilerleme",IF(I33=1,"Tamamlandı",IF(G33&lt;'Panel'!$N$5,"Gecikmiş",IF(I33&gt;0,"Devam ediyor","Başlamadı")))))</x:f>
      </x:c>
      <x:c r="N33" s="16" t="str">
        <x:f>IF(A33="","",IF(OR(F33="",G33="",G33&lt;F33),"Eksik tarih",MAX(0,MIN(1,('Panel'!$N$5-F33+1)/(G33-F33+1)))))</x:f>
      </x:c>
      <x:c r="O33" s="2" t="str">
        <x:f>IF(A33="","",IF(OR(NOT(ISNUMBER(H33)),NOT(ISNUMBER(I33))),"Eksik ilerleme",H33*I33))</x:f>
      </x:c>
      <x:c r="P33" s="2" t="str">
        <x:f>IF(A33="","",IF(OR(H33="",NOT(ISNUMBER(N33))),"Eksik plan",H33*N33))</x:f>
      </x:c>
      <x:c r="Q33" s="2" t="str">
        <x:f>IF(A33="","",IF(J33="","Eksik bitiş",J33-G33))</x:f>
      </x:c>
      <x:c r="R33" s="6"/>
      <x:c r="S33" s="2" t="str">
        <x:f>IF(AND(A33&lt;&gt;"",B33='Panel'!$C$5),COUNTIFS($B$7:B33,B33,$A$7:A33,"&lt;&gt;"),"")</x:f>
      </x:c>
    </x:row>
    <x:row r="34" ht="22" customHeight="1">
      <x:c r="A34" s="6"/>
      <x:c r="B34" s="6"/>
      <x:c r="C34" s="6"/>
      <x:c r="D34" s="6"/>
      <x:c r="E34" s="6"/>
      <x:c r="F34" s="7"/>
      <x:c r="G34" s="7"/>
      <x:c r="H34" s="6"/>
      <x:c r="I34" s="15"/>
      <x:c r="J34" s="7"/>
      <x:c r="K34" s="6"/>
      <x:c r="L34" s="6"/>
      <x:c r="M34" s="2" t="str">
        <x:f>IF(A34="","",IF(NOT(ISNUMBER(I34)),"Eksik ilerleme",IF(I34=1,"Tamamlandı",IF(G34&lt;'Panel'!$N$5,"Gecikmiş",IF(I34&gt;0,"Devam ediyor","Başlamadı")))))</x:f>
      </x:c>
      <x:c r="N34" s="16" t="str">
        <x:f>IF(A34="","",IF(OR(F34="",G34="",G34&lt;F34),"Eksik tarih",MAX(0,MIN(1,('Panel'!$N$5-F34+1)/(G34-F34+1)))))</x:f>
      </x:c>
      <x:c r="O34" s="2" t="str">
        <x:f>IF(A34="","",IF(OR(NOT(ISNUMBER(H34)),NOT(ISNUMBER(I34))),"Eksik ilerleme",H34*I34))</x:f>
      </x:c>
      <x:c r="P34" s="2" t="str">
        <x:f>IF(A34="","",IF(OR(H34="",NOT(ISNUMBER(N34))),"Eksik plan",H34*N34))</x:f>
      </x:c>
      <x:c r="Q34" s="2" t="str">
        <x:f>IF(A34="","",IF(J34="","Eksik bitiş",J34-G34))</x:f>
      </x:c>
      <x:c r="R34" s="6"/>
      <x:c r="S34" s="2" t="str">
        <x:f>IF(AND(A34&lt;&gt;"",B34='Panel'!$C$5),COUNTIFS($B$7:B34,B34,$A$7:A34,"&lt;&gt;"),"")</x:f>
      </x:c>
    </x:row>
    <x:row r="35" ht="22" customHeight="1">
      <x:c r="A35" s="6"/>
      <x:c r="B35" s="6"/>
      <x:c r="C35" s="6"/>
      <x:c r="D35" s="6"/>
      <x:c r="E35" s="6"/>
      <x:c r="F35" s="7"/>
      <x:c r="G35" s="7"/>
      <x:c r="H35" s="6"/>
      <x:c r="I35" s="15"/>
      <x:c r="J35" s="7"/>
      <x:c r="K35" s="6"/>
      <x:c r="L35" s="6"/>
      <x:c r="M35" s="2" t="str">
        <x:f>IF(A35="","",IF(NOT(ISNUMBER(I35)),"Eksik ilerleme",IF(I35=1,"Tamamlandı",IF(G35&lt;'Panel'!$N$5,"Gecikmiş",IF(I35&gt;0,"Devam ediyor","Başlamadı")))))</x:f>
      </x:c>
      <x:c r="N35" s="16" t="str">
        <x:f>IF(A35="","",IF(OR(F35="",G35="",G35&lt;F35),"Eksik tarih",MAX(0,MIN(1,('Panel'!$N$5-F35+1)/(G35-F35+1)))))</x:f>
      </x:c>
      <x:c r="O35" s="2" t="str">
        <x:f>IF(A35="","",IF(OR(NOT(ISNUMBER(H35)),NOT(ISNUMBER(I35))),"Eksik ilerleme",H35*I35))</x:f>
      </x:c>
      <x:c r="P35" s="2" t="str">
        <x:f>IF(A35="","",IF(OR(H35="",NOT(ISNUMBER(N35))),"Eksik plan",H35*N35))</x:f>
      </x:c>
      <x:c r="Q35" s="2" t="str">
        <x:f>IF(A35="","",IF(J35="","Eksik bitiş",J35-G35))</x:f>
      </x:c>
      <x:c r="R35" s="6"/>
      <x:c r="S35" s="2" t="str">
        <x:f>IF(AND(A35&lt;&gt;"",B35='Panel'!$C$5),COUNTIFS($B$7:B35,B35,$A$7:A35,"&lt;&gt;"),"")</x:f>
      </x:c>
    </x:row>
    <x:row r="36" ht="22" customHeight="1">
      <x:c r="A36" s="6"/>
      <x:c r="B36" s="6"/>
      <x:c r="C36" s="6"/>
      <x:c r="D36" s="6"/>
      <x:c r="E36" s="6"/>
      <x:c r="F36" s="7"/>
      <x:c r="G36" s="7"/>
      <x:c r="H36" s="6"/>
      <x:c r="I36" s="15"/>
      <x:c r="J36" s="7"/>
      <x:c r="K36" s="6"/>
      <x:c r="L36" s="6"/>
      <x:c r="M36" s="2" t="str">
        <x:f>IF(A36="","",IF(NOT(ISNUMBER(I36)),"Eksik ilerleme",IF(I36=1,"Tamamlandı",IF(G36&lt;'Panel'!$N$5,"Gecikmiş",IF(I36&gt;0,"Devam ediyor","Başlamadı")))))</x:f>
      </x:c>
      <x:c r="N36" s="16" t="str">
        <x:f>IF(A36="","",IF(OR(F36="",G36="",G36&lt;F36),"Eksik tarih",MAX(0,MIN(1,('Panel'!$N$5-F36+1)/(G36-F36+1)))))</x:f>
      </x:c>
      <x:c r="O36" s="2" t="str">
        <x:f>IF(A36="","",IF(OR(NOT(ISNUMBER(H36)),NOT(ISNUMBER(I36))),"Eksik ilerleme",H36*I36))</x:f>
      </x:c>
      <x:c r="P36" s="2" t="str">
        <x:f>IF(A36="","",IF(OR(H36="",NOT(ISNUMBER(N36))),"Eksik plan",H36*N36))</x:f>
      </x:c>
      <x:c r="Q36" s="2" t="str">
        <x:f>IF(A36="","",IF(J36="","Eksik bitiş",J36-G36))</x:f>
      </x:c>
      <x:c r="R36" s="6"/>
      <x:c r="S36" s="2" t="str">
        <x:f>IF(AND(A36&lt;&gt;"",B36='Panel'!$C$5),COUNTIFS($B$7:B36,B36,$A$7:A36,"&lt;&gt;"),"")</x:f>
      </x:c>
    </x:row>
    <x:row r="37" ht="22" customHeight="1">
      <x:c r="A37" s="6"/>
      <x:c r="B37" s="6"/>
      <x:c r="C37" s="6"/>
      <x:c r="D37" s="6"/>
      <x:c r="E37" s="6"/>
      <x:c r="F37" s="7"/>
      <x:c r="G37" s="7"/>
      <x:c r="H37" s="6"/>
      <x:c r="I37" s="15"/>
      <x:c r="J37" s="7"/>
      <x:c r="K37" s="6"/>
      <x:c r="L37" s="6"/>
      <x:c r="M37" s="2" t="str">
        <x:f>IF(A37="","",IF(NOT(ISNUMBER(I37)),"Eksik ilerleme",IF(I37=1,"Tamamlandı",IF(G37&lt;'Panel'!$N$5,"Gecikmiş",IF(I37&gt;0,"Devam ediyor","Başlamadı")))))</x:f>
      </x:c>
      <x:c r="N37" s="16" t="str">
        <x:f>IF(A37="","",IF(OR(F37="",G37="",G37&lt;F37),"Eksik tarih",MAX(0,MIN(1,('Panel'!$N$5-F37+1)/(G37-F37+1)))))</x:f>
      </x:c>
      <x:c r="O37" s="2" t="str">
        <x:f>IF(A37="","",IF(OR(NOT(ISNUMBER(H37)),NOT(ISNUMBER(I37))),"Eksik ilerleme",H37*I37))</x:f>
      </x:c>
      <x:c r="P37" s="2" t="str">
        <x:f>IF(A37="","",IF(OR(H37="",NOT(ISNUMBER(N37))),"Eksik plan",H37*N37))</x:f>
      </x:c>
      <x:c r="Q37" s="2" t="str">
        <x:f>IF(A37="","",IF(J37="","Eksik bitiş",J37-G37))</x:f>
      </x:c>
      <x:c r="R37" s="6"/>
      <x:c r="S37" s="2" t="str">
        <x:f>IF(AND(A37&lt;&gt;"",B37='Panel'!$C$5),COUNTIFS($B$7:B37,B37,$A$7:A37,"&lt;&gt;"),"")</x:f>
      </x:c>
    </x:row>
    <x:row r="38" ht="22" customHeight="1">
      <x:c r="A38" s="6"/>
      <x:c r="B38" s="6"/>
      <x:c r="C38" s="6"/>
      <x:c r="D38" s="6"/>
      <x:c r="E38" s="6"/>
      <x:c r="F38" s="7"/>
      <x:c r="G38" s="7"/>
      <x:c r="H38" s="6"/>
      <x:c r="I38" s="15"/>
      <x:c r="J38" s="7"/>
      <x:c r="K38" s="6"/>
      <x:c r="L38" s="6"/>
      <x:c r="M38" s="2" t="str">
        <x:f>IF(A38="","",IF(NOT(ISNUMBER(I38)),"Eksik ilerleme",IF(I38=1,"Tamamlandı",IF(G38&lt;'Panel'!$N$5,"Gecikmiş",IF(I38&gt;0,"Devam ediyor","Başlamadı")))))</x:f>
      </x:c>
      <x:c r="N38" s="16" t="str">
        <x:f>IF(A38="","",IF(OR(F38="",G38="",G38&lt;F38),"Eksik tarih",MAX(0,MIN(1,('Panel'!$N$5-F38+1)/(G38-F38+1)))))</x:f>
      </x:c>
      <x:c r="O38" s="2" t="str">
        <x:f>IF(A38="","",IF(OR(NOT(ISNUMBER(H38)),NOT(ISNUMBER(I38))),"Eksik ilerleme",H38*I38))</x:f>
      </x:c>
      <x:c r="P38" s="2" t="str">
        <x:f>IF(A38="","",IF(OR(H38="",NOT(ISNUMBER(N38))),"Eksik plan",H38*N38))</x:f>
      </x:c>
      <x:c r="Q38" s="2" t="str">
        <x:f>IF(A38="","",IF(J38="","Eksik bitiş",J38-G38))</x:f>
      </x:c>
      <x:c r="R38" s="6"/>
      <x:c r="S38" s="2" t="str">
        <x:f>IF(AND(A38&lt;&gt;"",B38='Panel'!$C$5),COUNTIFS($B$7:B38,B38,$A$7:A38,"&lt;&gt;"),"")</x:f>
      </x:c>
    </x:row>
    <x:row r="39" ht="22" customHeight="1">
      <x:c r="A39" s="6"/>
      <x:c r="B39" s="6"/>
      <x:c r="C39" s="6"/>
      <x:c r="D39" s="6"/>
      <x:c r="E39" s="6"/>
      <x:c r="F39" s="7"/>
      <x:c r="G39" s="7"/>
      <x:c r="H39" s="6"/>
      <x:c r="I39" s="15"/>
      <x:c r="J39" s="7"/>
      <x:c r="K39" s="6"/>
      <x:c r="L39" s="6"/>
      <x:c r="M39" s="2" t="str">
        <x:f>IF(A39="","",IF(NOT(ISNUMBER(I39)),"Eksik ilerleme",IF(I39=1,"Tamamlandı",IF(G39&lt;'Panel'!$N$5,"Gecikmiş",IF(I39&gt;0,"Devam ediyor","Başlamadı")))))</x:f>
      </x:c>
      <x:c r="N39" s="16" t="str">
        <x:f>IF(A39="","",IF(OR(F39="",G39="",G39&lt;F39),"Eksik tarih",MAX(0,MIN(1,('Panel'!$N$5-F39+1)/(G39-F39+1)))))</x:f>
      </x:c>
      <x:c r="O39" s="2" t="str">
        <x:f>IF(A39="","",IF(OR(NOT(ISNUMBER(H39)),NOT(ISNUMBER(I39))),"Eksik ilerleme",H39*I39))</x:f>
      </x:c>
      <x:c r="P39" s="2" t="str">
        <x:f>IF(A39="","",IF(OR(H39="",NOT(ISNUMBER(N39))),"Eksik plan",H39*N39))</x:f>
      </x:c>
      <x:c r="Q39" s="2" t="str">
        <x:f>IF(A39="","",IF(J39="","Eksik bitiş",J39-G39))</x:f>
      </x:c>
      <x:c r="R39" s="6"/>
      <x:c r="S39" s="2" t="str">
        <x:f>IF(AND(A39&lt;&gt;"",B39='Panel'!$C$5),COUNTIFS($B$7:B39,B39,$A$7:A39,"&lt;&gt;"),"")</x:f>
      </x:c>
    </x:row>
    <x:row r="40" ht="22" customHeight="1">
      <x:c r="A40" s="6"/>
      <x:c r="B40" s="6"/>
      <x:c r="C40" s="6"/>
      <x:c r="D40" s="6"/>
      <x:c r="E40" s="6"/>
      <x:c r="F40" s="7"/>
      <x:c r="G40" s="7"/>
      <x:c r="H40" s="6"/>
      <x:c r="I40" s="15"/>
      <x:c r="J40" s="7"/>
      <x:c r="K40" s="6"/>
      <x:c r="L40" s="6"/>
      <x:c r="M40" s="2" t="str">
        <x:f>IF(A40="","",IF(NOT(ISNUMBER(I40)),"Eksik ilerleme",IF(I40=1,"Tamamlandı",IF(G40&lt;'Panel'!$N$5,"Gecikmiş",IF(I40&gt;0,"Devam ediyor","Başlamadı")))))</x:f>
      </x:c>
      <x:c r="N40" s="16" t="str">
        <x:f>IF(A40="","",IF(OR(F40="",G40="",G40&lt;F40),"Eksik tarih",MAX(0,MIN(1,('Panel'!$N$5-F40+1)/(G40-F40+1)))))</x:f>
      </x:c>
      <x:c r="O40" s="2" t="str">
        <x:f>IF(A40="","",IF(OR(NOT(ISNUMBER(H40)),NOT(ISNUMBER(I40))),"Eksik ilerleme",H40*I40))</x:f>
      </x:c>
      <x:c r="P40" s="2" t="str">
        <x:f>IF(A40="","",IF(OR(H40="",NOT(ISNUMBER(N40))),"Eksik plan",H40*N40))</x:f>
      </x:c>
      <x:c r="Q40" s="2" t="str">
        <x:f>IF(A40="","",IF(J40="","Eksik bitiş",J40-G40))</x:f>
      </x:c>
      <x:c r="R40" s="6"/>
      <x:c r="S40" s="2" t="str">
        <x:f>IF(AND(A40&lt;&gt;"",B40='Panel'!$C$5),COUNTIFS($B$7:B40,B40,$A$7:A40,"&lt;&gt;"),"")</x:f>
      </x:c>
    </x:row>
    <x:row r="41" ht="22" customHeight="1">
      <x:c r="A41" s="6"/>
      <x:c r="B41" s="6"/>
      <x:c r="C41" s="6"/>
      <x:c r="D41" s="6"/>
      <x:c r="E41" s="6"/>
      <x:c r="F41" s="7"/>
      <x:c r="G41" s="7"/>
      <x:c r="H41" s="6"/>
      <x:c r="I41" s="15"/>
      <x:c r="J41" s="7"/>
      <x:c r="K41" s="6"/>
      <x:c r="L41" s="6"/>
      <x:c r="M41" s="2" t="str">
        <x:f>IF(A41="","",IF(NOT(ISNUMBER(I41)),"Eksik ilerleme",IF(I41=1,"Tamamlandı",IF(G41&lt;'Panel'!$N$5,"Gecikmiş",IF(I41&gt;0,"Devam ediyor","Başlamadı")))))</x:f>
      </x:c>
      <x:c r="N41" s="16" t="str">
        <x:f>IF(A41="","",IF(OR(F41="",G41="",G41&lt;F41),"Eksik tarih",MAX(0,MIN(1,('Panel'!$N$5-F41+1)/(G41-F41+1)))))</x:f>
      </x:c>
      <x:c r="O41" s="2" t="str">
        <x:f>IF(A41="","",IF(OR(NOT(ISNUMBER(H41)),NOT(ISNUMBER(I41))),"Eksik ilerleme",H41*I41))</x:f>
      </x:c>
      <x:c r="P41" s="2" t="str">
        <x:f>IF(A41="","",IF(OR(H41="",NOT(ISNUMBER(N41))),"Eksik plan",H41*N41))</x:f>
      </x:c>
      <x:c r="Q41" s="2" t="str">
        <x:f>IF(A41="","",IF(J41="","Eksik bitiş",J41-G41))</x:f>
      </x:c>
      <x:c r="R41" s="6"/>
      <x:c r="S41" s="2" t="str">
        <x:f>IF(AND(A41&lt;&gt;"",B41='Panel'!$C$5),COUNTIFS($B$7:B41,B41,$A$7:A41,"&lt;&gt;"),"")</x:f>
      </x:c>
    </x:row>
    <x:row r="42" ht="22" customHeight="1">
      <x:c r="A42" s="6"/>
      <x:c r="B42" s="6"/>
      <x:c r="C42" s="6"/>
      <x:c r="D42" s="6"/>
      <x:c r="E42" s="6"/>
      <x:c r="F42" s="7"/>
      <x:c r="G42" s="7"/>
      <x:c r="H42" s="6"/>
      <x:c r="I42" s="15"/>
      <x:c r="J42" s="7"/>
      <x:c r="K42" s="6"/>
      <x:c r="L42" s="6"/>
      <x:c r="M42" s="2" t="str">
        <x:f>IF(A42="","",IF(NOT(ISNUMBER(I42)),"Eksik ilerleme",IF(I42=1,"Tamamlandı",IF(G42&lt;'Panel'!$N$5,"Gecikmiş",IF(I42&gt;0,"Devam ediyor","Başlamadı")))))</x:f>
      </x:c>
      <x:c r="N42" s="16" t="str">
        <x:f>IF(A42="","",IF(OR(F42="",G42="",G42&lt;F42),"Eksik tarih",MAX(0,MIN(1,('Panel'!$N$5-F42+1)/(G42-F42+1)))))</x:f>
      </x:c>
      <x:c r="O42" s="2" t="str">
        <x:f>IF(A42="","",IF(OR(NOT(ISNUMBER(H42)),NOT(ISNUMBER(I42))),"Eksik ilerleme",H42*I42))</x:f>
      </x:c>
      <x:c r="P42" s="2" t="str">
        <x:f>IF(A42="","",IF(OR(H42="",NOT(ISNUMBER(N42))),"Eksik plan",H42*N42))</x:f>
      </x:c>
      <x:c r="Q42" s="2" t="str">
        <x:f>IF(A42="","",IF(J42="","Eksik bitiş",J42-G42))</x:f>
      </x:c>
      <x:c r="R42" s="6"/>
      <x:c r="S42" s="2" t="str">
        <x:f>IF(AND(A42&lt;&gt;"",B42='Panel'!$C$5),COUNTIFS($B$7:B42,B42,$A$7:A42,"&lt;&gt;"),"")</x:f>
      </x:c>
    </x:row>
    <x:row r="43" ht="22" customHeight="1">
      <x:c r="A43" s="6"/>
      <x:c r="B43" s="6"/>
      <x:c r="C43" s="6"/>
      <x:c r="D43" s="6"/>
      <x:c r="E43" s="6"/>
      <x:c r="F43" s="7"/>
      <x:c r="G43" s="7"/>
      <x:c r="H43" s="6"/>
      <x:c r="I43" s="15"/>
      <x:c r="J43" s="7"/>
      <x:c r="K43" s="6"/>
      <x:c r="L43" s="6"/>
      <x:c r="M43" s="2" t="str">
        <x:f>IF(A43="","",IF(NOT(ISNUMBER(I43)),"Eksik ilerleme",IF(I43=1,"Tamamlandı",IF(G43&lt;'Panel'!$N$5,"Gecikmiş",IF(I43&gt;0,"Devam ediyor","Başlamadı")))))</x:f>
      </x:c>
      <x:c r="N43" s="16" t="str">
        <x:f>IF(A43="","",IF(OR(F43="",G43="",G43&lt;F43),"Eksik tarih",MAX(0,MIN(1,('Panel'!$N$5-F43+1)/(G43-F43+1)))))</x:f>
      </x:c>
      <x:c r="O43" s="2" t="str">
        <x:f>IF(A43="","",IF(OR(NOT(ISNUMBER(H43)),NOT(ISNUMBER(I43))),"Eksik ilerleme",H43*I43))</x:f>
      </x:c>
      <x:c r="P43" s="2" t="str">
        <x:f>IF(A43="","",IF(OR(H43="",NOT(ISNUMBER(N43))),"Eksik plan",H43*N43))</x:f>
      </x:c>
      <x:c r="Q43" s="2" t="str">
        <x:f>IF(A43="","",IF(J43="","Eksik bitiş",J43-G43))</x:f>
      </x:c>
      <x:c r="R43" s="6"/>
      <x:c r="S43" s="2" t="str">
        <x:f>IF(AND(A43&lt;&gt;"",B43='Panel'!$C$5),COUNTIFS($B$7:B43,B43,$A$7:A43,"&lt;&gt;"),"")</x:f>
      </x:c>
    </x:row>
    <x:row r="44" ht="22" customHeight="1">
      <x:c r="A44" s="6"/>
      <x:c r="B44" s="6"/>
      <x:c r="C44" s="6"/>
      <x:c r="D44" s="6"/>
      <x:c r="E44" s="6"/>
      <x:c r="F44" s="7"/>
      <x:c r="G44" s="7"/>
      <x:c r="H44" s="6"/>
      <x:c r="I44" s="15"/>
      <x:c r="J44" s="7"/>
      <x:c r="K44" s="6"/>
      <x:c r="L44" s="6"/>
      <x:c r="M44" s="2" t="str">
        <x:f>IF(A44="","",IF(NOT(ISNUMBER(I44)),"Eksik ilerleme",IF(I44=1,"Tamamlandı",IF(G44&lt;'Panel'!$N$5,"Gecikmiş",IF(I44&gt;0,"Devam ediyor","Başlamadı")))))</x:f>
      </x:c>
      <x:c r="N44" s="16" t="str">
        <x:f>IF(A44="","",IF(OR(F44="",G44="",G44&lt;F44),"Eksik tarih",MAX(0,MIN(1,('Panel'!$N$5-F44+1)/(G44-F44+1)))))</x:f>
      </x:c>
      <x:c r="O44" s="2" t="str">
        <x:f>IF(A44="","",IF(OR(NOT(ISNUMBER(H44)),NOT(ISNUMBER(I44))),"Eksik ilerleme",H44*I44))</x:f>
      </x:c>
      <x:c r="P44" s="2" t="str">
        <x:f>IF(A44="","",IF(OR(H44="",NOT(ISNUMBER(N44))),"Eksik plan",H44*N44))</x:f>
      </x:c>
      <x:c r="Q44" s="2" t="str">
        <x:f>IF(A44="","",IF(J44="","Eksik bitiş",J44-G44))</x:f>
      </x:c>
      <x:c r="R44" s="6"/>
      <x:c r="S44" s="2" t="str">
        <x:f>IF(AND(A44&lt;&gt;"",B44='Panel'!$C$5),COUNTIFS($B$7:B44,B44,$A$7:A44,"&lt;&gt;"),"")</x:f>
      </x:c>
    </x:row>
    <x:row r="45" ht="22" customHeight="1">
      <x:c r="A45" s="6"/>
      <x:c r="B45" s="6"/>
      <x:c r="C45" s="6"/>
      <x:c r="D45" s="6"/>
      <x:c r="E45" s="6"/>
      <x:c r="F45" s="7"/>
      <x:c r="G45" s="7"/>
      <x:c r="H45" s="6"/>
      <x:c r="I45" s="15"/>
      <x:c r="J45" s="7"/>
      <x:c r="K45" s="6"/>
      <x:c r="L45" s="6"/>
      <x:c r="M45" s="2" t="str">
        <x:f>IF(A45="","",IF(NOT(ISNUMBER(I45)),"Eksik ilerleme",IF(I45=1,"Tamamlandı",IF(G45&lt;'Panel'!$N$5,"Gecikmiş",IF(I45&gt;0,"Devam ediyor","Başlamadı")))))</x:f>
      </x:c>
      <x:c r="N45" s="16" t="str">
        <x:f>IF(A45="","",IF(OR(F45="",G45="",G45&lt;F45),"Eksik tarih",MAX(0,MIN(1,('Panel'!$N$5-F45+1)/(G45-F45+1)))))</x:f>
      </x:c>
      <x:c r="O45" s="2" t="str">
        <x:f>IF(A45="","",IF(OR(NOT(ISNUMBER(H45)),NOT(ISNUMBER(I45))),"Eksik ilerleme",H45*I45))</x:f>
      </x:c>
      <x:c r="P45" s="2" t="str">
        <x:f>IF(A45="","",IF(OR(H45="",NOT(ISNUMBER(N45))),"Eksik plan",H45*N45))</x:f>
      </x:c>
      <x:c r="Q45" s="2" t="str">
        <x:f>IF(A45="","",IF(J45="","Eksik bitiş",J45-G45))</x:f>
      </x:c>
      <x:c r="R45" s="6"/>
      <x:c r="S45" s="2" t="str">
        <x:f>IF(AND(A45&lt;&gt;"",B45='Panel'!$C$5),COUNTIFS($B$7:B45,B45,$A$7:A45,"&lt;&gt;"),"")</x:f>
      </x:c>
    </x:row>
    <x:row r="46" ht="22" customHeight="1">
      <x:c r="A46" s="6"/>
      <x:c r="B46" s="6"/>
      <x:c r="C46" s="6"/>
      <x:c r="D46" s="6"/>
      <x:c r="E46" s="6"/>
      <x:c r="F46" s="7"/>
      <x:c r="G46" s="7"/>
      <x:c r="H46" s="6"/>
      <x:c r="I46" s="15"/>
      <x:c r="J46" s="7"/>
      <x:c r="K46" s="6"/>
      <x:c r="L46" s="6"/>
      <x:c r="M46" s="2" t="str">
        <x:f>IF(A46="","",IF(NOT(ISNUMBER(I46)),"Eksik ilerleme",IF(I46=1,"Tamamlandı",IF(G46&lt;'Panel'!$N$5,"Gecikmiş",IF(I46&gt;0,"Devam ediyor","Başlamadı")))))</x:f>
      </x:c>
      <x:c r="N46" s="16" t="str">
        <x:f>IF(A46="","",IF(OR(F46="",G46="",G46&lt;F46),"Eksik tarih",MAX(0,MIN(1,('Panel'!$N$5-F46+1)/(G46-F46+1)))))</x:f>
      </x:c>
      <x:c r="O46" s="2" t="str">
        <x:f>IF(A46="","",IF(OR(NOT(ISNUMBER(H46)),NOT(ISNUMBER(I46))),"Eksik ilerleme",H46*I46))</x:f>
      </x:c>
      <x:c r="P46" s="2" t="str">
        <x:f>IF(A46="","",IF(OR(H46="",NOT(ISNUMBER(N46))),"Eksik plan",H46*N46))</x:f>
      </x:c>
      <x:c r="Q46" s="2" t="str">
        <x:f>IF(A46="","",IF(J46="","Eksik bitiş",J46-G46))</x:f>
      </x:c>
      <x:c r="R46" s="6"/>
      <x:c r="S46" s="2" t="str">
        <x:f>IF(AND(A46&lt;&gt;"",B46='Panel'!$C$5),COUNTIFS($B$7:B46,B46,$A$7:A46,"&lt;&gt;"),"")</x:f>
      </x:c>
    </x:row>
    <x:row r="47" ht="22" customHeight="1">
      <x:c r="A47" s="6"/>
      <x:c r="B47" s="6"/>
      <x:c r="C47" s="6"/>
      <x:c r="D47" s="6"/>
      <x:c r="E47" s="6"/>
      <x:c r="F47" s="7"/>
      <x:c r="G47" s="7"/>
      <x:c r="H47" s="6"/>
      <x:c r="I47" s="15"/>
      <x:c r="J47" s="7"/>
      <x:c r="K47" s="6"/>
      <x:c r="L47" s="6"/>
      <x:c r="M47" s="2" t="str">
        <x:f>IF(A47="","",IF(NOT(ISNUMBER(I47)),"Eksik ilerleme",IF(I47=1,"Tamamlandı",IF(G47&lt;'Panel'!$N$5,"Gecikmiş",IF(I47&gt;0,"Devam ediyor","Başlamadı")))))</x:f>
      </x:c>
      <x:c r="N47" s="16" t="str">
        <x:f>IF(A47="","",IF(OR(F47="",G47="",G47&lt;F47),"Eksik tarih",MAX(0,MIN(1,('Panel'!$N$5-F47+1)/(G47-F47+1)))))</x:f>
      </x:c>
      <x:c r="O47" s="2" t="str">
        <x:f>IF(A47="","",IF(OR(NOT(ISNUMBER(H47)),NOT(ISNUMBER(I47))),"Eksik ilerleme",H47*I47))</x:f>
      </x:c>
      <x:c r="P47" s="2" t="str">
        <x:f>IF(A47="","",IF(OR(H47="",NOT(ISNUMBER(N47))),"Eksik plan",H47*N47))</x:f>
      </x:c>
      <x:c r="Q47" s="2" t="str">
        <x:f>IF(A47="","",IF(J47="","Eksik bitiş",J47-G47))</x:f>
      </x:c>
      <x:c r="R47" s="6"/>
      <x:c r="S47" s="2" t="str">
        <x:f>IF(AND(A47&lt;&gt;"",B47='Panel'!$C$5),COUNTIFS($B$7:B47,B47,$A$7:A47,"&lt;&gt;"),"")</x:f>
      </x:c>
    </x:row>
    <x:row r="48" ht="22" customHeight="1">
      <x:c r="A48" s="6"/>
      <x:c r="B48" s="6"/>
      <x:c r="C48" s="6"/>
      <x:c r="D48" s="6"/>
      <x:c r="E48" s="6"/>
      <x:c r="F48" s="7"/>
      <x:c r="G48" s="7"/>
      <x:c r="H48" s="6"/>
      <x:c r="I48" s="15"/>
      <x:c r="J48" s="7"/>
      <x:c r="K48" s="6"/>
      <x:c r="L48" s="6"/>
      <x:c r="M48" s="2" t="str">
        <x:f>IF(A48="","",IF(NOT(ISNUMBER(I48)),"Eksik ilerleme",IF(I48=1,"Tamamlandı",IF(G48&lt;'Panel'!$N$5,"Gecikmiş",IF(I48&gt;0,"Devam ediyor","Başlamadı")))))</x:f>
      </x:c>
      <x:c r="N48" s="16" t="str">
        <x:f>IF(A48="","",IF(OR(F48="",G48="",G48&lt;F48),"Eksik tarih",MAX(0,MIN(1,('Panel'!$N$5-F48+1)/(G48-F48+1)))))</x:f>
      </x:c>
      <x:c r="O48" s="2" t="str">
        <x:f>IF(A48="","",IF(OR(NOT(ISNUMBER(H48)),NOT(ISNUMBER(I48))),"Eksik ilerleme",H48*I48))</x:f>
      </x:c>
      <x:c r="P48" s="2" t="str">
        <x:f>IF(A48="","",IF(OR(H48="",NOT(ISNUMBER(N48))),"Eksik plan",H48*N48))</x:f>
      </x:c>
      <x:c r="Q48" s="2" t="str">
        <x:f>IF(A48="","",IF(J48="","Eksik bitiş",J48-G48))</x:f>
      </x:c>
      <x:c r="R48" s="6"/>
      <x:c r="S48" s="2" t="str">
        <x:f>IF(AND(A48&lt;&gt;"",B48='Panel'!$C$5),COUNTIFS($B$7:B48,B48,$A$7:A48,"&lt;&gt;"),"")</x:f>
      </x:c>
    </x:row>
    <x:row r="49" ht="22" customHeight="1">
      <x:c r="A49" s="6"/>
      <x:c r="B49" s="6"/>
      <x:c r="C49" s="6"/>
      <x:c r="D49" s="6"/>
      <x:c r="E49" s="6"/>
      <x:c r="F49" s="7"/>
      <x:c r="G49" s="7"/>
      <x:c r="H49" s="6"/>
      <x:c r="I49" s="15"/>
      <x:c r="J49" s="7"/>
      <x:c r="K49" s="6"/>
      <x:c r="L49" s="6"/>
      <x:c r="M49" s="2" t="str">
        <x:f>IF(A49="","",IF(NOT(ISNUMBER(I49)),"Eksik ilerleme",IF(I49=1,"Tamamlandı",IF(G49&lt;'Panel'!$N$5,"Gecikmiş",IF(I49&gt;0,"Devam ediyor","Başlamadı")))))</x:f>
      </x:c>
      <x:c r="N49" s="16" t="str">
        <x:f>IF(A49="","",IF(OR(F49="",G49="",G49&lt;F49),"Eksik tarih",MAX(0,MIN(1,('Panel'!$N$5-F49+1)/(G49-F49+1)))))</x:f>
      </x:c>
      <x:c r="O49" s="2" t="str">
        <x:f>IF(A49="","",IF(OR(NOT(ISNUMBER(H49)),NOT(ISNUMBER(I49))),"Eksik ilerleme",H49*I49))</x:f>
      </x:c>
      <x:c r="P49" s="2" t="str">
        <x:f>IF(A49="","",IF(OR(H49="",NOT(ISNUMBER(N49))),"Eksik plan",H49*N49))</x:f>
      </x:c>
      <x:c r="Q49" s="2" t="str">
        <x:f>IF(A49="","",IF(J49="","Eksik bitiş",J49-G49))</x:f>
      </x:c>
      <x:c r="R49" s="6"/>
      <x:c r="S49" s="2" t="str">
        <x:f>IF(AND(A49&lt;&gt;"",B49='Panel'!$C$5),COUNTIFS($B$7:B49,B49,$A$7:A49,"&lt;&gt;"),"")</x:f>
      </x:c>
    </x:row>
    <x:row r="50" ht="22" customHeight="1">
      <x:c r="A50" s="6"/>
      <x:c r="B50" s="6"/>
      <x:c r="C50" s="6"/>
      <x:c r="D50" s="6"/>
      <x:c r="E50" s="6"/>
      <x:c r="F50" s="7"/>
      <x:c r="G50" s="7"/>
      <x:c r="H50" s="6"/>
      <x:c r="I50" s="15"/>
      <x:c r="J50" s="7"/>
      <x:c r="K50" s="6"/>
      <x:c r="L50" s="6"/>
      <x:c r="M50" s="2" t="str">
        <x:f>IF(A50="","",IF(NOT(ISNUMBER(I50)),"Eksik ilerleme",IF(I50=1,"Tamamlandı",IF(G50&lt;'Panel'!$N$5,"Gecikmiş",IF(I50&gt;0,"Devam ediyor","Başlamadı")))))</x:f>
      </x:c>
      <x:c r="N50" s="16" t="str">
        <x:f>IF(A50="","",IF(OR(F50="",G50="",G50&lt;F50),"Eksik tarih",MAX(0,MIN(1,('Panel'!$N$5-F50+1)/(G50-F50+1)))))</x:f>
      </x:c>
      <x:c r="O50" s="2" t="str">
        <x:f>IF(A50="","",IF(OR(NOT(ISNUMBER(H50)),NOT(ISNUMBER(I50))),"Eksik ilerleme",H50*I50))</x:f>
      </x:c>
      <x:c r="P50" s="2" t="str">
        <x:f>IF(A50="","",IF(OR(H50="",NOT(ISNUMBER(N50))),"Eksik plan",H50*N50))</x:f>
      </x:c>
      <x:c r="Q50" s="2" t="str">
        <x:f>IF(A50="","",IF(J50="","Eksik bitiş",J50-G50))</x:f>
      </x:c>
      <x:c r="R50" s="6"/>
      <x:c r="S50" s="2" t="str">
        <x:f>IF(AND(A50&lt;&gt;"",B50='Panel'!$C$5),COUNTIFS($B$7:B50,B50,$A$7:A50,"&lt;&gt;"),"")</x:f>
      </x:c>
    </x:row>
    <x:row r="51" ht="22" customHeight="1">
      <x:c r="A51" s="6"/>
      <x:c r="B51" s="6"/>
      <x:c r="C51" s="6"/>
      <x:c r="D51" s="6"/>
      <x:c r="E51" s="6"/>
      <x:c r="F51" s="7"/>
      <x:c r="G51" s="7"/>
      <x:c r="H51" s="6"/>
      <x:c r="I51" s="15"/>
      <x:c r="J51" s="7"/>
      <x:c r="K51" s="6"/>
      <x:c r="L51" s="6"/>
      <x:c r="M51" s="2" t="str">
        <x:f>IF(A51="","",IF(NOT(ISNUMBER(I51)),"Eksik ilerleme",IF(I51=1,"Tamamlandı",IF(G51&lt;'Panel'!$N$5,"Gecikmiş",IF(I51&gt;0,"Devam ediyor","Başlamadı")))))</x:f>
      </x:c>
      <x:c r="N51" s="16" t="str">
        <x:f>IF(A51="","",IF(OR(F51="",G51="",G51&lt;F51),"Eksik tarih",MAX(0,MIN(1,('Panel'!$N$5-F51+1)/(G51-F51+1)))))</x:f>
      </x:c>
      <x:c r="O51" s="2" t="str">
        <x:f>IF(A51="","",IF(OR(NOT(ISNUMBER(H51)),NOT(ISNUMBER(I51))),"Eksik ilerleme",H51*I51))</x:f>
      </x:c>
      <x:c r="P51" s="2" t="str">
        <x:f>IF(A51="","",IF(OR(H51="",NOT(ISNUMBER(N51))),"Eksik plan",H51*N51))</x:f>
      </x:c>
      <x:c r="Q51" s="2" t="str">
        <x:f>IF(A51="","",IF(J51="","Eksik bitiş",J51-G51))</x:f>
      </x:c>
      <x:c r="R51" s="6"/>
      <x:c r="S51" s="2" t="str">
        <x:f>IF(AND(A51&lt;&gt;"",B51='Panel'!$C$5),COUNTIFS($B$7:B51,B51,$A$7:A51,"&lt;&gt;"),"")</x:f>
      </x:c>
    </x:row>
    <x:row r="52" ht="22" customHeight="1">
      <x:c r="A52" s="6"/>
      <x:c r="B52" s="6"/>
      <x:c r="C52" s="6"/>
      <x:c r="D52" s="6"/>
      <x:c r="E52" s="6"/>
      <x:c r="F52" s="7"/>
      <x:c r="G52" s="7"/>
      <x:c r="H52" s="6"/>
      <x:c r="I52" s="15"/>
      <x:c r="J52" s="7"/>
      <x:c r="K52" s="6"/>
      <x:c r="L52" s="6"/>
      <x:c r="M52" s="2" t="str">
        <x:f>IF(A52="","",IF(NOT(ISNUMBER(I52)),"Eksik ilerleme",IF(I52=1,"Tamamlandı",IF(G52&lt;'Panel'!$N$5,"Gecikmiş",IF(I52&gt;0,"Devam ediyor","Başlamadı")))))</x:f>
      </x:c>
      <x:c r="N52" s="16" t="str">
        <x:f>IF(A52="","",IF(OR(F52="",G52="",G52&lt;F52),"Eksik tarih",MAX(0,MIN(1,('Panel'!$N$5-F52+1)/(G52-F52+1)))))</x:f>
      </x:c>
      <x:c r="O52" s="2" t="str">
        <x:f>IF(A52="","",IF(OR(NOT(ISNUMBER(H52)),NOT(ISNUMBER(I52))),"Eksik ilerleme",H52*I52))</x:f>
      </x:c>
      <x:c r="P52" s="2" t="str">
        <x:f>IF(A52="","",IF(OR(H52="",NOT(ISNUMBER(N52))),"Eksik plan",H52*N52))</x:f>
      </x:c>
      <x:c r="Q52" s="2" t="str">
        <x:f>IF(A52="","",IF(J52="","Eksik bitiş",J52-G52))</x:f>
      </x:c>
      <x:c r="R52" s="6"/>
      <x:c r="S52" s="2" t="str">
        <x:f>IF(AND(A52&lt;&gt;"",B52='Panel'!$C$5),COUNTIFS($B$7:B52,B52,$A$7:A52,"&lt;&gt;"),"")</x:f>
      </x:c>
    </x:row>
    <x:row r="53" ht="22" customHeight="1">
      <x:c r="A53" s="6"/>
      <x:c r="B53" s="6"/>
      <x:c r="C53" s="6"/>
      <x:c r="D53" s="6"/>
      <x:c r="E53" s="6"/>
      <x:c r="F53" s="7"/>
      <x:c r="G53" s="7"/>
      <x:c r="H53" s="6"/>
      <x:c r="I53" s="15"/>
      <x:c r="J53" s="7"/>
      <x:c r="K53" s="6"/>
      <x:c r="L53" s="6"/>
      <x:c r="M53" s="2" t="str">
        <x:f>IF(A53="","",IF(NOT(ISNUMBER(I53)),"Eksik ilerleme",IF(I53=1,"Tamamlandı",IF(G53&lt;'Panel'!$N$5,"Gecikmiş",IF(I53&gt;0,"Devam ediyor","Başlamadı")))))</x:f>
      </x:c>
      <x:c r="N53" s="16" t="str">
        <x:f>IF(A53="","",IF(OR(F53="",G53="",G53&lt;F53),"Eksik tarih",MAX(0,MIN(1,('Panel'!$N$5-F53+1)/(G53-F53+1)))))</x:f>
      </x:c>
      <x:c r="O53" s="2" t="str">
        <x:f>IF(A53="","",IF(OR(NOT(ISNUMBER(H53)),NOT(ISNUMBER(I53))),"Eksik ilerleme",H53*I53))</x:f>
      </x:c>
      <x:c r="P53" s="2" t="str">
        <x:f>IF(A53="","",IF(OR(H53="",NOT(ISNUMBER(N53))),"Eksik plan",H53*N53))</x:f>
      </x:c>
      <x:c r="Q53" s="2" t="str">
        <x:f>IF(A53="","",IF(J53="","Eksik bitiş",J53-G53))</x:f>
      </x:c>
      <x:c r="R53" s="6"/>
      <x:c r="S53" s="2" t="str">
        <x:f>IF(AND(A53&lt;&gt;"",B53='Panel'!$C$5),COUNTIFS($B$7:B53,B53,$A$7:A53,"&lt;&gt;"),"")</x:f>
      </x:c>
    </x:row>
    <x:row r="54" ht="22" customHeight="1">
      <x:c r="A54" s="6"/>
      <x:c r="B54" s="6"/>
      <x:c r="C54" s="6"/>
      <x:c r="D54" s="6"/>
      <x:c r="E54" s="6"/>
      <x:c r="F54" s="7"/>
      <x:c r="G54" s="7"/>
      <x:c r="H54" s="6"/>
      <x:c r="I54" s="15"/>
      <x:c r="J54" s="7"/>
      <x:c r="K54" s="6"/>
      <x:c r="L54" s="6"/>
      <x:c r="M54" s="2" t="str">
        <x:f>IF(A54="","",IF(NOT(ISNUMBER(I54)),"Eksik ilerleme",IF(I54=1,"Tamamlandı",IF(G54&lt;'Panel'!$N$5,"Gecikmiş",IF(I54&gt;0,"Devam ediyor","Başlamadı")))))</x:f>
      </x:c>
      <x:c r="N54" s="16" t="str">
        <x:f>IF(A54="","",IF(OR(F54="",G54="",G54&lt;F54),"Eksik tarih",MAX(0,MIN(1,('Panel'!$N$5-F54+1)/(G54-F54+1)))))</x:f>
      </x:c>
      <x:c r="O54" s="2" t="str">
        <x:f>IF(A54="","",IF(OR(NOT(ISNUMBER(H54)),NOT(ISNUMBER(I54))),"Eksik ilerleme",H54*I54))</x:f>
      </x:c>
      <x:c r="P54" s="2" t="str">
        <x:f>IF(A54="","",IF(OR(H54="",NOT(ISNUMBER(N54))),"Eksik plan",H54*N54))</x:f>
      </x:c>
      <x:c r="Q54" s="2" t="str">
        <x:f>IF(A54="","",IF(J54="","Eksik bitiş",J54-G54))</x:f>
      </x:c>
      <x:c r="R54" s="6"/>
      <x:c r="S54" s="2" t="str">
        <x:f>IF(AND(A54&lt;&gt;"",B54='Panel'!$C$5),COUNTIFS($B$7:B54,B54,$A$7:A54,"&lt;&gt;"),"")</x:f>
      </x:c>
    </x:row>
    <x:row r="55" ht="22" customHeight="1">
      <x:c r="A55" s="6"/>
      <x:c r="B55" s="6"/>
      <x:c r="C55" s="6"/>
      <x:c r="D55" s="6"/>
      <x:c r="E55" s="6"/>
      <x:c r="F55" s="7"/>
      <x:c r="G55" s="7"/>
      <x:c r="H55" s="6"/>
      <x:c r="I55" s="15"/>
      <x:c r="J55" s="7"/>
      <x:c r="K55" s="6"/>
      <x:c r="L55" s="6"/>
      <x:c r="M55" s="2" t="str">
        <x:f>IF(A55="","",IF(NOT(ISNUMBER(I55)),"Eksik ilerleme",IF(I55=1,"Tamamlandı",IF(G55&lt;'Panel'!$N$5,"Gecikmiş",IF(I55&gt;0,"Devam ediyor","Başlamadı")))))</x:f>
      </x:c>
      <x:c r="N55" s="16" t="str">
        <x:f>IF(A55="","",IF(OR(F55="",G55="",G55&lt;F55),"Eksik tarih",MAX(0,MIN(1,('Panel'!$N$5-F55+1)/(G55-F55+1)))))</x:f>
      </x:c>
      <x:c r="O55" s="2" t="str">
        <x:f>IF(A55="","",IF(OR(NOT(ISNUMBER(H55)),NOT(ISNUMBER(I55))),"Eksik ilerleme",H55*I55))</x:f>
      </x:c>
      <x:c r="P55" s="2" t="str">
        <x:f>IF(A55="","",IF(OR(H55="",NOT(ISNUMBER(N55))),"Eksik plan",H55*N55))</x:f>
      </x:c>
      <x:c r="Q55" s="2" t="str">
        <x:f>IF(A55="","",IF(J55="","Eksik bitiş",J55-G55))</x:f>
      </x:c>
      <x:c r="R55" s="6"/>
      <x:c r="S55" s="2" t="str">
        <x:f>IF(AND(A55&lt;&gt;"",B55='Panel'!$C$5),COUNTIFS($B$7:B55,B55,$A$7:A55,"&lt;&gt;"),"")</x:f>
      </x:c>
    </x:row>
    <x:row r="56" ht="22" customHeight="1">
      <x:c r="A56" s="6"/>
      <x:c r="B56" s="6"/>
      <x:c r="C56" s="6"/>
      <x:c r="D56" s="6"/>
      <x:c r="E56" s="6"/>
      <x:c r="F56" s="7"/>
      <x:c r="G56" s="7"/>
      <x:c r="H56" s="6"/>
      <x:c r="I56" s="15"/>
      <x:c r="J56" s="7"/>
      <x:c r="K56" s="6"/>
      <x:c r="L56" s="6"/>
      <x:c r="M56" s="2" t="str">
        <x:f>IF(A56="","",IF(NOT(ISNUMBER(I56)),"Eksik ilerleme",IF(I56=1,"Tamamlandı",IF(G56&lt;'Panel'!$N$5,"Gecikmiş",IF(I56&gt;0,"Devam ediyor","Başlamadı")))))</x:f>
      </x:c>
      <x:c r="N56" s="16" t="str">
        <x:f>IF(A56="","",IF(OR(F56="",G56="",G56&lt;F56),"Eksik tarih",MAX(0,MIN(1,('Panel'!$N$5-F56+1)/(G56-F56+1)))))</x:f>
      </x:c>
      <x:c r="O56" s="2" t="str">
        <x:f>IF(A56="","",IF(OR(NOT(ISNUMBER(H56)),NOT(ISNUMBER(I56))),"Eksik ilerleme",H56*I56))</x:f>
      </x:c>
      <x:c r="P56" s="2" t="str">
        <x:f>IF(A56="","",IF(OR(H56="",NOT(ISNUMBER(N56))),"Eksik plan",H56*N56))</x:f>
      </x:c>
      <x:c r="Q56" s="2" t="str">
        <x:f>IF(A56="","",IF(J56="","Eksik bitiş",J56-G56))</x:f>
      </x:c>
      <x:c r="R56" s="6"/>
      <x:c r="S56" s="2" t="str">
        <x:f>IF(AND(A56&lt;&gt;"",B56='Panel'!$C$5),COUNTIFS($B$7:B56,B56,$A$7:A56,"&lt;&gt;"),"")</x:f>
      </x:c>
    </x:row>
    <x:row r="57" ht="22" customHeight="1">
      <x:c r="A57" s="6"/>
      <x:c r="B57" s="6"/>
      <x:c r="C57" s="6"/>
      <x:c r="D57" s="6"/>
      <x:c r="E57" s="6"/>
      <x:c r="F57" s="7"/>
      <x:c r="G57" s="7"/>
      <x:c r="H57" s="6"/>
      <x:c r="I57" s="15"/>
      <x:c r="J57" s="7"/>
      <x:c r="K57" s="6"/>
      <x:c r="L57" s="6"/>
      <x:c r="M57" s="2" t="str">
        <x:f>IF(A57="","",IF(NOT(ISNUMBER(I57)),"Eksik ilerleme",IF(I57=1,"Tamamlandı",IF(G57&lt;'Panel'!$N$5,"Gecikmiş",IF(I57&gt;0,"Devam ediyor","Başlamadı")))))</x:f>
      </x:c>
      <x:c r="N57" s="16" t="str">
        <x:f>IF(A57="","",IF(OR(F57="",G57="",G57&lt;F57),"Eksik tarih",MAX(0,MIN(1,('Panel'!$N$5-F57+1)/(G57-F57+1)))))</x:f>
      </x:c>
      <x:c r="O57" s="2" t="str">
        <x:f>IF(A57="","",IF(OR(NOT(ISNUMBER(H57)),NOT(ISNUMBER(I57))),"Eksik ilerleme",H57*I57))</x:f>
      </x:c>
      <x:c r="P57" s="2" t="str">
        <x:f>IF(A57="","",IF(OR(H57="",NOT(ISNUMBER(N57))),"Eksik plan",H57*N57))</x:f>
      </x:c>
      <x:c r="Q57" s="2" t="str">
        <x:f>IF(A57="","",IF(J57="","Eksik bitiş",J57-G57))</x:f>
      </x:c>
      <x:c r="R57" s="6"/>
      <x:c r="S57" s="2" t="str">
        <x:f>IF(AND(A57&lt;&gt;"",B57='Panel'!$C$5),COUNTIFS($B$7:B57,B57,$A$7:A57,"&lt;&gt;"),"")</x:f>
      </x:c>
    </x:row>
    <x:row r="58" ht="22" customHeight="1">
      <x:c r="A58" s="6"/>
      <x:c r="B58" s="6"/>
      <x:c r="C58" s="6"/>
      <x:c r="D58" s="6"/>
      <x:c r="E58" s="6"/>
      <x:c r="F58" s="7"/>
      <x:c r="G58" s="7"/>
      <x:c r="H58" s="6"/>
      <x:c r="I58" s="15"/>
      <x:c r="J58" s="7"/>
      <x:c r="K58" s="6"/>
      <x:c r="L58" s="6"/>
      <x:c r="M58" s="2" t="str">
        <x:f>IF(A58="","",IF(NOT(ISNUMBER(I58)),"Eksik ilerleme",IF(I58=1,"Tamamlandı",IF(G58&lt;'Panel'!$N$5,"Gecikmiş",IF(I58&gt;0,"Devam ediyor","Başlamadı")))))</x:f>
      </x:c>
      <x:c r="N58" s="16" t="str">
        <x:f>IF(A58="","",IF(OR(F58="",G58="",G58&lt;F58),"Eksik tarih",MAX(0,MIN(1,('Panel'!$N$5-F58+1)/(G58-F58+1)))))</x:f>
      </x:c>
      <x:c r="O58" s="2" t="str">
        <x:f>IF(A58="","",IF(OR(NOT(ISNUMBER(H58)),NOT(ISNUMBER(I58))),"Eksik ilerleme",H58*I58))</x:f>
      </x:c>
      <x:c r="P58" s="2" t="str">
        <x:f>IF(A58="","",IF(OR(H58="",NOT(ISNUMBER(N58))),"Eksik plan",H58*N58))</x:f>
      </x:c>
      <x:c r="Q58" s="2" t="str">
        <x:f>IF(A58="","",IF(J58="","Eksik bitiş",J58-G58))</x:f>
      </x:c>
      <x:c r="R58" s="6"/>
      <x:c r="S58" s="2" t="str">
        <x:f>IF(AND(A58&lt;&gt;"",B58='Panel'!$C$5),COUNTIFS($B$7:B58,B58,$A$7:A58,"&lt;&gt;"),"")</x:f>
      </x:c>
    </x:row>
    <x:row r="59" ht="22" customHeight="1">
      <x:c r="A59" s="6"/>
      <x:c r="B59" s="6"/>
      <x:c r="C59" s="6"/>
      <x:c r="D59" s="6"/>
      <x:c r="E59" s="6"/>
      <x:c r="F59" s="7"/>
      <x:c r="G59" s="7"/>
      <x:c r="H59" s="6"/>
      <x:c r="I59" s="15"/>
      <x:c r="J59" s="7"/>
      <x:c r="K59" s="6"/>
      <x:c r="L59" s="6"/>
      <x:c r="M59" s="2" t="str">
        <x:f>IF(A59="","",IF(NOT(ISNUMBER(I59)),"Eksik ilerleme",IF(I59=1,"Tamamlandı",IF(G59&lt;'Panel'!$N$5,"Gecikmiş",IF(I59&gt;0,"Devam ediyor","Başlamadı")))))</x:f>
      </x:c>
      <x:c r="N59" s="16" t="str">
        <x:f>IF(A59="","",IF(OR(F59="",G59="",G59&lt;F59),"Eksik tarih",MAX(0,MIN(1,('Panel'!$N$5-F59+1)/(G59-F59+1)))))</x:f>
      </x:c>
      <x:c r="O59" s="2" t="str">
        <x:f>IF(A59="","",IF(OR(NOT(ISNUMBER(H59)),NOT(ISNUMBER(I59))),"Eksik ilerleme",H59*I59))</x:f>
      </x:c>
      <x:c r="P59" s="2" t="str">
        <x:f>IF(A59="","",IF(OR(H59="",NOT(ISNUMBER(N59))),"Eksik plan",H59*N59))</x:f>
      </x:c>
      <x:c r="Q59" s="2" t="str">
        <x:f>IF(A59="","",IF(J59="","Eksik bitiş",J59-G59))</x:f>
      </x:c>
      <x:c r="R59" s="6"/>
      <x:c r="S59" s="2" t="str">
        <x:f>IF(AND(A59&lt;&gt;"",B59='Panel'!$C$5),COUNTIFS($B$7:B59,B59,$A$7:A59,"&lt;&gt;"),"")</x:f>
      </x:c>
    </x:row>
    <x:row r="60" ht="22" customHeight="1">
      <x:c r="A60" s="6"/>
      <x:c r="B60" s="6"/>
      <x:c r="C60" s="6"/>
      <x:c r="D60" s="6"/>
      <x:c r="E60" s="6"/>
      <x:c r="F60" s="7"/>
      <x:c r="G60" s="7"/>
      <x:c r="H60" s="6"/>
      <x:c r="I60" s="15"/>
      <x:c r="J60" s="7"/>
      <x:c r="K60" s="6"/>
      <x:c r="L60" s="6"/>
      <x:c r="M60" s="2" t="str">
        <x:f>IF(A60="","",IF(NOT(ISNUMBER(I60)),"Eksik ilerleme",IF(I60=1,"Tamamlandı",IF(G60&lt;'Panel'!$N$5,"Gecikmiş",IF(I60&gt;0,"Devam ediyor","Başlamadı")))))</x:f>
      </x:c>
      <x:c r="N60" s="16" t="str">
        <x:f>IF(A60="","",IF(OR(F60="",G60="",G60&lt;F60),"Eksik tarih",MAX(0,MIN(1,('Panel'!$N$5-F60+1)/(G60-F60+1)))))</x:f>
      </x:c>
      <x:c r="O60" s="2" t="str">
        <x:f>IF(A60="","",IF(OR(NOT(ISNUMBER(H60)),NOT(ISNUMBER(I60))),"Eksik ilerleme",H60*I60))</x:f>
      </x:c>
      <x:c r="P60" s="2" t="str">
        <x:f>IF(A60="","",IF(OR(H60="",NOT(ISNUMBER(N60))),"Eksik plan",H60*N60))</x:f>
      </x:c>
      <x:c r="Q60" s="2" t="str">
        <x:f>IF(A60="","",IF(J60="","Eksik bitiş",J60-G60))</x:f>
      </x:c>
      <x:c r="R60" s="6"/>
      <x:c r="S60" s="2" t="str">
        <x:f>IF(AND(A60&lt;&gt;"",B60='Panel'!$C$5),COUNTIFS($B$7:B60,B60,$A$7:A60,"&lt;&gt;"),"")</x:f>
      </x:c>
    </x:row>
    <x:row r="61" ht="22" customHeight="1">
      <x:c r="A61" s="6"/>
      <x:c r="B61" s="6"/>
      <x:c r="C61" s="6"/>
      <x:c r="D61" s="6"/>
      <x:c r="E61" s="6"/>
      <x:c r="F61" s="7"/>
      <x:c r="G61" s="7"/>
      <x:c r="H61" s="6"/>
      <x:c r="I61" s="15"/>
      <x:c r="J61" s="7"/>
      <x:c r="K61" s="6"/>
      <x:c r="L61" s="6"/>
      <x:c r="M61" s="2" t="str">
        <x:f>IF(A61="","",IF(NOT(ISNUMBER(I61)),"Eksik ilerleme",IF(I61=1,"Tamamlandı",IF(G61&lt;'Panel'!$N$5,"Gecikmiş",IF(I61&gt;0,"Devam ediyor","Başlamadı")))))</x:f>
      </x:c>
      <x:c r="N61" s="16" t="str">
        <x:f>IF(A61="","",IF(OR(F61="",G61="",G61&lt;F61),"Eksik tarih",MAX(0,MIN(1,('Panel'!$N$5-F61+1)/(G61-F61+1)))))</x:f>
      </x:c>
      <x:c r="O61" s="2" t="str">
        <x:f>IF(A61="","",IF(OR(NOT(ISNUMBER(H61)),NOT(ISNUMBER(I61))),"Eksik ilerleme",H61*I61))</x:f>
      </x:c>
      <x:c r="P61" s="2" t="str">
        <x:f>IF(A61="","",IF(OR(H61="",NOT(ISNUMBER(N61))),"Eksik plan",H61*N61))</x:f>
      </x:c>
      <x:c r="Q61" s="2" t="str">
        <x:f>IF(A61="","",IF(J61="","Eksik bitiş",J61-G61))</x:f>
      </x:c>
      <x:c r="R61" s="6"/>
      <x:c r="S61" s="2" t="str">
        <x:f>IF(AND(A61&lt;&gt;"",B61='Panel'!$C$5),COUNTIFS($B$7:B61,B61,$A$7:A61,"&lt;&gt;"),"")</x:f>
      </x:c>
    </x:row>
    <x:row r="62" ht="22" customHeight="1">
      <x:c r="A62" s="6"/>
      <x:c r="B62" s="6"/>
      <x:c r="C62" s="6"/>
      <x:c r="D62" s="6"/>
      <x:c r="E62" s="6"/>
      <x:c r="F62" s="7"/>
      <x:c r="G62" s="7"/>
      <x:c r="H62" s="6"/>
      <x:c r="I62" s="15"/>
      <x:c r="J62" s="7"/>
      <x:c r="K62" s="6"/>
      <x:c r="L62" s="6"/>
      <x:c r="M62" s="2" t="str">
        <x:f>IF(A62="","",IF(NOT(ISNUMBER(I62)),"Eksik ilerleme",IF(I62=1,"Tamamlandı",IF(G62&lt;'Panel'!$N$5,"Gecikmiş",IF(I62&gt;0,"Devam ediyor","Başlamadı")))))</x:f>
      </x:c>
      <x:c r="N62" s="16" t="str">
        <x:f>IF(A62="","",IF(OR(F62="",G62="",G62&lt;F62),"Eksik tarih",MAX(0,MIN(1,('Panel'!$N$5-F62+1)/(G62-F62+1)))))</x:f>
      </x:c>
      <x:c r="O62" s="2" t="str">
        <x:f>IF(A62="","",IF(OR(NOT(ISNUMBER(H62)),NOT(ISNUMBER(I62))),"Eksik ilerleme",H62*I62))</x:f>
      </x:c>
      <x:c r="P62" s="2" t="str">
        <x:f>IF(A62="","",IF(OR(H62="",NOT(ISNUMBER(N62))),"Eksik plan",H62*N62))</x:f>
      </x:c>
      <x:c r="Q62" s="2" t="str">
        <x:f>IF(A62="","",IF(J62="","Eksik bitiş",J62-G62))</x:f>
      </x:c>
      <x:c r="R62" s="6"/>
      <x:c r="S62" s="2" t="str">
        <x:f>IF(AND(A62&lt;&gt;"",B62='Panel'!$C$5),COUNTIFS($B$7:B62,B62,$A$7:A62,"&lt;&gt;"),"")</x:f>
      </x:c>
    </x:row>
    <x:row r="63" ht="22" customHeight="1">
      <x:c r="A63" s="6"/>
      <x:c r="B63" s="6"/>
      <x:c r="C63" s="6"/>
      <x:c r="D63" s="6"/>
      <x:c r="E63" s="6"/>
      <x:c r="F63" s="7"/>
      <x:c r="G63" s="7"/>
      <x:c r="H63" s="6"/>
      <x:c r="I63" s="15"/>
      <x:c r="J63" s="7"/>
      <x:c r="K63" s="6"/>
      <x:c r="L63" s="6"/>
      <x:c r="M63" s="2" t="str">
        <x:f>IF(A63="","",IF(NOT(ISNUMBER(I63)),"Eksik ilerleme",IF(I63=1,"Tamamlandı",IF(G63&lt;'Panel'!$N$5,"Gecikmiş",IF(I63&gt;0,"Devam ediyor","Başlamadı")))))</x:f>
      </x:c>
      <x:c r="N63" s="16" t="str">
        <x:f>IF(A63="","",IF(OR(F63="",G63="",G63&lt;F63),"Eksik tarih",MAX(0,MIN(1,('Panel'!$N$5-F63+1)/(G63-F63+1)))))</x:f>
      </x:c>
      <x:c r="O63" s="2" t="str">
        <x:f>IF(A63="","",IF(OR(NOT(ISNUMBER(H63)),NOT(ISNUMBER(I63))),"Eksik ilerleme",H63*I63))</x:f>
      </x:c>
      <x:c r="P63" s="2" t="str">
        <x:f>IF(A63="","",IF(OR(H63="",NOT(ISNUMBER(N63))),"Eksik plan",H63*N63))</x:f>
      </x:c>
      <x:c r="Q63" s="2" t="str">
        <x:f>IF(A63="","",IF(J63="","Eksik bitiş",J63-G63))</x:f>
      </x:c>
      <x:c r="R63" s="6"/>
      <x:c r="S63" s="2" t="str">
        <x:f>IF(AND(A63&lt;&gt;"",B63='Panel'!$C$5),COUNTIFS($B$7:B63,B63,$A$7:A63,"&lt;&gt;"),"")</x:f>
      </x:c>
    </x:row>
    <x:row r="64" ht="22" customHeight="1">
      <x:c r="A64" s="6"/>
      <x:c r="B64" s="6"/>
      <x:c r="C64" s="6"/>
      <x:c r="D64" s="6"/>
      <x:c r="E64" s="6"/>
      <x:c r="F64" s="7"/>
      <x:c r="G64" s="7"/>
      <x:c r="H64" s="6"/>
      <x:c r="I64" s="15"/>
      <x:c r="J64" s="7"/>
      <x:c r="K64" s="6"/>
      <x:c r="L64" s="6"/>
      <x:c r="M64" s="2" t="str">
        <x:f>IF(A64="","",IF(NOT(ISNUMBER(I64)),"Eksik ilerleme",IF(I64=1,"Tamamlandı",IF(G64&lt;'Panel'!$N$5,"Gecikmiş",IF(I64&gt;0,"Devam ediyor","Başlamadı")))))</x:f>
      </x:c>
      <x:c r="N64" s="16" t="str">
        <x:f>IF(A64="","",IF(OR(F64="",G64="",G64&lt;F64),"Eksik tarih",MAX(0,MIN(1,('Panel'!$N$5-F64+1)/(G64-F64+1)))))</x:f>
      </x:c>
      <x:c r="O64" s="2" t="str">
        <x:f>IF(A64="","",IF(OR(NOT(ISNUMBER(H64)),NOT(ISNUMBER(I64))),"Eksik ilerleme",H64*I64))</x:f>
      </x:c>
      <x:c r="P64" s="2" t="str">
        <x:f>IF(A64="","",IF(OR(H64="",NOT(ISNUMBER(N64))),"Eksik plan",H64*N64))</x:f>
      </x:c>
      <x:c r="Q64" s="2" t="str">
        <x:f>IF(A64="","",IF(J64="","Eksik bitiş",J64-G64))</x:f>
      </x:c>
      <x:c r="R64" s="6"/>
      <x:c r="S64" s="2" t="str">
        <x:f>IF(AND(A64&lt;&gt;"",B64='Panel'!$C$5),COUNTIFS($B$7:B64,B64,$A$7:A64,"&lt;&gt;"),"")</x:f>
      </x:c>
    </x:row>
    <x:row r="65" ht="22" customHeight="1">
      <x:c r="A65" s="6"/>
      <x:c r="B65" s="6"/>
      <x:c r="C65" s="6"/>
      <x:c r="D65" s="6"/>
      <x:c r="E65" s="6"/>
      <x:c r="F65" s="7"/>
      <x:c r="G65" s="7"/>
      <x:c r="H65" s="6"/>
      <x:c r="I65" s="15"/>
      <x:c r="J65" s="7"/>
      <x:c r="K65" s="6"/>
      <x:c r="L65" s="6"/>
      <x:c r="M65" s="2" t="str">
        <x:f>IF(A65="","",IF(NOT(ISNUMBER(I65)),"Eksik ilerleme",IF(I65=1,"Tamamlandı",IF(G65&lt;'Panel'!$N$5,"Gecikmiş",IF(I65&gt;0,"Devam ediyor","Başlamadı")))))</x:f>
      </x:c>
      <x:c r="N65" s="16" t="str">
        <x:f>IF(A65="","",IF(OR(F65="",G65="",G65&lt;F65),"Eksik tarih",MAX(0,MIN(1,('Panel'!$N$5-F65+1)/(G65-F65+1)))))</x:f>
      </x:c>
      <x:c r="O65" s="2" t="str">
        <x:f>IF(A65="","",IF(OR(NOT(ISNUMBER(H65)),NOT(ISNUMBER(I65))),"Eksik ilerleme",H65*I65))</x:f>
      </x:c>
      <x:c r="P65" s="2" t="str">
        <x:f>IF(A65="","",IF(OR(H65="",NOT(ISNUMBER(N65))),"Eksik plan",H65*N65))</x:f>
      </x:c>
      <x:c r="Q65" s="2" t="str">
        <x:f>IF(A65="","",IF(J65="","Eksik bitiş",J65-G65))</x:f>
      </x:c>
      <x:c r="R65" s="6"/>
      <x:c r="S65" s="2" t="str">
        <x:f>IF(AND(A65&lt;&gt;"",B65='Panel'!$C$5),COUNTIFS($B$7:B65,B65,$A$7:A65,"&lt;&gt;"),"")</x:f>
      </x:c>
    </x:row>
    <x:row r="66" ht="22" customHeight="1">
      <x:c r="A66" s="6"/>
      <x:c r="B66" s="6"/>
      <x:c r="C66" s="6"/>
      <x:c r="D66" s="6"/>
      <x:c r="E66" s="6"/>
      <x:c r="F66" s="7"/>
      <x:c r="G66" s="7"/>
      <x:c r="H66" s="6"/>
      <x:c r="I66" s="15"/>
      <x:c r="J66" s="7"/>
      <x:c r="K66" s="6"/>
      <x:c r="L66" s="6"/>
      <x:c r="M66" s="2" t="str">
        <x:f>IF(A66="","",IF(NOT(ISNUMBER(I66)),"Eksik ilerleme",IF(I66=1,"Tamamlandı",IF(G66&lt;'Panel'!$N$5,"Gecikmiş",IF(I66&gt;0,"Devam ediyor","Başlamadı")))))</x:f>
      </x:c>
      <x:c r="N66" s="16" t="str">
        <x:f>IF(A66="","",IF(OR(F66="",G66="",G66&lt;F66),"Eksik tarih",MAX(0,MIN(1,('Panel'!$N$5-F66+1)/(G66-F66+1)))))</x:f>
      </x:c>
      <x:c r="O66" s="2" t="str">
        <x:f>IF(A66="","",IF(OR(NOT(ISNUMBER(H66)),NOT(ISNUMBER(I66))),"Eksik ilerleme",H66*I66))</x:f>
      </x:c>
      <x:c r="P66" s="2" t="str">
        <x:f>IF(A66="","",IF(OR(H66="",NOT(ISNUMBER(N66))),"Eksik plan",H66*N66))</x:f>
      </x:c>
      <x:c r="Q66" s="2" t="str">
        <x:f>IF(A66="","",IF(J66="","Eksik bitiş",J66-G66))</x:f>
      </x:c>
      <x:c r="R66" s="6"/>
      <x:c r="S66" s="2" t="str">
        <x:f>IF(AND(A66&lt;&gt;"",B66='Panel'!$C$5),COUNTIFS($B$7:B66,B66,$A$7:A66,"&lt;&gt;"),"")</x:f>
      </x:c>
    </x:row>
    <x:row r="67" ht="22" customHeight="1">
      <x:c r="A67" s="6"/>
      <x:c r="B67" s="6"/>
      <x:c r="C67" s="6"/>
      <x:c r="D67" s="6"/>
      <x:c r="E67" s="6"/>
      <x:c r="F67" s="7"/>
      <x:c r="G67" s="7"/>
      <x:c r="H67" s="6"/>
      <x:c r="I67" s="15"/>
      <x:c r="J67" s="7"/>
      <x:c r="K67" s="6"/>
      <x:c r="L67" s="6"/>
      <x:c r="M67" s="2" t="str">
        <x:f>IF(A67="","",IF(NOT(ISNUMBER(I67)),"Eksik ilerleme",IF(I67=1,"Tamamlandı",IF(G67&lt;'Panel'!$N$5,"Gecikmiş",IF(I67&gt;0,"Devam ediyor","Başlamadı")))))</x:f>
      </x:c>
      <x:c r="N67" s="16" t="str">
        <x:f>IF(A67="","",IF(OR(F67="",G67="",G67&lt;F67),"Eksik tarih",MAX(0,MIN(1,('Panel'!$N$5-F67+1)/(G67-F67+1)))))</x:f>
      </x:c>
      <x:c r="O67" s="2" t="str">
        <x:f>IF(A67="","",IF(OR(NOT(ISNUMBER(H67)),NOT(ISNUMBER(I67))),"Eksik ilerleme",H67*I67))</x:f>
      </x:c>
      <x:c r="P67" s="2" t="str">
        <x:f>IF(A67="","",IF(OR(H67="",NOT(ISNUMBER(N67))),"Eksik plan",H67*N67))</x:f>
      </x:c>
      <x:c r="Q67" s="2" t="str">
        <x:f>IF(A67="","",IF(J67="","Eksik bitiş",J67-G67))</x:f>
      </x:c>
      <x:c r="R67" s="6"/>
      <x:c r="S67" s="2" t="str">
        <x:f>IF(AND(A67&lt;&gt;"",B67='Panel'!$C$5),COUNTIFS($B$7:B67,B67,$A$7:A67,"&lt;&gt;"),"")</x:f>
      </x:c>
    </x:row>
    <x:row r="68" ht="22" customHeight="1">
      <x:c r="A68" s="6"/>
      <x:c r="B68" s="6"/>
      <x:c r="C68" s="6"/>
      <x:c r="D68" s="6"/>
      <x:c r="E68" s="6"/>
      <x:c r="F68" s="7"/>
      <x:c r="G68" s="7"/>
      <x:c r="H68" s="6"/>
      <x:c r="I68" s="15"/>
      <x:c r="J68" s="7"/>
      <x:c r="K68" s="6"/>
      <x:c r="L68" s="6"/>
      <x:c r="M68" s="2" t="str">
        <x:f>IF(A68="","",IF(NOT(ISNUMBER(I68)),"Eksik ilerleme",IF(I68=1,"Tamamlandı",IF(G68&lt;'Panel'!$N$5,"Gecikmiş",IF(I68&gt;0,"Devam ediyor","Başlamadı")))))</x:f>
      </x:c>
      <x:c r="N68" s="16" t="str">
        <x:f>IF(A68="","",IF(OR(F68="",G68="",G68&lt;F68),"Eksik tarih",MAX(0,MIN(1,('Panel'!$N$5-F68+1)/(G68-F68+1)))))</x:f>
      </x:c>
      <x:c r="O68" s="2" t="str">
        <x:f>IF(A68="","",IF(OR(NOT(ISNUMBER(H68)),NOT(ISNUMBER(I68))),"Eksik ilerleme",H68*I68))</x:f>
      </x:c>
      <x:c r="P68" s="2" t="str">
        <x:f>IF(A68="","",IF(OR(H68="",NOT(ISNUMBER(N68))),"Eksik plan",H68*N68))</x:f>
      </x:c>
      <x:c r="Q68" s="2" t="str">
        <x:f>IF(A68="","",IF(J68="","Eksik bitiş",J68-G68))</x:f>
      </x:c>
      <x:c r="R68" s="6"/>
      <x:c r="S68" s="2" t="str">
        <x:f>IF(AND(A68&lt;&gt;"",B68='Panel'!$C$5),COUNTIFS($B$7:B68,B68,$A$7:A68,"&lt;&gt;"),"")</x:f>
      </x:c>
    </x:row>
    <x:row r="69" ht="22" customHeight="1">
      <x:c r="A69" s="6"/>
      <x:c r="B69" s="6"/>
      <x:c r="C69" s="6"/>
      <x:c r="D69" s="6"/>
      <x:c r="E69" s="6"/>
      <x:c r="F69" s="7"/>
      <x:c r="G69" s="7"/>
      <x:c r="H69" s="6"/>
      <x:c r="I69" s="15"/>
      <x:c r="J69" s="7"/>
      <x:c r="K69" s="6"/>
      <x:c r="L69" s="6"/>
      <x:c r="M69" s="2" t="str">
        <x:f>IF(A69="","",IF(NOT(ISNUMBER(I69)),"Eksik ilerleme",IF(I69=1,"Tamamlandı",IF(G69&lt;'Panel'!$N$5,"Gecikmiş",IF(I69&gt;0,"Devam ediyor","Başlamadı")))))</x:f>
      </x:c>
      <x:c r="N69" s="16" t="str">
        <x:f>IF(A69="","",IF(OR(F69="",G69="",G69&lt;F69),"Eksik tarih",MAX(0,MIN(1,('Panel'!$N$5-F69+1)/(G69-F69+1)))))</x:f>
      </x:c>
      <x:c r="O69" s="2" t="str">
        <x:f>IF(A69="","",IF(OR(NOT(ISNUMBER(H69)),NOT(ISNUMBER(I69))),"Eksik ilerleme",H69*I69))</x:f>
      </x:c>
      <x:c r="P69" s="2" t="str">
        <x:f>IF(A69="","",IF(OR(H69="",NOT(ISNUMBER(N69))),"Eksik plan",H69*N69))</x:f>
      </x:c>
      <x:c r="Q69" s="2" t="str">
        <x:f>IF(A69="","",IF(J69="","Eksik bitiş",J69-G69))</x:f>
      </x:c>
      <x:c r="R69" s="6"/>
      <x:c r="S69" s="2" t="str">
        <x:f>IF(AND(A69&lt;&gt;"",B69='Panel'!$C$5),COUNTIFS($B$7:B69,B69,$A$7:A69,"&lt;&gt;"),"")</x:f>
      </x:c>
    </x:row>
    <x:row r="70" ht="22" customHeight="1">
      <x:c r="A70" s="6"/>
      <x:c r="B70" s="6"/>
      <x:c r="C70" s="6"/>
      <x:c r="D70" s="6"/>
      <x:c r="E70" s="6"/>
      <x:c r="F70" s="7"/>
      <x:c r="G70" s="7"/>
      <x:c r="H70" s="6"/>
      <x:c r="I70" s="15"/>
      <x:c r="J70" s="7"/>
      <x:c r="K70" s="6"/>
      <x:c r="L70" s="6"/>
      <x:c r="M70" s="2" t="str">
        <x:f>IF(A70="","",IF(NOT(ISNUMBER(I70)),"Eksik ilerleme",IF(I70=1,"Tamamlandı",IF(G70&lt;'Panel'!$N$5,"Gecikmiş",IF(I70&gt;0,"Devam ediyor","Başlamadı")))))</x:f>
      </x:c>
      <x:c r="N70" s="16" t="str">
        <x:f>IF(A70="","",IF(OR(F70="",G70="",G70&lt;F70),"Eksik tarih",MAX(0,MIN(1,('Panel'!$N$5-F70+1)/(G70-F70+1)))))</x:f>
      </x:c>
      <x:c r="O70" s="2" t="str">
        <x:f>IF(A70="","",IF(OR(NOT(ISNUMBER(H70)),NOT(ISNUMBER(I70))),"Eksik ilerleme",H70*I70))</x:f>
      </x:c>
      <x:c r="P70" s="2" t="str">
        <x:f>IF(A70="","",IF(OR(H70="",NOT(ISNUMBER(N70))),"Eksik plan",H70*N70))</x:f>
      </x:c>
      <x:c r="Q70" s="2" t="str">
        <x:f>IF(A70="","",IF(J70="","Eksik bitiş",J70-G70))</x:f>
      </x:c>
      <x:c r="R70" s="6"/>
      <x:c r="S70" s="2" t="str">
        <x:f>IF(AND(A70&lt;&gt;"",B70='Panel'!$C$5),COUNTIFS($B$7:B70,B70,$A$7:A70,"&lt;&gt;"),"")</x:f>
      </x:c>
    </x:row>
    <x:row r="71" ht="22" customHeight="1">
      <x:c r="A71" s="6"/>
      <x:c r="B71" s="6"/>
      <x:c r="C71" s="6"/>
      <x:c r="D71" s="6"/>
      <x:c r="E71" s="6"/>
      <x:c r="F71" s="7"/>
      <x:c r="G71" s="7"/>
      <x:c r="H71" s="6"/>
      <x:c r="I71" s="15"/>
      <x:c r="J71" s="7"/>
      <x:c r="K71" s="6"/>
      <x:c r="L71" s="6"/>
      <x:c r="M71" s="2" t="str">
        <x:f>IF(A71="","",IF(NOT(ISNUMBER(I71)),"Eksik ilerleme",IF(I71=1,"Tamamlandı",IF(G71&lt;'Panel'!$N$5,"Gecikmiş",IF(I71&gt;0,"Devam ediyor","Başlamadı")))))</x:f>
      </x:c>
      <x:c r="N71" s="16" t="str">
        <x:f>IF(A71="","",IF(OR(F71="",G71="",G71&lt;F71),"Eksik tarih",MAX(0,MIN(1,('Panel'!$N$5-F71+1)/(G71-F71+1)))))</x:f>
      </x:c>
      <x:c r="O71" s="2" t="str">
        <x:f>IF(A71="","",IF(OR(NOT(ISNUMBER(H71)),NOT(ISNUMBER(I71))),"Eksik ilerleme",H71*I71))</x:f>
      </x:c>
      <x:c r="P71" s="2" t="str">
        <x:f>IF(A71="","",IF(OR(H71="",NOT(ISNUMBER(N71))),"Eksik plan",H71*N71))</x:f>
      </x:c>
      <x:c r="Q71" s="2" t="str">
        <x:f>IF(A71="","",IF(J71="","Eksik bitiş",J71-G71))</x:f>
      </x:c>
      <x:c r="R71" s="6"/>
      <x:c r="S71" s="2" t="str">
        <x:f>IF(AND(A71&lt;&gt;"",B71='Panel'!$C$5),COUNTIFS($B$7:B71,B71,$A$7:A71,"&lt;&gt;"),"")</x:f>
      </x:c>
    </x:row>
    <x:row r="72" ht="22" customHeight="1">
      <x:c r="A72" s="6"/>
      <x:c r="B72" s="6"/>
      <x:c r="C72" s="6"/>
      <x:c r="D72" s="6"/>
      <x:c r="E72" s="6"/>
      <x:c r="F72" s="7"/>
      <x:c r="G72" s="7"/>
      <x:c r="H72" s="6"/>
      <x:c r="I72" s="15"/>
      <x:c r="J72" s="7"/>
      <x:c r="K72" s="6"/>
      <x:c r="L72" s="6"/>
      <x:c r="M72" s="2" t="str">
        <x:f>IF(A72="","",IF(NOT(ISNUMBER(I72)),"Eksik ilerleme",IF(I72=1,"Tamamlandı",IF(G72&lt;'Panel'!$N$5,"Gecikmiş",IF(I72&gt;0,"Devam ediyor","Başlamadı")))))</x:f>
      </x:c>
      <x:c r="N72" s="16" t="str">
        <x:f>IF(A72="","",IF(OR(F72="",G72="",G72&lt;F72),"Eksik tarih",MAX(0,MIN(1,('Panel'!$N$5-F72+1)/(G72-F72+1)))))</x:f>
      </x:c>
      <x:c r="O72" s="2" t="str">
        <x:f>IF(A72="","",IF(OR(NOT(ISNUMBER(H72)),NOT(ISNUMBER(I72))),"Eksik ilerleme",H72*I72))</x:f>
      </x:c>
      <x:c r="P72" s="2" t="str">
        <x:f>IF(A72="","",IF(OR(H72="",NOT(ISNUMBER(N72))),"Eksik plan",H72*N72))</x:f>
      </x:c>
      <x:c r="Q72" s="2" t="str">
        <x:f>IF(A72="","",IF(J72="","Eksik bitiş",J72-G72))</x:f>
      </x:c>
      <x:c r="R72" s="6"/>
      <x:c r="S72" s="2" t="str">
        <x:f>IF(AND(A72&lt;&gt;"",B72='Panel'!$C$5),COUNTIFS($B$7:B72,B72,$A$7:A72,"&lt;&gt;"),"")</x:f>
      </x:c>
    </x:row>
    <x:row r="73" ht="22" customHeight="1">
      <x:c r="A73" s="6"/>
      <x:c r="B73" s="6"/>
      <x:c r="C73" s="6"/>
      <x:c r="D73" s="6"/>
      <x:c r="E73" s="6"/>
      <x:c r="F73" s="7"/>
      <x:c r="G73" s="7"/>
      <x:c r="H73" s="6"/>
      <x:c r="I73" s="15"/>
      <x:c r="J73" s="7"/>
      <x:c r="K73" s="6"/>
      <x:c r="L73" s="6"/>
      <x:c r="M73" s="2" t="str">
        <x:f>IF(A73="","",IF(NOT(ISNUMBER(I73)),"Eksik ilerleme",IF(I73=1,"Tamamlandı",IF(G73&lt;'Panel'!$N$5,"Gecikmiş",IF(I73&gt;0,"Devam ediyor","Başlamadı")))))</x:f>
      </x:c>
      <x:c r="N73" s="16" t="str">
        <x:f>IF(A73="","",IF(OR(F73="",G73="",G73&lt;F73),"Eksik tarih",MAX(0,MIN(1,('Panel'!$N$5-F73+1)/(G73-F73+1)))))</x:f>
      </x:c>
      <x:c r="O73" s="2" t="str">
        <x:f>IF(A73="","",IF(OR(NOT(ISNUMBER(H73)),NOT(ISNUMBER(I73))),"Eksik ilerleme",H73*I73))</x:f>
      </x:c>
      <x:c r="P73" s="2" t="str">
        <x:f>IF(A73="","",IF(OR(H73="",NOT(ISNUMBER(N73))),"Eksik plan",H73*N73))</x:f>
      </x:c>
      <x:c r="Q73" s="2" t="str">
        <x:f>IF(A73="","",IF(J73="","Eksik bitiş",J73-G73))</x:f>
      </x:c>
      <x:c r="R73" s="6"/>
      <x:c r="S73" s="2" t="str">
        <x:f>IF(AND(A73&lt;&gt;"",B73='Panel'!$C$5),COUNTIFS($B$7:B73,B73,$A$7:A73,"&lt;&gt;"),"")</x:f>
      </x:c>
    </x:row>
    <x:row r="74" ht="22" customHeight="1">
      <x:c r="A74" s="6"/>
      <x:c r="B74" s="6"/>
      <x:c r="C74" s="6"/>
      <x:c r="D74" s="6"/>
      <x:c r="E74" s="6"/>
      <x:c r="F74" s="7"/>
      <x:c r="G74" s="7"/>
      <x:c r="H74" s="6"/>
      <x:c r="I74" s="15"/>
      <x:c r="J74" s="7"/>
      <x:c r="K74" s="6"/>
      <x:c r="L74" s="6"/>
      <x:c r="M74" s="2" t="str">
        <x:f>IF(A74="","",IF(NOT(ISNUMBER(I74)),"Eksik ilerleme",IF(I74=1,"Tamamlandı",IF(G74&lt;'Panel'!$N$5,"Gecikmiş",IF(I74&gt;0,"Devam ediyor","Başlamadı")))))</x:f>
      </x:c>
      <x:c r="N74" s="16" t="str">
        <x:f>IF(A74="","",IF(OR(F74="",G74="",G74&lt;F74),"Eksik tarih",MAX(0,MIN(1,('Panel'!$N$5-F74+1)/(G74-F74+1)))))</x:f>
      </x:c>
      <x:c r="O74" s="2" t="str">
        <x:f>IF(A74="","",IF(OR(NOT(ISNUMBER(H74)),NOT(ISNUMBER(I74))),"Eksik ilerleme",H74*I74))</x:f>
      </x:c>
      <x:c r="P74" s="2" t="str">
        <x:f>IF(A74="","",IF(OR(H74="",NOT(ISNUMBER(N74))),"Eksik plan",H74*N74))</x:f>
      </x:c>
      <x:c r="Q74" s="2" t="str">
        <x:f>IF(A74="","",IF(J74="","Eksik bitiş",J74-G74))</x:f>
      </x:c>
      <x:c r="R74" s="6"/>
      <x:c r="S74" s="2" t="str">
        <x:f>IF(AND(A74&lt;&gt;"",B74='Panel'!$C$5),COUNTIFS($B$7:B74,B74,$A$7:A74,"&lt;&gt;"),"")</x:f>
      </x:c>
    </x:row>
    <x:row r="75" ht="22" customHeight="1">
      <x:c r="A75" s="6"/>
      <x:c r="B75" s="6"/>
      <x:c r="C75" s="6"/>
      <x:c r="D75" s="6"/>
      <x:c r="E75" s="6"/>
      <x:c r="F75" s="7"/>
      <x:c r="G75" s="7"/>
      <x:c r="H75" s="6"/>
      <x:c r="I75" s="15"/>
      <x:c r="J75" s="7"/>
      <x:c r="K75" s="6"/>
      <x:c r="L75" s="6"/>
      <x:c r="M75" s="2" t="str">
        <x:f>IF(A75="","",IF(NOT(ISNUMBER(I75)),"Eksik ilerleme",IF(I75=1,"Tamamlandı",IF(G75&lt;'Panel'!$N$5,"Gecikmiş",IF(I75&gt;0,"Devam ediyor","Başlamadı")))))</x:f>
      </x:c>
      <x:c r="N75" s="16" t="str">
        <x:f>IF(A75="","",IF(OR(F75="",G75="",G75&lt;F75),"Eksik tarih",MAX(0,MIN(1,('Panel'!$N$5-F75+1)/(G75-F75+1)))))</x:f>
      </x:c>
      <x:c r="O75" s="2" t="str">
        <x:f>IF(A75="","",IF(OR(NOT(ISNUMBER(H75)),NOT(ISNUMBER(I75))),"Eksik ilerleme",H75*I75))</x:f>
      </x:c>
      <x:c r="P75" s="2" t="str">
        <x:f>IF(A75="","",IF(OR(H75="",NOT(ISNUMBER(N75))),"Eksik plan",H75*N75))</x:f>
      </x:c>
      <x:c r="Q75" s="2" t="str">
        <x:f>IF(A75="","",IF(J75="","Eksik bitiş",J75-G75))</x:f>
      </x:c>
      <x:c r="R75" s="6"/>
      <x:c r="S75" s="2" t="str">
        <x:f>IF(AND(A75&lt;&gt;"",B75='Panel'!$C$5),COUNTIFS($B$7:B75,B75,$A$7:A75,"&lt;&gt;"),"")</x:f>
      </x:c>
    </x:row>
    <x:row r="76" ht="22" customHeight="1">
      <x:c r="A76" s="6"/>
      <x:c r="B76" s="6"/>
      <x:c r="C76" s="6"/>
      <x:c r="D76" s="6"/>
      <x:c r="E76" s="6"/>
      <x:c r="F76" s="7"/>
      <x:c r="G76" s="7"/>
      <x:c r="H76" s="6"/>
      <x:c r="I76" s="15"/>
      <x:c r="J76" s="7"/>
      <x:c r="K76" s="6"/>
      <x:c r="L76" s="6"/>
      <x:c r="M76" s="2" t="str">
        <x:f>IF(A76="","",IF(NOT(ISNUMBER(I76)),"Eksik ilerleme",IF(I76=1,"Tamamlandı",IF(G76&lt;'Panel'!$N$5,"Gecikmiş",IF(I76&gt;0,"Devam ediyor","Başlamadı")))))</x:f>
      </x:c>
      <x:c r="N76" s="16" t="str">
        <x:f>IF(A76="","",IF(OR(F76="",G76="",G76&lt;F76),"Eksik tarih",MAX(0,MIN(1,('Panel'!$N$5-F76+1)/(G76-F76+1)))))</x:f>
      </x:c>
      <x:c r="O76" s="2" t="str">
        <x:f>IF(A76="","",IF(OR(NOT(ISNUMBER(H76)),NOT(ISNUMBER(I76))),"Eksik ilerleme",H76*I76))</x:f>
      </x:c>
      <x:c r="P76" s="2" t="str">
        <x:f>IF(A76="","",IF(OR(H76="",NOT(ISNUMBER(N76))),"Eksik plan",H76*N76))</x:f>
      </x:c>
      <x:c r="Q76" s="2" t="str">
        <x:f>IF(A76="","",IF(J76="","Eksik bitiş",J76-G76))</x:f>
      </x:c>
      <x:c r="R76" s="6"/>
      <x:c r="S76" s="2" t="str">
        <x:f>IF(AND(A76&lt;&gt;"",B76='Panel'!$C$5),COUNTIFS($B$7:B76,B76,$A$7:A76,"&lt;&gt;"),"")</x:f>
      </x:c>
    </x:row>
    <x:row r="77" ht="22" customHeight="1">
      <x:c r="A77" s="6"/>
      <x:c r="B77" s="6"/>
      <x:c r="C77" s="6"/>
      <x:c r="D77" s="6"/>
      <x:c r="E77" s="6"/>
      <x:c r="F77" s="7"/>
      <x:c r="G77" s="7"/>
      <x:c r="H77" s="6"/>
      <x:c r="I77" s="15"/>
      <x:c r="J77" s="7"/>
      <x:c r="K77" s="6"/>
      <x:c r="L77" s="6"/>
      <x:c r="M77" s="2" t="str">
        <x:f>IF(A77="","",IF(NOT(ISNUMBER(I77)),"Eksik ilerleme",IF(I77=1,"Tamamlandı",IF(G77&lt;'Panel'!$N$5,"Gecikmiş",IF(I77&gt;0,"Devam ediyor","Başlamadı")))))</x:f>
      </x:c>
      <x:c r="N77" s="16" t="str">
        <x:f>IF(A77="","",IF(OR(F77="",G77="",G77&lt;F77),"Eksik tarih",MAX(0,MIN(1,('Panel'!$N$5-F77+1)/(G77-F77+1)))))</x:f>
      </x:c>
      <x:c r="O77" s="2" t="str">
        <x:f>IF(A77="","",IF(OR(NOT(ISNUMBER(H77)),NOT(ISNUMBER(I77))),"Eksik ilerleme",H77*I77))</x:f>
      </x:c>
      <x:c r="P77" s="2" t="str">
        <x:f>IF(A77="","",IF(OR(H77="",NOT(ISNUMBER(N77))),"Eksik plan",H77*N77))</x:f>
      </x:c>
      <x:c r="Q77" s="2" t="str">
        <x:f>IF(A77="","",IF(J77="","Eksik bitiş",J77-G77))</x:f>
      </x:c>
      <x:c r="R77" s="6"/>
      <x:c r="S77" s="2" t="str">
        <x:f>IF(AND(A77&lt;&gt;"",B77='Panel'!$C$5),COUNTIFS($B$7:B77,B77,$A$7:A77,"&lt;&gt;"),"")</x:f>
      </x:c>
    </x:row>
    <x:row r="78" ht="22" customHeight="1">
      <x:c r="A78" s="6"/>
      <x:c r="B78" s="6"/>
      <x:c r="C78" s="6"/>
      <x:c r="D78" s="6"/>
      <x:c r="E78" s="6"/>
      <x:c r="F78" s="7"/>
      <x:c r="G78" s="7"/>
      <x:c r="H78" s="6"/>
      <x:c r="I78" s="15"/>
      <x:c r="J78" s="7"/>
      <x:c r="K78" s="6"/>
      <x:c r="L78" s="6"/>
      <x:c r="M78" s="2" t="str">
        <x:f>IF(A78="","",IF(NOT(ISNUMBER(I78)),"Eksik ilerleme",IF(I78=1,"Tamamlandı",IF(G78&lt;'Panel'!$N$5,"Gecikmiş",IF(I78&gt;0,"Devam ediyor","Başlamadı")))))</x:f>
      </x:c>
      <x:c r="N78" s="16" t="str">
        <x:f>IF(A78="","",IF(OR(F78="",G78="",G78&lt;F78),"Eksik tarih",MAX(0,MIN(1,('Panel'!$N$5-F78+1)/(G78-F78+1)))))</x:f>
      </x:c>
      <x:c r="O78" s="2" t="str">
        <x:f>IF(A78="","",IF(OR(NOT(ISNUMBER(H78)),NOT(ISNUMBER(I78))),"Eksik ilerleme",H78*I78))</x:f>
      </x:c>
      <x:c r="P78" s="2" t="str">
        <x:f>IF(A78="","",IF(OR(H78="",NOT(ISNUMBER(N78))),"Eksik plan",H78*N78))</x:f>
      </x:c>
      <x:c r="Q78" s="2" t="str">
        <x:f>IF(A78="","",IF(J78="","Eksik bitiş",J78-G78))</x:f>
      </x:c>
      <x:c r="R78" s="6"/>
      <x:c r="S78" s="2" t="str">
        <x:f>IF(AND(A78&lt;&gt;"",B78='Panel'!$C$5),COUNTIFS($B$7:B78,B78,$A$7:A78,"&lt;&gt;"),"")</x:f>
      </x:c>
    </x:row>
    <x:row r="79" ht="22" customHeight="1">
      <x:c r="A79" s="6"/>
      <x:c r="B79" s="6"/>
      <x:c r="C79" s="6"/>
      <x:c r="D79" s="6"/>
      <x:c r="E79" s="6"/>
      <x:c r="F79" s="7"/>
      <x:c r="G79" s="7"/>
      <x:c r="H79" s="6"/>
      <x:c r="I79" s="15"/>
      <x:c r="J79" s="7"/>
      <x:c r="K79" s="6"/>
      <x:c r="L79" s="6"/>
      <x:c r="M79" s="2" t="str">
        <x:f>IF(A79="","",IF(NOT(ISNUMBER(I79)),"Eksik ilerleme",IF(I79=1,"Tamamlandı",IF(G79&lt;'Panel'!$N$5,"Gecikmiş",IF(I79&gt;0,"Devam ediyor","Başlamadı")))))</x:f>
      </x:c>
      <x:c r="N79" s="16" t="str">
        <x:f>IF(A79="","",IF(OR(F79="",G79="",G79&lt;F79),"Eksik tarih",MAX(0,MIN(1,('Panel'!$N$5-F79+1)/(G79-F79+1)))))</x:f>
      </x:c>
      <x:c r="O79" s="2" t="str">
        <x:f>IF(A79="","",IF(OR(NOT(ISNUMBER(H79)),NOT(ISNUMBER(I79))),"Eksik ilerleme",H79*I79))</x:f>
      </x:c>
      <x:c r="P79" s="2" t="str">
        <x:f>IF(A79="","",IF(OR(H79="",NOT(ISNUMBER(N79))),"Eksik plan",H79*N79))</x:f>
      </x:c>
      <x:c r="Q79" s="2" t="str">
        <x:f>IF(A79="","",IF(J79="","Eksik bitiş",J79-G79))</x:f>
      </x:c>
      <x:c r="R79" s="6"/>
      <x:c r="S79" s="2" t="str">
        <x:f>IF(AND(A79&lt;&gt;"",B79='Panel'!$C$5),COUNTIFS($B$7:B79,B79,$A$7:A79,"&lt;&gt;"),"")</x:f>
      </x:c>
    </x:row>
    <x:row r="80" ht="22" customHeight="1">
      <x:c r="A80" s="6"/>
      <x:c r="B80" s="6"/>
      <x:c r="C80" s="6"/>
      <x:c r="D80" s="6"/>
      <x:c r="E80" s="6"/>
      <x:c r="F80" s="7"/>
      <x:c r="G80" s="7"/>
      <x:c r="H80" s="6"/>
      <x:c r="I80" s="15"/>
      <x:c r="J80" s="7"/>
      <x:c r="K80" s="6"/>
      <x:c r="L80" s="6"/>
      <x:c r="M80" s="2" t="str">
        <x:f>IF(A80="","",IF(NOT(ISNUMBER(I80)),"Eksik ilerleme",IF(I80=1,"Tamamlandı",IF(G80&lt;'Panel'!$N$5,"Gecikmiş",IF(I80&gt;0,"Devam ediyor","Başlamadı")))))</x:f>
      </x:c>
      <x:c r="N80" s="16" t="str">
        <x:f>IF(A80="","",IF(OR(F80="",G80="",G80&lt;F80),"Eksik tarih",MAX(0,MIN(1,('Panel'!$N$5-F80+1)/(G80-F80+1)))))</x:f>
      </x:c>
      <x:c r="O80" s="2" t="str">
        <x:f>IF(A80="","",IF(OR(NOT(ISNUMBER(H80)),NOT(ISNUMBER(I80))),"Eksik ilerleme",H80*I80))</x:f>
      </x:c>
      <x:c r="P80" s="2" t="str">
        <x:f>IF(A80="","",IF(OR(H80="",NOT(ISNUMBER(N80))),"Eksik plan",H80*N80))</x:f>
      </x:c>
      <x:c r="Q80" s="2" t="str">
        <x:f>IF(A80="","",IF(J80="","Eksik bitiş",J80-G80))</x:f>
      </x:c>
      <x:c r="R80" s="6"/>
      <x:c r="S80" s="2" t="str">
        <x:f>IF(AND(A80&lt;&gt;"",B80='Panel'!$C$5),COUNTIFS($B$7:B80,B80,$A$7:A80,"&lt;&gt;"),"")</x:f>
      </x:c>
    </x:row>
    <x:row r="81" ht="22" customHeight="1">
      <x:c r="A81" s="6"/>
      <x:c r="B81" s="6"/>
      <x:c r="C81" s="6"/>
      <x:c r="D81" s="6"/>
      <x:c r="E81" s="6"/>
      <x:c r="F81" s="7"/>
      <x:c r="G81" s="7"/>
      <x:c r="H81" s="6"/>
      <x:c r="I81" s="15"/>
      <x:c r="J81" s="7"/>
      <x:c r="K81" s="6"/>
      <x:c r="L81" s="6"/>
      <x:c r="M81" s="2" t="str">
        <x:f>IF(A81="","",IF(NOT(ISNUMBER(I81)),"Eksik ilerleme",IF(I81=1,"Tamamlandı",IF(G81&lt;'Panel'!$N$5,"Gecikmiş",IF(I81&gt;0,"Devam ediyor","Başlamadı")))))</x:f>
      </x:c>
      <x:c r="N81" s="16" t="str">
        <x:f>IF(A81="","",IF(OR(F81="",G81="",G81&lt;F81),"Eksik tarih",MAX(0,MIN(1,('Panel'!$N$5-F81+1)/(G81-F81+1)))))</x:f>
      </x:c>
      <x:c r="O81" s="2" t="str">
        <x:f>IF(A81="","",IF(OR(NOT(ISNUMBER(H81)),NOT(ISNUMBER(I81))),"Eksik ilerleme",H81*I81))</x:f>
      </x:c>
      <x:c r="P81" s="2" t="str">
        <x:f>IF(A81="","",IF(OR(H81="",NOT(ISNUMBER(N81))),"Eksik plan",H81*N81))</x:f>
      </x:c>
      <x:c r="Q81" s="2" t="str">
        <x:f>IF(A81="","",IF(J81="","Eksik bitiş",J81-G81))</x:f>
      </x:c>
      <x:c r="R81" s="6"/>
      <x:c r="S81" s="2" t="str">
        <x:f>IF(AND(A81&lt;&gt;"",B81='Panel'!$C$5),COUNTIFS($B$7:B81,B81,$A$7:A81,"&lt;&gt;"),"")</x:f>
      </x:c>
    </x:row>
    <x:row r="82" ht="22" customHeight="1">
      <x:c r="A82" s="6"/>
      <x:c r="B82" s="6"/>
      <x:c r="C82" s="6"/>
      <x:c r="D82" s="6"/>
      <x:c r="E82" s="6"/>
      <x:c r="F82" s="7"/>
      <x:c r="G82" s="7"/>
      <x:c r="H82" s="6"/>
      <x:c r="I82" s="15"/>
      <x:c r="J82" s="7"/>
      <x:c r="K82" s="6"/>
      <x:c r="L82" s="6"/>
      <x:c r="M82" s="2" t="str">
        <x:f>IF(A82="","",IF(NOT(ISNUMBER(I82)),"Eksik ilerleme",IF(I82=1,"Tamamlandı",IF(G82&lt;'Panel'!$N$5,"Gecikmiş",IF(I82&gt;0,"Devam ediyor","Başlamadı")))))</x:f>
      </x:c>
      <x:c r="N82" s="16" t="str">
        <x:f>IF(A82="","",IF(OR(F82="",G82="",G82&lt;F82),"Eksik tarih",MAX(0,MIN(1,('Panel'!$N$5-F82+1)/(G82-F82+1)))))</x:f>
      </x:c>
      <x:c r="O82" s="2" t="str">
        <x:f>IF(A82="","",IF(OR(NOT(ISNUMBER(H82)),NOT(ISNUMBER(I82))),"Eksik ilerleme",H82*I82))</x:f>
      </x:c>
      <x:c r="P82" s="2" t="str">
        <x:f>IF(A82="","",IF(OR(H82="",NOT(ISNUMBER(N82))),"Eksik plan",H82*N82))</x:f>
      </x:c>
      <x:c r="Q82" s="2" t="str">
        <x:f>IF(A82="","",IF(J82="","Eksik bitiş",J82-G82))</x:f>
      </x:c>
      <x:c r="R82" s="6"/>
      <x:c r="S82" s="2" t="str">
        <x:f>IF(AND(A82&lt;&gt;"",B82='Panel'!$C$5),COUNTIFS($B$7:B82,B82,$A$7:A82,"&lt;&gt;"),"")</x:f>
      </x:c>
    </x:row>
    <x:row r="83" ht="22" customHeight="1">
      <x:c r="A83" s="6"/>
      <x:c r="B83" s="6"/>
      <x:c r="C83" s="6"/>
      <x:c r="D83" s="6"/>
      <x:c r="E83" s="6"/>
      <x:c r="F83" s="7"/>
      <x:c r="G83" s="7"/>
      <x:c r="H83" s="6"/>
      <x:c r="I83" s="15"/>
      <x:c r="J83" s="7"/>
      <x:c r="K83" s="6"/>
      <x:c r="L83" s="6"/>
      <x:c r="M83" s="2" t="str">
        <x:f>IF(A83="","",IF(NOT(ISNUMBER(I83)),"Eksik ilerleme",IF(I83=1,"Tamamlandı",IF(G83&lt;'Panel'!$N$5,"Gecikmiş",IF(I83&gt;0,"Devam ediyor","Başlamadı")))))</x:f>
      </x:c>
      <x:c r="N83" s="16" t="str">
        <x:f>IF(A83="","",IF(OR(F83="",G83="",G83&lt;F83),"Eksik tarih",MAX(0,MIN(1,('Panel'!$N$5-F83+1)/(G83-F83+1)))))</x:f>
      </x:c>
      <x:c r="O83" s="2" t="str">
        <x:f>IF(A83="","",IF(OR(NOT(ISNUMBER(H83)),NOT(ISNUMBER(I83))),"Eksik ilerleme",H83*I83))</x:f>
      </x:c>
      <x:c r="P83" s="2" t="str">
        <x:f>IF(A83="","",IF(OR(H83="",NOT(ISNUMBER(N83))),"Eksik plan",H83*N83))</x:f>
      </x:c>
      <x:c r="Q83" s="2" t="str">
        <x:f>IF(A83="","",IF(J83="","Eksik bitiş",J83-G83))</x:f>
      </x:c>
      <x:c r="R83" s="6"/>
      <x:c r="S83" s="2" t="str">
        <x:f>IF(AND(A83&lt;&gt;"",B83='Panel'!$C$5),COUNTIFS($B$7:B83,B83,$A$7:A83,"&lt;&gt;"),"")</x:f>
      </x:c>
    </x:row>
    <x:row r="84" ht="22" customHeight="1">
      <x:c r="A84" s="6"/>
      <x:c r="B84" s="6"/>
      <x:c r="C84" s="6"/>
      <x:c r="D84" s="6"/>
      <x:c r="E84" s="6"/>
      <x:c r="F84" s="7"/>
      <x:c r="G84" s="7"/>
      <x:c r="H84" s="6"/>
      <x:c r="I84" s="15"/>
      <x:c r="J84" s="7"/>
      <x:c r="K84" s="6"/>
      <x:c r="L84" s="6"/>
      <x:c r="M84" s="2" t="str">
        <x:f>IF(A84="","",IF(NOT(ISNUMBER(I84)),"Eksik ilerleme",IF(I84=1,"Tamamlandı",IF(G84&lt;'Panel'!$N$5,"Gecikmiş",IF(I84&gt;0,"Devam ediyor","Başlamadı")))))</x:f>
      </x:c>
      <x:c r="N84" s="16" t="str">
        <x:f>IF(A84="","",IF(OR(F84="",G84="",G84&lt;F84),"Eksik tarih",MAX(0,MIN(1,('Panel'!$N$5-F84+1)/(G84-F84+1)))))</x:f>
      </x:c>
      <x:c r="O84" s="2" t="str">
        <x:f>IF(A84="","",IF(OR(NOT(ISNUMBER(H84)),NOT(ISNUMBER(I84))),"Eksik ilerleme",H84*I84))</x:f>
      </x:c>
      <x:c r="P84" s="2" t="str">
        <x:f>IF(A84="","",IF(OR(H84="",NOT(ISNUMBER(N84))),"Eksik plan",H84*N84))</x:f>
      </x:c>
      <x:c r="Q84" s="2" t="str">
        <x:f>IF(A84="","",IF(J84="","Eksik bitiş",J84-G84))</x:f>
      </x:c>
      <x:c r="R84" s="6"/>
      <x:c r="S84" s="2" t="str">
        <x:f>IF(AND(A84&lt;&gt;"",B84='Panel'!$C$5),COUNTIFS($B$7:B84,B84,$A$7:A84,"&lt;&gt;"),"")</x:f>
      </x:c>
    </x:row>
    <x:row r="85" ht="22" customHeight="1">
      <x:c r="A85" s="6"/>
      <x:c r="B85" s="6"/>
      <x:c r="C85" s="6"/>
      <x:c r="D85" s="6"/>
      <x:c r="E85" s="6"/>
      <x:c r="F85" s="7"/>
      <x:c r="G85" s="7"/>
      <x:c r="H85" s="6"/>
      <x:c r="I85" s="15"/>
      <x:c r="J85" s="7"/>
      <x:c r="K85" s="6"/>
      <x:c r="L85" s="6"/>
      <x:c r="M85" s="2" t="str">
        <x:f>IF(A85="","",IF(NOT(ISNUMBER(I85)),"Eksik ilerleme",IF(I85=1,"Tamamlandı",IF(G85&lt;'Panel'!$N$5,"Gecikmiş",IF(I85&gt;0,"Devam ediyor","Başlamadı")))))</x:f>
      </x:c>
      <x:c r="N85" s="16" t="str">
        <x:f>IF(A85="","",IF(OR(F85="",G85="",G85&lt;F85),"Eksik tarih",MAX(0,MIN(1,('Panel'!$N$5-F85+1)/(G85-F85+1)))))</x:f>
      </x:c>
      <x:c r="O85" s="2" t="str">
        <x:f>IF(A85="","",IF(OR(NOT(ISNUMBER(H85)),NOT(ISNUMBER(I85))),"Eksik ilerleme",H85*I85))</x:f>
      </x:c>
      <x:c r="P85" s="2" t="str">
        <x:f>IF(A85="","",IF(OR(H85="",NOT(ISNUMBER(N85))),"Eksik plan",H85*N85))</x:f>
      </x:c>
      <x:c r="Q85" s="2" t="str">
        <x:f>IF(A85="","",IF(J85="","Eksik bitiş",J85-G85))</x:f>
      </x:c>
      <x:c r="R85" s="6"/>
      <x:c r="S85" s="2" t="str">
        <x:f>IF(AND(A85&lt;&gt;"",B85='Panel'!$C$5),COUNTIFS($B$7:B85,B85,$A$7:A85,"&lt;&gt;"),"")</x:f>
      </x:c>
    </x:row>
    <x:row r="86" ht="22" customHeight="1">
      <x:c r="A86" s="6"/>
      <x:c r="B86" s="6"/>
      <x:c r="C86" s="6"/>
      <x:c r="D86" s="6"/>
      <x:c r="E86" s="6"/>
      <x:c r="F86" s="7"/>
      <x:c r="G86" s="7"/>
      <x:c r="H86" s="6"/>
      <x:c r="I86" s="15"/>
      <x:c r="J86" s="7"/>
      <x:c r="K86" s="6"/>
      <x:c r="L86" s="6"/>
      <x:c r="M86" s="2" t="str">
        <x:f>IF(A86="","",IF(NOT(ISNUMBER(I86)),"Eksik ilerleme",IF(I86=1,"Tamamlandı",IF(G86&lt;'Panel'!$N$5,"Gecikmiş",IF(I86&gt;0,"Devam ediyor","Başlamadı")))))</x:f>
      </x:c>
      <x:c r="N86" s="16" t="str">
        <x:f>IF(A86="","",IF(OR(F86="",G86="",G86&lt;F86),"Eksik tarih",MAX(0,MIN(1,('Panel'!$N$5-F86+1)/(G86-F86+1)))))</x:f>
      </x:c>
      <x:c r="O86" s="2" t="str">
        <x:f>IF(A86="","",IF(OR(NOT(ISNUMBER(H86)),NOT(ISNUMBER(I86))),"Eksik ilerleme",H86*I86))</x:f>
      </x:c>
      <x:c r="P86" s="2" t="str">
        <x:f>IF(A86="","",IF(OR(H86="",NOT(ISNUMBER(N86))),"Eksik plan",H86*N86))</x:f>
      </x:c>
      <x:c r="Q86" s="2" t="str">
        <x:f>IF(A86="","",IF(J86="","Eksik bitiş",J86-G86))</x:f>
      </x:c>
      <x:c r="R86" s="6"/>
      <x:c r="S86" s="2" t="str">
        <x:f>IF(AND(A86&lt;&gt;"",B86='Panel'!$C$5),COUNTIFS($B$7:B86,B86,$A$7:A86,"&lt;&gt;"),"")</x:f>
      </x:c>
    </x:row>
    <x:row r="87" ht="22" customHeight="1">
      <x:c r="A87" s="6"/>
      <x:c r="B87" s="6"/>
      <x:c r="C87" s="6"/>
      <x:c r="D87" s="6"/>
      <x:c r="E87" s="6"/>
      <x:c r="F87" s="7"/>
      <x:c r="G87" s="7"/>
      <x:c r="H87" s="6"/>
      <x:c r="I87" s="15"/>
      <x:c r="J87" s="7"/>
      <x:c r="K87" s="6"/>
      <x:c r="L87" s="6"/>
      <x:c r="M87" s="2" t="str">
        <x:f>IF(A87="","",IF(NOT(ISNUMBER(I87)),"Eksik ilerleme",IF(I87=1,"Tamamlandı",IF(G87&lt;'Panel'!$N$5,"Gecikmiş",IF(I87&gt;0,"Devam ediyor","Başlamadı")))))</x:f>
      </x:c>
      <x:c r="N87" s="16" t="str">
        <x:f>IF(A87="","",IF(OR(F87="",G87="",G87&lt;F87),"Eksik tarih",MAX(0,MIN(1,('Panel'!$N$5-F87+1)/(G87-F87+1)))))</x:f>
      </x:c>
      <x:c r="O87" s="2" t="str">
        <x:f>IF(A87="","",IF(OR(NOT(ISNUMBER(H87)),NOT(ISNUMBER(I87))),"Eksik ilerleme",H87*I87))</x:f>
      </x:c>
      <x:c r="P87" s="2" t="str">
        <x:f>IF(A87="","",IF(OR(H87="",NOT(ISNUMBER(N87))),"Eksik plan",H87*N87))</x:f>
      </x:c>
      <x:c r="Q87" s="2" t="str">
        <x:f>IF(A87="","",IF(J87="","Eksik bitiş",J87-G87))</x:f>
      </x:c>
      <x:c r="R87" s="6"/>
      <x:c r="S87" s="2" t="str">
        <x:f>IF(AND(A87&lt;&gt;"",B87='Panel'!$C$5),COUNTIFS($B$7:B87,B87,$A$7:A87,"&lt;&gt;"),"")</x:f>
      </x:c>
    </x:row>
    <x:row r="88" ht="22" customHeight="1">
      <x:c r="A88" s="6"/>
      <x:c r="B88" s="6"/>
      <x:c r="C88" s="6"/>
      <x:c r="D88" s="6"/>
      <x:c r="E88" s="6"/>
      <x:c r="F88" s="7"/>
      <x:c r="G88" s="7"/>
      <x:c r="H88" s="6"/>
      <x:c r="I88" s="15"/>
      <x:c r="J88" s="7"/>
      <x:c r="K88" s="6"/>
      <x:c r="L88" s="6"/>
      <x:c r="M88" s="2" t="str">
        <x:f>IF(A88="","",IF(NOT(ISNUMBER(I88)),"Eksik ilerleme",IF(I88=1,"Tamamlandı",IF(G88&lt;'Panel'!$N$5,"Gecikmiş",IF(I88&gt;0,"Devam ediyor","Başlamadı")))))</x:f>
      </x:c>
      <x:c r="N88" s="16" t="str">
        <x:f>IF(A88="","",IF(OR(F88="",G88="",G88&lt;F88),"Eksik tarih",MAX(0,MIN(1,('Panel'!$N$5-F88+1)/(G88-F88+1)))))</x:f>
      </x:c>
      <x:c r="O88" s="2" t="str">
        <x:f>IF(A88="","",IF(OR(NOT(ISNUMBER(H88)),NOT(ISNUMBER(I88))),"Eksik ilerleme",H88*I88))</x:f>
      </x:c>
      <x:c r="P88" s="2" t="str">
        <x:f>IF(A88="","",IF(OR(H88="",NOT(ISNUMBER(N88))),"Eksik plan",H88*N88))</x:f>
      </x:c>
      <x:c r="Q88" s="2" t="str">
        <x:f>IF(A88="","",IF(J88="","Eksik bitiş",J88-G88))</x:f>
      </x:c>
      <x:c r="R88" s="6"/>
      <x:c r="S88" s="2" t="str">
        <x:f>IF(AND(A88&lt;&gt;"",B88='Panel'!$C$5),COUNTIFS($B$7:B88,B88,$A$7:A88,"&lt;&gt;"),"")</x:f>
      </x:c>
    </x:row>
    <x:row r="89" ht="22" customHeight="1">
      <x:c r="A89" s="6"/>
      <x:c r="B89" s="6"/>
      <x:c r="C89" s="6"/>
      <x:c r="D89" s="6"/>
      <x:c r="E89" s="6"/>
      <x:c r="F89" s="7"/>
      <x:c r="G89" s="7"/>
      <x:c r="H89" s="6"/>
      <x:c r="I89" s="15"/>
      <x:c r="J89" s="7"/>
      <x:c r="K89" s="6"/>
      <x:c r="L89" s="6"/>
      <x:c r="M89" s="2" t="str">
        <x:f>IF(A89="","",IF(NOT(ISNUMBER(I89)),"Eksik ilerleme",IF(I89=1,"Tamamlandı",IF(G89&lt;'Panel'!$N$5,"Gecikmiş",IF(I89&gt;0,"Devam ediyor","Başlamadı")))))</x:f>
      </x:c>
      <x:c r="N89" s="16" t="str">
        <x:f>IF(A89="","",IF(OR(F89="",G89="",G89&lt;F89),"Eksik tarih",MAX(0,MIN(1,('Panel'!$N$5-F89+1)/(G89-F89+1)))))</x:f>
      </x:c>
      <x:c r="O89" s="2" t="str">
        <x:f>IF(A89="","",IF(OR(NOT(ISNUMBER(H89)),NOT(ISNUMBER(I89))),"Eksik ilerleme",H89*I89))</x:f>
      </x:c>
      <x:c r="P89" s="2" t="str">
        <x:f>IF(A89="","",IF(OR(H89="",NOT(ISNUMBER(N89))),"Eksik plan",H89*N89))</x:f>
      </x:c>
      <x:c r="Q89" s="2" t="str">
        <x:f>IF(A89="","",IF(J89="","Eksik bitiş",J89-G89))</x:f>
      </x:c>
      <x:c r="R89" s="6"/>
      <x:c r="S89" s="2" t="str">
        <x:f>IF(AND(A89&lt;&gt;"",B89='Panel'!$C$5),COUNTIFS($B$7:B89,B89,$A$7:A89,"&lt;&gt;"),"")</x:f>
      </x:c>
    </x:row>
    <x:row r="90" ht="22" customHeight="1">
      <x:c r="A90" s="6"/>
      <x:c r="B90" s="6"/>
      <x:c r="C90" s="6"/>
      <x:c r="D90" s="6"/>
      <x:c r="E90" s="6"/>
      <x:c r="F90" s="7"/>
      <x:c r="G90" s="7"/>
      <x:c r="H90" s="6"/>
      <x:c r="I90" s="15"/>
      <x:c r="J90" s="7"/>
      <x:c r="K90" s="6"/>
      <x:c r="L90" s="6"/>
      <x:c r="M90" s="2" t="str">
        <x:f>IF(A90="","",IF(NOT(ISNUMBER(I90)),"Eksik ilerleme",IF(I90=1,"Tamamlandı",IF(G90&lt;'Panel'!$N$5,"Gecikmiş",IF(I90&gt;0,"Devam ediyor","Başlamadı")))))</x:f>
      </x:c>
      <x:c r="N90" s="16" t="str">
        <x:f>IF(A90="","",IF(OR(F90="",G90="",G90&lt;F90),"Eksik tarih",MAX(0,MIN(1,('Panel'!$N$5-F90+1)/(G90-F90+1)))))</x:f>
      </x:c>
      <x:c r="O90" s="2" t="str">
        <x:f>IF(A90="","",IF(OR(NOT(ISNUMBER(H90)),NOT(ISNUMBER(I90))),"Eksik ilerleme",H90*I90))</x:f>
      </x:c>
      <x:c r="P90" s="2" t="str">
        <x:f>IF(A90="","",IF(OR(H90="",NOT(ISNUMBER(N90))),"Eksik plan",H90*N90))</x:f>
      </x:c>
      <x:c r="Q90" s="2" t="str">
        <x:f>IF(A90="","",IF(J90="","Eksik bitiş",J90-G90))</x:f>
      </x:c>
      <x:c r="R90" s="6"/>
      <x:c r="S90" s="2" t="str">
        <x:f>IF(AND(A90&lt;&gt;"",B90='Panel'!$C$5),COUNTIFS($B$7:B90,B90,$A$7:A90,"&lt;&gt;"),"")</x:f>
      </x:c>
    </x:row>
    <x:row r="91" ht="22" customHeight="1">
      <x:c r="A91" s="6"/>
      <x:c r="B91" s="6"/>
      <x:c r="C91" s="6"/>
      <x:c r="D91" s="6"/>
      <x:c r="E91" s="6"/>
      <x:c r="F91" s="7"/>
      <x:c r="G91" s="7"/>
      <x:c r="H91" s="6"/>
      <x:c r="I91" s="15"/>
      <x:c r="J91" s="7"/>
      <x:c r="K91" s="6"/>
      <x:c r="L91" s="6"/>
      <x:c r="M91" s="2" t="str">
        <x:f>IF(A91="","",IF(NOT(ISNUMBER(I91)),"Eksik ilerleme",IF(I91=1,"Tamamlandı",IF(G91&lt;'Panel'!$N$5,"Gecikmiş",IF(I91&gt;0,"Devam ediyor","Başlamadı")))))</x:f>
      </x:c>
      <x:c r="N91" s="16" t="str">
        <x:f>IF(A91="","",IF(OR(F91="",G91="",G91&lt;F91),"Eksik tarih",MAX(0,MIN(1,('Panel'!$N$5-F91+1)/(G91-F91+1)))))</x:f>
      </x:c>
      <x:c r="O91" s="2" t="str">
        <x:f>IF(A91="","",IF(OR(NOT(ISNUMBER(H91)),NOT(ISNUMBER(I91))),"Eksik ilerleme",H91*I91))</x:f>
      </x:c>
      <x:c r="P91" s="2" t="str">
        <x:f>IF(A91="","",IF(OR(H91="",NOT(ISNUMBER(N91))),"Eksik plan",H91*N91))</x:f>
      </x:c>
      <x:c r="Q91" s="2" t="str">
        <x:f>IF(A91="","",IF(J91="","Eksik bitiş",J91-G91))</x:f>
      </x:c>
      <x:c r="R91" s="6"/>
      <x:c r="S91" s="2" t="str">
        <x:f>IF(AND(A91&lt;&gt;"",B91='Panel'!$C$5),COUNTIFS($B$7:B91,B91,$A$7:A91,"&lt;&gt;"),"")</x:f>
      </x:c>
    </x:row>
    <x:row r="92" ht="22" customHeight="1">
      <x:c r="A92" s="6"/>
      <x:c r="B92" s="6"/>
      <x:c r="C92" s="6"/>
      <x:c r="D92" s="6"/>
      <x:c r="E92" s="6"/>
      <x:c r="F92" s="7"/>
      <x:c r="G92" s="7"/>
      <x:c r="H92" s="6"/>
      <x:c r="I92" s="15"/>
      <x:c r="J92" s="7"/>
      <x:c r="K92" s="6"/>
      <x:c r="L92" s="6"/>
      <x:c r="M92" s="2" t="str">
        <x:f>IF(A92="","",IF(NOT(ISNUMBER(I92)),"Eksik ilerleme",IF(I92=1,"Tamamlandı",IF(G92&lt;'Panel'!$N$5,"Gecikmiş",IF(I92&gt;0,"Devam ediyor","Başlamadı")))))</x:f>
      </x:c>
      <x:c r="N92" s="16" t="str">
        <x:f>IF(A92="","",IF(OR(F92="",G92="",G92&lt;F92),"Eksik tarih",MAX(0,MIN(1,('Panel'!$N$5-F92+1)/(G92-F92+1)))))</x:f>
      </x:c>
      <x:c r="O92" s="2" t="str">
        <x:f>IF(A92="","",IF(OR(NOT(ISNUMBER(H92)),NOT(ISNUMBER(I92))),"Eksik ilerleme",H92*I92))</x:f>
      </x:c>
      <x:c r="P92" s="2" t="str">
        <x:f>IF(A92="","",IF(OR(H92="",NOT(ISNUMBER(N92))),"Eksik plan",H92*N92))</x:f>
      </x:c>
      <x:c r="Q92" s="2" t="str">
        <x:f>IF(A92="","",IF(J92="","Eksik bitiş",J92-G92))</x:f>
      </x:c>
      <x:c r="R92" s="6"/>
      <x:c r="S92" s="2" t="str">
        <x:f>IF(AND(A92&lt;&gt;"",B92='Panel'!$C$5),COUNTIFS($B$7:B92,B92,$A$7:A92,"&lt;&gt;"),"")</x:f>
      </x:c>
    </x:row>
    <x:row r="93" ht="22" customHeight="1">
      <x:c r="A93" s="6"/>
      <x:c r="B93" s="6"/>
      <x:c r="C93" s="6"/>
      <x:c r="D93" s="6"/>
      <x:c r="E93" s="6"/>
      <x:c r="F93" s="7"/>
      <x:c r="G93" s="7"/>
      <x:c r="H93" s="6"/>
      <x:c r="I93" s="15"/>
      <x:c r="J93" s="7"/>
      <x:c r="K93" s="6"/>
      <x:c r="L93" s="6"/>
      <x:c r="M93" s="2" t="str">
        <x:f>IF(A93="","",IF(NOT(ISNUMBER(I93)),"Eksik ilerleme",IF(I93=1,"Tamamlandı",IF(G93&lt;'Panel'!$N$5,"Gecikmiş",IF(I93&gt;0,"Devam ediyor","Başlamadı")))))</x:f>
      </x:c>
      <x:c r="N93" s="16" t="str">
        <x:f>IF(A93="","",IF(OR(F93="",G93="",G93&lt;F93),"Eksik tarih",MAX(0,MIN(1,('Panel'!$N$5-F93+1)/(G93-F93+1)))))</x:f>
      </x:c>
      <x:c r="O93" s="2" t="str">
        <x:f>IF(A93="","",IF(OR(NOT(ISNUMBER(H93)),NOT(ISNUMBER(I93))),"Eksik ilerleme",H93*I93))</x:f>
      </x:c>
      <x:c r="P93" s="2" t="str">
        <x:f>IF(A93="","",IF(OR(H93="",NOT(ISNUMBER(N93))),"Eksik plan",H93*N93))</x:f>
      </x:c>
      <x:c r="Q93" s="2" t="str">
        <x:f>IF(A93="","",IF(J93="","Eksik bitiş",J93-G93))</x:f>
      </x:c>
      <x:c r="R93" s="6"/>
      <x:c r="S93" s="2" t="str">
        <x:f>IF(AND(A93&lt;&gt;"",B93='Panel'!$C$5),COUNTIFS($B$7:B93,B93,$A$7:A93,"&lt;&gt;"),"")</x:f>
      </x:c>
    </x:row>
    <x:row r="94" ht="22" customHeight="1">
      <x:c r="A94" s="6"/>
      <x:c r="B94" s="6"/>
      <x:c r="C94" s="6"/>
      <x:c r="D94" s="6"/>
      <x:c r="E94" s="6"/>
      <x:c r="F94" s="7"/>
      <x:c r="G94" s="7"/>
      <x:c r="H94" s="6"/>
      <x:c r="I94" s="15"/>
      <x:c r="J94" s="7"/>
      <x:c r="K94" s="6"/>
      <x:c r="L94" s="6"/>
      <x:c r="M94" s="2" t="str">
        <x:f>IF(A94="","",IF(NOT(ISNUMBER(I94)),"Eksik ilerleme",IF(I94=1,"Tamamlandı",IF(G94&lt;'Panel'!$N$5,"Gecikmiş",IF(I94&gt;0,"Devam ediyor","Başlamadı")))))</x:f>
      </x:c>
      <x:c r="N94" s="16" t="str">
        <x:f>IF(A94="","",IF(OR(F94="",G94="",G94&lt;F94),"Eksik tarih",MAX(0,MIN(1,('Panel'!$N$5-F94+1)/(G94-F94+1)))))</x:f>
      </x:c>
      <x:c r="O94" s="2" t="str">
        <x:f>IF(A94="","",IF(OR(NOT(ISNUMBER(H94)),NOT(ISNUMBER(I94))),"Eksik ilerleme",H94*I94))</x:f>
      </x:c>
      <x:c r="P94" s="2" t="str">
        <x:f>IF(A94="","",IF(OR(H94="",NOT(ISNUMBER(N94))),"Eksik plan",H94*N94))</x:f>
      </x:c>
      <x:c r="Q94" s="2" t="str">
        <x:f>IF(A94="","",IF(J94="","Eksik bitiş",J94-G94))</x:f>
      </x:c>
      <x:c r="R94" s="6"/>
      <x:c r="S94" s="2" t="str">
        <x:f>IF(AND(A94&lt;&gt;"",B94='Panel'!$C$5),COUNTIFS($B$7:B94,B94,$A$7:A94,"&lt;&gt;"),"")</x:f>
      </x:c>
    </x:row>
    <x:row r="95" ht="22" customHeight="1">
      <x:c r="A95" s="6"/>
      <x:c r="B95" s="6"/>
      <x:c r="C95" s="6"/>
      <x:c r="D95" s="6"/>
      <x:c r="E95" s="6"/>
      <x:c r="F95" s="7"/>
      <x:c r="G95" s="7"/>
      <x:c r="H95" s="6"/>
      <x:c r="I95" s="15"/>
      <x:c r="J95" s="7"/>
      <x:c r="K95" s="6"/>
      <x:c r="L95" s="6"/>
      <x:c r="M95" s="2" t="str">
        <x:f>IF(A95="","",IF(NOT(ISNUMBER(I95)),"Eksik ilerleme",IF(I95=1,"Tamamlandı",IF(G95&lt;'Panel'!$N$5,"Gecikmiş",IF(I95&gt;0,"Devam ediyor","Başlamadı")))))</x:f>
      </x:c>
      <x:c r="N95" s="16" t="str">
        <x:f>IF(A95="","",IF(OR(F95="",G95="",G95&lt;F95),"Eksik tarih",MAX(0,MIN(1,('Panel'!$N$5-F95+1)/(G95-F95+1)))))</x:f>
      </x:c>
      <x:c r="O95" s="2" t="str">
        <x:f>IF(A95="","",IF(OR(NOT(ISNUMBER(H95)),NOT(ISNUMBER(I95))),"Eksik ilerleme",H95*I95))</x:f>
      </x:c>
      <x:c r="P95" s="2" t="str">
        <x:f>IF(A95="","",IF(OR(H95="",NOT(ISNUMBER(N95))),"Eksik plan",H95*N95))</x:f>
      </x:c>
      <x:c r="Q95" s="2" t="str">
        <x:f>IF(A95="","",IF(J95="","Eksik bitiş",J95-G95))</x:f>
      </x:c>
      <x:c r="R95" s="6"/>
      <x:c r="S95" s="2" t="str">
        <x:f>IF(AND(A95&lt;&gt;"",B95='Panel'!$C$5),COUNTIFS($B$7:B95,B95,$A$7:A95,"&lt;&gt;"),"")</x:f>
      </x:c>
    </x:row>
    <x:row r="96" ht="22" customHeight="1">
      <x:c r="A96" s="6"/>
      <x:c r="B96" s="6"/>
      <x:c r="C96" s="6"/>
      <x:c r="D96" s="6"/>
      <x:c r="E96" s="6"/>
      <x:c r="F96" s="7"/>
      <x:c r="G96" s="7"/>
      <x:c r="H96" s="6"/>
      <x:c r="I96" s="15"/>
      <x:c r="J96" s="7"/>
      <x:c r="K96" s="6"/>
      <x:c r="L96" s="6"/>
      <x:c r="M96" s="2" t="str">
        <x:f>IF(A96="","",IF(NOT(ISNUMBER(I96)),"Eksik ilerleme",IF(I96=1,"Tamamlandı",IF(G96&lt;'Panel'!$N$5,"Gecikmiş",IF(I96&gt;0,"Devam ediyor","Başlamadı")))))</x:f>
      </x:c>
      <x:c r="N96" s="16" t="str">
        <x:f>IF(A96="","",IF(OR(F96="",G96="",G96&lt;F96),"Eksik tarih",MAX(0,MIN(1,('Panel'!$N$5-F96+1)/(G96-F96+1)))))</x:f>
      </x:c>
      <x:c r="O96" s="2" t="str">
        <x:f>IF(A96="","",IF(OR(NOT(ISNUMBER(H96)),NOT(ISNUMBER(I96))),"Eksik ilerleme",H96*I96))</x:f>
      </x:c>
      <x:c r="P96" s="2" t="str">
        <x:f>IF(A96="","",IF(OR(H96="",NOT(ISNUMBER(N96))),"Eksik plan",H96*N96))</x:f>
      </x:c>
      <x:c r="Q96" s="2" t="str">
        <x:f>IF(A96="","",IF(J96="","Eksik bitiş",J96-G96))</x:f>
      </x:c>
      <x:c r="R96" s="6"/>
      <x:c r="S96" s="2" t="str">
        <x:f>IF(AND(A96&lt;&gt;"",B96='Panel'!$C$5),COUNTIFS($B$7:B96,B96,$A$7:A96,"&lt;&gt;"),"")</x:f>
      </x:c>
    </x:row>
    <x:row r="97" ht="22" customHeight="1">
      <x:c r="A97" s="6"/>
      <x:c r="B97" s="6"/>
      <x:c r="C97" s="6"/>
      <x:c r="D97" s="6"/>
      <x:c r="E97" s="6"/>
      <x:c r="F97" s="7"/>
      <x:c r="G97" s="7"/>
      <x:c r="H97" s="6"/>
      <x:c r="I97" s="15"/>
      <x:c r="J97" s="7"/>
      <x:c r="K97" s="6"/>
      <x:c r="L97" s="6"/>
      <x:c r="M97" s="2" t="str">
        <x:f>IF(A97="","",IF(NOT(ISNUMBER(I97)),"Eksik ilerleme",IF(I97=1,"Tamamlandı",IF(G97&lt;'Panel'!$N$5,"Gecikmiş",IF(I97&gt;0,"Devam ediyor","Başlamadı")))))</x:f>
      </x:c>
      <x:c r="N97" s="16" t="str">
        <x:f>IF(A97="","",IF(OR(F97="",G97="",G97&lt;F97),"Eksik tarih",MAX(0,MIN(1,('Panel'!$N$5-F97+1)/(G97-F97+1)))))</x:f>
      </x:c>
      <x:c r="O97" s="2" t="str">
        <x:f>IF(A97="","",IF(OR(NOT(ISNUMBER(H97)),NOT(ISNUMBER(I97))),"Eksik ilerleme",H97*I97))</x:f>
      </x:c>
      <x:c r="P97" s="2" t="str">
        <x:f>IF(A97="","",IF(OR(H97="",NOT(ISNUMBER(N97))),"Eksik plan",H97*N97))</x:f>
      </x:c>
      <x:c r="Q97" s="2" t="str">
        <x:f>IF(A97="","",IF(J97="","Eksik bitiş",J97-G97))</x:f>
      </x:c>
      <x:c r="R97" s="6"/>
      <x:c r="S97" s="2" t="str">
        <x:f>IF(AND(A97&lt;&gt;"",B97='Panel'!$C$5),COUNTIFS($B$7:B97,B97,$A$7:A97,"&lt;&gt;"),"")</x:f>
      </x:c>
    </x:row>
    <x:row r="98" ht="22" customHeight="1">
      <x:c r="A98" s="6"/>
      <x:c r="B98" s="6"/>
      <x:c r="C98" s="6"/>
      <x:c r="D98" s="6"/>
      <x:c r="E98" s="6"/>
      <x:c r="F98" s="7"/>
      <x:c r="G98" s="7"/>
      <x:c r="H98" s="6"/>
      <x:c r="I98" s="15"/>
      <x:c r="J98" s="7"/>
      <x:c r="K98" s="6"/>
      <x:c r="L98" s="6"/>
      <x:c r="M98" s="2" t="str">
        <x:f>IF(A98="","",IF(NOT(ISNUMBER(I98)),"Eksik ilerleme",IF(I98=1,"Tamamlandı",IF(G98&lt;'Panel'!$N$5,"Gecikmiş",IF(I98&gt;0,"Devam ediyor","Başlamadı")))))</x:f>
      </x:c>
      <x:c r="N98" s="16" t="str">
        <x:f>IF(A98="","",IF(OR(F98="",G98="",G98&lt;F98),"Eksik tarih",MAX(0,MIN(1,('Panel'!$N$5-F98+1)/(G98-F98+1)))))</x:f>
      </x:c>
      <x:c r="O98" s="2" t="str">
        <x:f>IF(A98="","",IF(OR(NOT(ISNUMBER(H98)),NOT(ISNUMBER(I98))),"Eksik ilerleme",H98*I98))</x:f>
      </x:c>
      <x:c r="P98" s="2" t="str">
        <x:f>IF(A98="","",IF(OR(H98="",NOT(ISNUMBER(N98))),"Eksik plan",H98*N98))</x:f>
      </x:c>
      <x:c r="Q98" s="2" t="str">
        <x:f>IF(A98="","",IF(J98="","Eksik bitiş",J98-G98))</x:f>
      </x:c>
      <x:c r="R98" s="6"/>
      <x:c r="S98" s="2" t="str">
        <x:f>IF(AND(A98&lt;&gt;"",B98='Panel'!$C$5),COUNTIFS($B$7:B98,B98,$A$7:A98,"&lt;&gt;"),"")</x:f>
      </x:c>
    </x:row>
    <x:row r="99" ht="22" customHeight="1">
      <x:c r="A99" s="6"/>
      <x:c r="B99" s="6"/>
      <x:c r="C99" s="6"/>
      <x:c r="D99" s="6"/>
      <x:c r="E99" s="6"/>
      <x:c r="F99" s="7"/>
      <x:c r="G99" s="7"/>
      <x:c r="H99" s="6"/>
      <x:c r="I99" s="15"/>
      <x:c r="J99" s="7"/>
      <x:c r="K99" s="6"/>
      <x:c r="L99" s="6"/>
      <x:c r="M99" s="2" t="str">
        <x:f>IF(A99="","",IF(NOT(ISNUMBER(I99)),"Eksik ilerleme",IF(I99=1,"Tamamlandı",IF(G99&lt;'Panel'!$N$5,"Gecikmiş",IF(I99&gt;0,"Devam ediyor","Başlamadı")))))</x:f>
      </x:c>
      <x:c r="N99" s="16" t="str">
        <x:f>IF(A99="","",IF(OR(F99="",G99="",G99&lt;F99),"Eksik tarih",MAX(0,MIN(1,('Panel'!$N$5-F99+1)/(G99-F99+1)))))</x:f>
      </x:c>
      <x:c r="O99" s="2" t="str">
        <x:f>IF(A99="","",IF(OR(NOT(ISNUMBER(H99)),NOT(ISNUMBER(I99))),"Eksik ilerleme",H99*I99))</x:f>
      </x:c>
      <x:c r="P99" s="2" t="str">
        <x:f>IF(A99="","",IF(OR(H99="",NOT(ISNUMBER(N99))),"Eksik plan",H99*N99))</x:f>
      </x:c>
      <x:c r="Q99" s="2" t="str">
        <x:f>IF(A99="","",IF(J99="","Eksik bitiş",J99-G99))</x:f>
      </x:c>
      <x:c r="R99" s="6"/>
      <x:c r="S99" s="2" t="str">
        <x:f>IF(AND(A99&lt;&gt;"",B99='Panel'!$C$5),COUNTIFS($B$7:B99,B99,$A$7:A99,"&lt;&gt;"),"")</x:f>
      </x:c>
    </x:row>
    <x:row r="100" ht="22" customHeight="1">
      <x:c r="A100" s="6"/>
      <x:c r="B100" s="6"/>
      <x:c r="C100" s="6"/>
      <x:c r="D100" s="6"/>
      <x:c r="E100" s="6"/>
      <x:c r="F100" s="7"/>
      <x:c r="G100" s="7"/>
      <x:c r="H100" s="6"/>
      <x:c r="I100" s="15"/>
      <x:c r="J100" s="7"/>
      <x:c r="K100" s="6"/>
      <x:c r="L100" s="6"/>
      <x:c r="M100" s="2" t="str">
        <x:f>IF(A100="","",IF(NOT(ISNUMBER(I100)),"Eksik ilerleme",IF(I100=1,"Tamamlandı",IF(G100&lt;'Panel'!$N$5,"Gecikmiş",IF(I100&gt;0,"Devam ediyor","Başlamadı")))))</x:f>
      </x:c>
      <x:c r="N100" s="16" t="str">
        <x:f>IF(A100="","",IF(OR(F100="",G100="",G100&lt;F100),"Eksik tarih",MAX(0,MIN(1,('Panel'!$N$5-F100+1)/(G100-F100+1)))))</x:f>
      </x:c>
      <x:c r="O100" s="2" t="str">
        <x:f>IF(A100="","",IF(OR(NOT(ISNUMBER(H100)),NOT(ISNUMBER(I100))),"Eksik ilerleme",H100*I100))</x:f>
      </x:c>
      <x:c r="P100" s="2" t="str">
        <x:f>IF(A100="","",IF(OR(H100="",NOT(ISNUMBER(N100))),"Eksik plan",H100*N100))</x:f>
      </x:c>
      <x:c r="Q100" s="2" t="str">
        <x:f>IF(A100="","",IF(J100="","Eksik bitiş",J100-G100))</x:f>
      </x:c>
      <x:c r="R100" s="6"/>
      <x:c r="S100" s="2" t="str">
        <x:f>IF(AND(A100&lt;&gt;"",B100='Panel'!$C$5),COUNTIFS($B$7:B100,B100,$A$7:A100,"&lt;&gt;"),"")</x:f>
      </x:c>
    </x:row>
    <x:row r="101" ht="22" customHeight="1">
      <x:c r="A101" s="6"/>
      <x:c r="B101" s="6"/>
      <x:c r="C101" s="6"/>
      <x:c r="D101" s="6"/>
      <x:c r="E101" s="6"/>
      <x:c r="F101" s="7"/>
      <x:c r="G101" s="7"/>
      <x:c r="H101" s="6"/>
      <x:c r="I101" s="15"/>
      <x:c r="J101" s="7"/>
      <x:c r="K101" s="6"/>
      <x:c r="L101" s="6"/>
      <x:c r="M101" s="2" t="str">
        <x:f>IF(A101="","",IF(NOT(ISNUMBER(I101)),"Eksik ilerleme",IF(I101=1,"Tamamlandı",IF(G101&lt;'Panel'!$N$5,"Gecikmiş",IF(I101&gt;0,"Devam ediyor","Başlamadı")))))</x:f>
      </x:c>
      <x:c r="N101" s="16" t="str">
        <x:f>IF(A101="","",IF(OR(F101="",G101="",G101&lt;F101),"Eksik tarih",MAX(0,MIN(1,('Panel'!$N$5-F101+1)/(G101-F101+1)))))</x:f>
      </x:c>
      <x:c r="O101" s="2" t="str">
        <x:f>IF(A101="","",IF(OR(NOT(ISNUMBER(H101)),NOT(ISNUMBER(I101))),"Eksik ilerleme",H101*I101))</x:f>
      </x:c>
      <x:c r="P101" s="2" t="str">
        <x:f>IF(A101="","",IF(OR(H101="",NOT(ISNUMBER(N101))),"Eksik plan",H101*N101))</x:f>
      </x:c>
      <x:c r="Q101" s="2" t="str">
        <x:f>IF(A101="","",IF(J101="","Eksik bitiş",J101-G101))</x:f>
      </x:c>
      <x:c r="R101" s="6"/>
      <x:c r="S101" s="2" t="str">
        <x:f>IF(AND(A101&lt;&gt;"",B101='Panel'!$C$5),COUNTIFS($B$7:B101,B101,$A$7:A101,"&lt;&gt;"),"")</x:f>
      </x:c>
    </x:row>
    <x:row r="102" ht="22" customHeight="1">
      <x:c r="A102" s="6"/>
      <x:c r="B102" s="6"/>
      <x:c r="C102" s="6"/>
      <x:c r="D102" s="6"/>
      <x:c r="E102" s="6"/>
      <x:c r="F102" s="7"/>
      <x:c r="G102" s="7"/>
      <x:c r="H102" s="6"/>
      <x:c r="I102" s="15"/>
      <x:c r="J102" s="7"/>
      <x:c r="K102" s="6"/>
      <x:c r="L102" s="6"/>
      <x:c r="M102" s="2" t="str">
        <x:f>IF(A102="","",IF(NOT(ISNUMBER(I102)),"Eksik ilerleme",IF(I102=1,"Tamamlandı",IF(G102&lt;'Panel'!$N$5,"Gecikmiş",IF(I102&gt;0,"Devam ediyor","Başlamadı")))))</x:f>
      </x:c>
      <x:c r="N102" s="16" t="str">
        <x:f>IF(A102="","",IF(OR(F102="",G102="",G102&lt;F102),"Eksik tarih",MAX(0,MIN(1,('Panel'!$N$5-F102+1)/(G102-F102+1)))))</x:f>
      </x:c>
      <x:c r="O102" s="2" t="str">
        <x:f>IF(A102="","",IF(OR(NOT(ISNUMBER(H102)),NOT(ISNUMBER(I102))),"Eksik ilerleme",H102*I102))</x:f>
      </x:c>
      <x:c r="P102" s="2" t="str">
        <x:f>IF(A102="","",IF(OR(H102="",NOT(ISNUMBER(N102))),"Eksik plan",H102*N102))</x:f>
      </x:c>
      <x:c r="Q102" s="2" t="str">
        <x:f>IF(A102="","",IF(J102="","Eksik bitiş",J102-G102))</x:f>
      </x:c>
      <x:c r="R102" s="6"/>
      <x:c r="S102" s="2" t="str">
        <x:f>IF(AND(A102&lt;&gt;"",B102='Panel'!$C$5),COUNTIFS($B$7:B102,B102,$A$7:A102,"&lt;&gt;"),"")</x:f>
      </x:c>
    </x:row>
    <x:row r="103" ht="22" customHeight="1">
      <x:c r="A103" s="6"/>
      <x:c r="B103" s="6"/>
      <x:c r="C103" s="6"/>
      <x:c r="D103" s="6"/>
      <x:c r="E103" s="6"/>
      <x:c r="F103" s="7"/>
      <x:c r="G103" s="7"/>
      <x:c r="H103" s="6"/>
      <x:c r="I103" s="15"/>
      <x:c r="J103" s="7"/>
      <x:c r="K103" s="6"/>
      <x:c r="L103" s="6"/>
      <x:c r="M103" s="2" t="str">
        <x:f>IF(A103="","",IF(NOT(ISNUMBER(I103)),"Eksik ilerleme",IF(I103=1,"Tamamlandı",IF(G103&lt;'Panel'!$N$5,"Gecikmiş",IF(I103&gt;0,"Devam ediyor","Başlamadı")))))</x:f>
      </x:c>
      <x:c r="N103" s="16" t="str">
        <x:f>IF(A103="","",IF(OR(F103="",G103="",G103&lt;F103),"Eksik tarih",MAX(0,MIN(1,('Panel'!$N$5-F103+1)/(G103-F103+1)))))</x:f>
      </x:c>
      <x:c r="O103" s="2" t="str">
        <x:f>IF(A103="","",IF(OR(NOT(ISNUMBER(H103)),NOT(ISNUMBER(I103))),"Eksik ilerleme",H103*I103))</x:f>
      </x:c>
      <x:c r="P103" s="2" t="str">
        <x:f>IF(A103="","",IF(OR(H103="",NOT(ISNUMBER(N103))),"Eksik plan",H103*N103))</x:f>
      </x:c>
      <x:c r="Q103" s="2" t="str">
        <x:f>IF(A103="","",IF(J103="","Eksik bitiş",J103-G103))</x:f>
      </x:c>
      <x:c r="R103" s="6"/>
      <x:c r="S103" s="2" t="str">
        <x:f>IF(AND(A103&lt;&gt;"",B103='Panel'!$C$5),COUNTIFS($B$7:B103,B103,$A$7:A103,"&lt;&gt;"),"")</x:f>
      </x:c>
    </x:row>
    <x:row r="104" ht="22" customHeight="1">
      <x:c r="A104" s="6"/>
      <x:c r="B104" s="6"/>
      <x:c r="C104" s="6"/>
      <x:c r="D104" s="6"/>
      <x:c r="E104" s="6"/>
      <x:c r="F104" s="7"/>
      <x:c r="G104" s="7"/>
      <x:c r="H104" s="6"/>
      <x:c r="I104" s="15"/>
      <x:c r="J104" s="7"/>
      <x:c r="K104" s="6"/>
      <x:c r="L104" s="6"/>
      <x:c r="M104" s="2" t="str">
        <x:f>IF(A104="","",IF(NOT(ISNUMBER(I104)),"Eksik ilerleme",IF(I104=1,"Tamamlandı",IF(G104&lt;'Panel'!$N$5,"Gecikmiş",IF(I104&gt;0,"Devam ediyor","Başlamadı")))))</x:f>
      </x:c>
      <x:c r="N104" s="16" t="str">
        <x:f>IF(A104="","",IF(OR(F104="",G104="",G104&lt;F104),"Eksik tarih",MAX(0,MIN(1,('Panel'!$N$5-F104+1)/(G104-F104+1)))))</x:f>
      </x:c>
      <x:c r="O104" s="2" t="str">
        <x:f>IF(A104="","",IF(OR(NOT(ISNUMBER(H104)),NOT(ISNUMBER(I104))),"Eksik ilerleme",H104*I104))</x:f>
      </x:c>
      <x:c r="P104" s="2" t="str">
        <x:f>IF(A104="","",IF(OR(H104="",NOT(ISNUMBER(N104))),"Eksik plan",H104*N104))</x:f>
      </x:c>
      <x:c r="Q104" s="2" t="str">
        <x:f>IF(A104="","",IF(J104="","Eksik bitiş",J104-G104))</x:f>
      </x:c>
      <x:c r="R104" s="6"/>
      <x:c r="S104" s="2" t="str">
        <x:f>IF(AND(A104&lt;&gt;"",B104='Panel'!$C$5),COUNTIFS($B$7:B104,B104,$A$7:A104,"&lt;&gt;"),"")</x:f>
      </x:c>
    </x:row>
    <x:row r="105" ht="22" customHeight="1">
      <x:c r="A105" s="6"/>
      <x:c r="B105" s="6"/>
      <x:c r="C105" s="6"/>
      <x:c r="D105" s="6"/>
      <x:c r="E105" s="6"/>
      <x:c r="F105" s="7"/>
      <x:c r="G105" s="7"/>
      <x:c r="H105" s="6"/>
      <x:c r="I105" s="15"/>
      <x:c r="J105" s="7"/>
      <x:c r="K105" s="6"/>
      <x:c r="L105" s="6"/>
      <x:c r="M105" s="2" t="str">
        <x:f>IF(A105="","",IF(NOT(ISNUMBER(I105)),"Eksik ilerleme",IF(I105=1,"Tamamlandı",IF(G105&lt;'Panel'!$N$5,"Gecikmiş",IF(I105&gt;0,"Devam ediyor","Başlamadı")))))</x:f>
      </x:c>
      <x:c r="N105" s="16" t="str">
        <x:f>IF(A105="","",IF(OR(F105="",G105="",G105&lt;F105),"Eksik tarih",MAX(0,MIN(1,('Panel'!$N$5-F105+1)/(G105-F105+1)))))</x:f>
      </x:c>
      <x:c r="O105" s="2" t="str">
        <x:f>IF(A105="","",IF(OR(NOT(ISNUMBER(H105)),NOT(ISNUMBER(I105))),"Eksik ilerleme",H105*I105))</x:f>
      </x:c>
      <x:c r="P105" s="2" t="str">
        <x:f>IF(A105="","",IF(OR(H105="",NOT(ISNUMBER(N105))),"Eksik plan",H105*N105))</x:f>
      </x:c>
      <x:c r="Q105" s="2" t="str">
        <x:f>IF(A105="","",IF(J105="","Eksik bitiş",J105-G105))</x:f>
      </x:c>
      <x:c r="R105" s="6"/>
      <x:c r="S105" s="2" t="str">
        <x:f>IF(AND(A105&lt;&gt;"",B105='Panel'!$C$5),COUNTIFS($B$7:B105,B105,$A$7:A105,"&lt;&gt;"),"")</x:f>
      </x:c>
    </x:row>
    <x:row r="106" ht="22" customHeight="1">
      <x:c r="A106" s="6"/>
      <x:c r="B106" s="6"/>
      <x:c r="C106" s="6"/>
      <x:c r="D106" s="6"/>
      <x:c r="E106" s="6"/>
      <x:c r="F106" s="7"/>
      <x:c r="G106" s="7"/>
      <x:c r="H106" s="6"/>
      <x:c r="I106" s="15"/>
      <x:c r="J106" s="7"/>
      <x:c r="K106" s="6"/>
      <x:c r="L106" s="6"/>
      <x:c r="M106" s="2" t="str">
        <x:f>IF(A106="","",IF(NOT(ISNUMBER(I106)),"Eksik ilerleme",IF(I106=1,"Tamamlandı",IF(G106&lt;'Panel'!$N$5,"Gecikmiş",IF(I106&gt;0,"Devam ediyor","Başlamadı")))))</x:f>
      </x:c>
      <x:c r="N106" s="16" t="str">
        <x:f>IF(A106="","",IF(OR(F106="",G106="",G106&lt;F106),"Eksik tarih",MAX(0,MIN(1,('Panel'!$N$5-F106+1)/(G106-F106+1)))))</x:f>
      </x:c>
      <x:c r="O106" s="2" t="str">
        <x:f>IF(A106="","",IF(OR(NOT(ISNUMBER(H106)),NOT(ISNUMBER(I106))),"Eksik ilerleme",H106*I106))</x:f>
      </x:c>
      <x:c r="P106" s="2" t="str">
        <x:f>IF(A106="","",IF(OR(H106="",NOT(ISNUMBER(N106))),"Eksik plan",H106*N106))</x:f>
      </x:c>
      <x:c r="Q106" s="2" t="str">
        <x:f>IF(A106="","",IF(J106="","Eksik bitiş",J106-G106))</x:f>
      </x:c>
      <x:c r="R106" s="6"/>
      <x:c r="S106" s="2" t="str">
        <x:f>IF(AND(A106&lt;&gt;"",B106='Panel'!$C$5),COUNTIFS($B$7:B106,B106,$A$7:A106,"&lt;&gt;"),"")</x:f>
      </x:c>
    </x:row>
    <x:row r="107" ht="22" customHeight="1">
      <x:c r="A107" s="6"/>
      <x:c r="B107" s="6"/>
      <x:c r="C107" s="6"/>
      <x:c r="D107" s="6"/>
      <x:c r="E107" s="6"/>
      <x:c r="F107" s="7"/>
      <x:c r="G107" s="7"/>
      <x:c r="H107" s="6"/>
      <x:c r="I107" s="15"/>
      <x:c r="J107" s="7"/>
      <x:c r="K107" s="6"/>
      <x:c r="L107" s="6"/>
      <x:c r="M107" s="2" t="str">
        <x:f>IF(A107="","",IF(NOT(ISNUMBER(I107)),"Eksik ilerleme",IF(I107=1,"Tamamlandı",IF(G107&lt;'Panel'!$N$5,"Gecikmiş",IF(I107&gt;0,"Devam ediyor","Başlamadı")))))</x:f>
      </x:c>
      <x:c r="N107" s="16" t="str">
        <x:f>IF(A107="","",IF(OR(F107="",G107="",G107&lt;F107),"Eksik tarih",MAX(0,MIN(1,('Panel'!$N$5-F107+1)/(G107-F107+1)))))</x:f>
      </x:c>
      <x:c r="O107" s="2" t="str">
        <x:f>IF(A107="","",IF(OR(NOT(ISNUMBER(H107)),NOT(ISNUMBER(I107))),"Eksik ilerleme",H107*I107))</x:f>
      </x:c>
      <x:c r="P107" s="2" t="str">
        <x:f>IF(A107="","",IF(OR(H107="",NOT(ISNUMBER(N107))),"Eksik plan",H107*N107))</x:f>
      </x:c>
      <x:c r="Q107" s="2" t="str">
        <x:f>IF(A107="","",IF(J107="","Eksik bitiş",J107-G107))</x:f>
      </x:c>
      <x:c r="R107" s="6"/>
      <x:c r="S107" s="2" t="str">
        <x:f>IF(AND(A107&lt;&gt;"",B107='Panel'!$C$5),COUNTIFS($B$7:B107,B107,$A$7:A107,"&lt;&gt;"),"")</x:f>
      </x:c>
    </x:row>
    <x:row r="108" ht="22" customHeight="1">
      <x:c r="A108" s="6"/>
      <x:c r="B108" s="6"/>
      <x:c r="C108" s="6"/>
      <x:c r="D108" s="6"/>
      <x:c r="E108" s="6"/>
      <x:c r="F108" s="7"/>
      <x:c r="G108" s="7"/>
      <x:c r="H108" s="6"/>
      <x:c r="I108" s="15"/>
      <x:c r="J108" s="7"/>
      <x:c r="K108" s="6"/>
      <x:c r="L108" s="6"/>
      <x:c r="M108" s="2" t="str">
        <x:f>IF(A108="","",IF(NOT(ISNUMBER(I108)),"Eksik ilerleme",IF(I108=1,"Tamamlandı",IF(G108&lt;'Panel'!$N$5,"Gecikmiş",IF(I108&gt;0,"Devam ediyor","Başlamadı")))))</x:f>
      </x:c>
      <x:c r="N108" s="16" t="str">
        <x:f>IF(A108="","",IF(OR(F108="",G108="",G108&lt;F108),"Eksik tarih",MAX(0,MIN(1,('Panel'!$N$5-F108+1)/(G108-F108+1)))))</x:f>
      </x:c>
      <x:c r="O108" s="2" t="str">
        <x:f>IF(A108="","",IF(OR(NOT(ISNUMBER(H108)),NOT(ISNUMBER(I108))),"Eksik ilerleme",H108*I108))</x:f>
      </x:c>
      <x:c r="P108" s="2" t="str">
        <x:f>IF(A108="","",IF(OR(H108="",NOT(ISNUMBER(N108))),"Eksik plan",H108*N108))</x:f>
      </x:c>
      <x:c r="Q108" s="2" t="str">
        <x:f>IF(A108="","",IF(J108="","Eksik bitiş",J108-G108))</x:f>
      </x:c>
      <x:c r="R108" s="6"/>
      <x:c r="S108" s="2" t="str">
        <x:f>IF(AND(A108&lt;&gt;"",B108='Panel'!$C$5),COUNTIFS($B$7:B108,B108,$A$7:A108,"&lt;&gt;"),"")</x:f>
      </x:c>
    </x:row>
    <x:row r="109" ht="22" customHeight="1">
      <x:c r="A109" s="6"/>
      <x:c r="B109" s="6"/>
      <x:c r="C109" s="6"/>
      <x:c r="D109" s="6"/>
      <x:c r="E109" s="6"/>
      <x:c r="F109" s="7"/>
      <x:c r="G109" s="7"/>
      <x:c r="H109" s="6"/>
      <x:c r="I109" s="15"/>
      <x:c r="J109" s="7"/>
      <x:c r="K109" s="6"/>
      <x:c r="L109" s="6"/>
      <x:c r="M109" s="2" t="str">
        <x:f>IF(A109="","",IF(NOT(ISNUMBER(I109)),"Eksik ilerleme",IF(I109=1,"Tamamlandı",IF(G109&lt;'Panel'!$N$5,"Gecikmiş",IF(I109&gt;0,"Devam ediyor","Başlamadı")))))</x:f>
      </x:c>
      <x:c r="N109" s="16" t="str">
        <x:f>IF(A109="","",IF(OR(F109="",G109="",G109&lt;F109),"Eksik tarih",MAX(0,MIN(1,('Panel'!$N$5-F109+1)/(G109-F109+1)))))</x:f>
      </x:c>
      <x:c r="O109" s="2" t="str">
        <x:f>IF(A109="","",IF(OR(NOT(ISNUMBER(H109)),NOT(ISNUMBER(I109))),"Eksik ilerleme",H109*I109))</x:f>
      </x:c>
      <x:c r="P109" s="2" t="str">
        <x:f>IF(A109="","",IF(OR(H109="",NOT(ISNUMBER(N109))),"Eksik plan",H109*N109))</x:f>
      </x:c>
      <x:c r="Q109" s="2" t="str">
        <x:f>IF(A109="","",IF(J109="","Eksik bitiş",J109-G109))</x:f>
      </x:c>
      <x:c r="R109" s="6"/>
      <x:c r="S109" s="2" t="str">
        <x:f>IF(AND(A109&lt;&gt;"",B109='Panel'!$C$5),COUNTIFS($B$7:B109,B109,$A$7:A109,"&lt;&gt;"),"")</x:f>
      </x:c>
    </x:row>
    <x:row r="110" ht="22" customHeight="1">
      <x:c r="A110" s="6"/>
      <x:c r="B110" s="6"/>
      <x:c r="C110" s="6"/>
      <x:c r="D110" s="6"/>
      <x:c r="E110" s="6"/>
      <x:c r="F110" s="7"/>
      <x:c r="G110" s="7"/>
      <x:c r="H110" s="6"/>
      <x:c r="I110" s="15"/>
      <x:c r="J110" s="7"/>
      <x:c r="K110" s="6"/>
      <x:c r="L110" s="6"/>
      <x:c r="M110" s="2" t="str">
        <x:f>IF(A110="","",IF(NOT(ISNUMBER(I110)),"Eksik ilerleme",IF(I110=1,"Tamamlandı",IF(G110&lt;'Panel'!$N$5,"Gecikmiş",IF(I110&gt;0,"Devam ediyor","Başlamadı")))))</x:f>
      </x:c>
      <x:c r="N110" s="16" t="str">
        <x:f>IF(A110="","",IF(OR(F110="",G110="",G110&lt;F110),"Eksik tarih",MAX(0,MIN(1,('Panel'!$N$5-F110+1)/(G110-F110+1)))))</x:f>
      </x:c>
      <x:c r="O110" s="2" t="str">
        <x:f>IF(A110="","",IF(OR(NOT(ISNUMBER(H110)),NOT(ISNUMBER(I110))),"Eksik ilerleme",H110*I110))</x:f>
      </x:c>
      <x:c r="P110" s="2" t="str">
        <x:f>IF(A110="","",IF(OR(H110="",NOT(ISNUMBER(N110))),"Eksik plan",H110*N110))</x:f>
      </x:c>
      <x:c r="Q110" s="2" t="str">
        <x:f>IF(A110="","",IF(J110="","Eksik bitiş",J110-G110))</x:f>
      </x:c>
      <x:c r="R110" s="6"/>
      <x:c r="S110" s="2" t="str">
        <x:f>IF(AND(A110&lt;&gt;"",B110='Panel'!$C$5),COUNTIFS($B$7:B110,B110,$A$7:A110,"&lt;&gt;"),"")</x:f>
      </x:c>
    </x:row>
    <x:row r="111" ht="22" customHeight="1">
      <x:c r="A111" s="6"/>
      <x:c r="B111" s="6"/>
      <x:c r="C111" s="6"/>
      <x:c r="D111" s="6"/>
      <x:c r="E111" s="6"/>
      <x:c r="F111" s="7"/>
      <x:c r="G111" s="7"/>
      <x:c r="H111" s="6"/>
      <x:c r="I111" s="15"/>
      <x:c r="J111" s="7"/>
      <x:c r="K111" s="6"/>
      <x:c r="L111" s="6"/>
      <x:c r="M111" s="2" t="str">
        <x:f>IF(A111="","",IF(NOT(ISNUMBER(I111)),"Eksik ilerleme",IF(I111=1,"Tamamlandı",IF(G111&lt;'Panel'!$N$5,"Gecikmiş",IF(I111&gt;0,"Devam ediyor","Başlamadı")))))</x:f>
      </x:c>
      <x:c r="N111" s="16" t="str">
        <x:f>IF(A111="","",IF(OR(F111="",G111="",G111&lt;F111),"Eksik tarih",MAX(0,MIN(1,('Panel'!$N$5-F111+1)/(G111-F111+1)))))</x:f>
      </x:c>
      <x:c r="O111" s="2" t="str">
        <x:f>IF(A111="","",IF(OR(NOT(ISNUMBER(H111)),NOT(ISNUMBER(I111))),"Eksik ilerleme",H111*I111))</x:f>
      </x:c>
      <x:c r="P111" s="2" t="str">
        <x:f>IF(A111="","",IF(OR(H111="",NOT(ISNUMBER(N111))),"Eksik plan",H111*N111))</x:f>
      </x:c>
      <x:c r="Q111" s="2" t="str">
        <x:f>IF(A111="","",IF(J111="","Eksik bitiş",J111-G111))</x:f>
      </x:c>
      <x:c r="R111" s="6"/>
      <x:c r="S111" s="2" t="str">
        <x:f>IF(AND(A111&lt;&gt;"",B111='Panel'!$C$5),COUNTIFS($B$7:B111,B111,$A$7:A111,"&lt;&gt;"),"")</x:f>
      </x:c>
    </x:row>
    <x:row r="112" ht="22" customHeight="1">
      <x:c r="A112" s="6"/>
      <x:c r="B112" s="6"/>
      <x:c r="C112" s="6"/>
      <x:c r="D112" s="6"/>
      <x:c r="E112" s="6"/>
      <x:c r="F112" s="7"/>
      <x:c r="G112" s="7"/>
      <x:c r="H112" s="6"/>
      <x:c r="I112" s="15"/>
      <x:c r="J112" s="7"/>
      <x:c r="K112" s="6"/>
      <x:c r="L112" s="6"/>
      <x:c r="M112" s="2" t="str">
        <x:f>IF(A112="","",IF(NOT(ISNUMBER(I112)),"Eksik ilerleme",IF(I112=1,"Tamamlandı",IF(G112&lt;'Panel'!$N$5,"Gecikmiş",IF(I112&gt;0,"Devam ediyor","Başlamadı")))))</x:f>
      </x:c>
      <x:c r="N112" s="16" t="str">
        <x:f>IF(A112="","",IF(OR(F112="",G112="",G112&lt;F112),"Eksik tarih",MAX(0,MIN(1,('Panel'!$N$5-F112+1)/(G112-F112+1)))))</x:f>
      </x:c>
      <x:c r="O112" s="2" t="str">
        <x:f>IF(A112="","",IF(OR(NOT(ISNUMBER(H112)),NOT(ISNUMBER(I112))),"Eksik ilerleme",H112*I112))</x:f>
      </x:c>
      <x:c r="P112" s="2" t="str">
        <x:f>IF(A112="","",IF(OR(H112="",NOT(ISNUMBER(N112))),"Eksik plan",H112*N112))</x:f>
      </x:c>
      <x:c r="Q112" s="2" t="str">
        <x:f>IF(A112="","",IF(J112="","Eksik bitiş",J112-G112))</x:f>
      </x:c>
      <x:c r="R112" s="6"/>
      <x:c r="S112" s="2" t="str">
        <x:f>IF(AND(A112&lt;&gt;"",B112='Panel'!$C$5),COUNTIFS($B$7:B112,B112,$A$7:A112,"&lt;&gt;"),"")</x:f>
      </x:c>
    </x:row>
    <x:row r="113" ht="22" customHeight="1">
      <x:c r="A113" s="6"/>
      <x:c r="B113" s="6"/>
      <x:c r="C113" s="6"/>
      <x:c r="D113" s="6"/>
      <x:c r="E113" s="6"/>
      <x:c r="F113" s="7"/>
      <x:c r="G113" s="7"/>
      <x:c r="H113" s="6"/>
      <x:c r="I113" s="15"/>
      <x:c r="J113" s="7"/>
      <x:c r="K113" s="6"/>
      <x:c r="L113" s="6"/>
      <x:c r="M113" s="2" t="str">
        <x:f>IF(A113="","",IF(NOT(ISNUMBER(I113)),"Eksik ilerleme",IF(I113=1,"Tamamlandı",IF(G113&lt;'Panel'!$N$5,"Gecikmiş",IF(I113&gt;0,"Devam ediyor","Başlamadı")))))</x:f>
      </x:c>
      <x:c r="N113" s="16" t="str">
        <x:f>IF(A113="","",IF(OR(F113="",G113="",G113&lt;F113),"Eksik tarih",MAX(0,MIN(1,('Panel'!$N$5-F113+1)/(G113-F113+1)))))</x:f>
      </x:c>
      <x:c r="O113" s="2" t="str">
        <x:f>IF(A113="","",IF(OR(NOT(ISNUMBER(H113)),NOT(ISNUMBER(I113))),"Eksik ilerleme",H113*I113))</x:f>
      </x:c>
      <x:c r="P113" s="2" t="str">
        <x:f>IF(A113="","",IF(OR(H113="",NOT(ISNUMBER(N113))),"Eksik plan",H113*N113))</x:f>
      </x:c>
      <x:c r="Q113" s="2" t="str">
        <x:f>IF(A113="","",IF(J113="","Eksik bitiş",J113-G113))</x:f>
      </x:c>
      <x:c r="R113" s="6"/>
      <x:c r="S113" s="2" t="str">
        <x:f>IF(AND(A113&lt;&gt;"",B113='Panel'!$C$5),COUNTIFS($B$7:B113,B113,$A$7:A113,"&lt;&gt;"),"")</x:f>
      </x:c>
    </x:row>
    <x:row r="114" ht="22" customHeight="1">
      <x:c r="A114" s="6"/>
      <x:c r="B114" s="6"/>
      <x:c r="C114" s="6"/>
      <x:c r="D114" s="6"/>
      <x:c r="E114" s="6"/>
      <x:c r="F114" s="7"/>
      <x:c r="G114" s="7"/>
      <x:c r="H114" s="6"/>
      <x:c r="I114" s="15"/>
      <x:c r="J114" s="7"/>
      <x:c r="K114" s="6"/>
      <x:c r="L114" s="6"/>
      <x:c r="M114" s="2" t="str">
        <x:f>IF(A114="","",IF(NOT(ISNUMBER(I114)),"Eksik ilerleme",IF(I114=1,"Tamamlandı",IF(G114&lt;'Panel'!$N$5,"Gecikmiş",IF(I114&gt;0,"Devam ediyor","Başlamadı")))))</x:f>
      </x:c>
      <x:c r="N114" s="16" t="str">
        <x:f>IF(A114="","",IF(OR(F114="",G114="",G114&lt;F114),"Eksik tarih",MAX(0,MIN(1,('Panel'!$N$5-F114+1)/(G114-F114+1)))))</x:f>
      </x:c>
      <x:c r="O114" s="2" t="str">
        <x:f>IF(A114="","",IF(OR(NOT(ISNUMBER(H114)),NOT(ISNUMBER(I114))),"Eksik ilerleme",H114*I114))</x:f>
      </x:c>
      <x:c r="P114" s="2" t="str">
        <x:f>IF(A114="","",IF(OR(H114="",NOT(ISNUMBER(N114))),"Eksik plan",H114*N114))</x:f>
      </x:c>
      <x:c r="Q114" s="2" t="str">
        <x:f>IF(A114="","",IF(J114="","Eksik bitiş",J114-G114))</x:f>
      </x:c>
      <x:c r="R114" s="6"/>
      <x:c r="S114" s="2" t="str">
        <x:f>IF(AND(A114&lt;&gt;"",B114='Panel'!$C$5),COUNTIFS($B$7:B114,B114,$A$7:A114,"&lt;&gt;"),"")</x:f>
      </x:c>
    </x:row>
    <x:row r="115" ht="22" customHeight="1">
      <x:c r="A115" s="6"/>
      <x:c r="B115" s="6"/>
      <x:c r="C115" s="6"/>
      <x:c r="D115" s="6"/>
      <x:c r="E115" s="6"/>
      <x:c r="F115" s="7"/>
      <x:c r="G115" s="7"/>
      <x:c r="H115" s="6"/>
      <x:c r="I115" s="15"/>
      <x:c r="J115" s="7"/>
      <x:c r="K115" s="6"/>
      <x:c r="L115" s="6"/>
      <x:c r="M115" s="2" t="str">
        <x:f>IF(A115="","",IF(NOT(ISNUMBER(I115)),"Eksik ilerleme",IF(I115=1,"Tamamlandı",IF(G115&lt;'Panel'!$N$5,"Gecikmiş",IF(I115&gt;0,"Devam ediyor","Başlamadı")))))</x:f>
      </x:c>
      <x:c r="N115" s="16" t="str">
        <x:f>IF(A115="","",IF(OR(F115="",G115="",G115&lt;F115),"Eksik tarih",MAX(0,MIN(1,('Panel'!$N$5-F115+1)/(G115-F115+1)))))</x:f>
      </x:c>
      <x:c r="O115" s="2" t="str">
        <x:f>IF(A115="","",IF(OR(NOT(ISNUMBER(H115)),NOT(ISNUMBER(I115))),"Eksik ilerleme",H115*I115))</x:f>
      </x:c>
      <x:c r="P115" s="2" t="str">
        <x:f>IF(A115="","",IF(OR(H115="",NOT(ISNUMBER(N115))),"Eksik plan",H115*N115))</x:f>
      </x:c>
      <x:c r="Q115" s="2" t="str">
        <x:f>IF(A115="","",IF(J115="","Eksik bitiş",J115-G115))</x:f>
      </x:c>
      <x:c r="R115" s="6"/>
      <x:c r="S115" s="2" t="str">
        <x:f>IF(AND(A115&lt;&gt;"",B115='Panel'!$C$5),COUNTIFS($B$7:B115,B115,$A$7:A115,"&lt;&gt;"),"")</x:f>
      </x:c>
    </x:row>
    <x:row r="116" ht="22" customHeight="1">
      <x:c r="A116" s="6"/>
      <x:c r="B116" s="6"/>
      <x:c r="C116" s="6"/>
      <x:c r="D116" s="6"/>
      <x:c r="E116" s="6"/>
      <x:c r="F116" s="7"/>
      <x:c r="G116" s="7"/>
      <x:c r="H116" s="6"/>
      <x:c r="I116" s="15"/>
      <x:c r="J116" s="7"/>
      <x:c r="K116" s="6"/>
      <x:c r="L116" s="6"/>
      <x:c r="M116" s="2" t="str">
        <x:f>IF(A116="","",IF(NOT(ISNUMBER(I116)),"Eksik ilerleme",IF(I116=1,"Tamamlandı",IF(G116&lt;'Panel'!$N$5,"Gecikmiş",IF(I116&gt;0,"Devam ediyor","Başlamadı")))))</x:f>
      </x:c>
      <x:c r="N116" s="16" t="str">
        <x:f>IF(A116="","",IF(OR(F116="",G116="",G116&lt;F116),"Eksik tarih",MAX(0,MIN(1,('Panel'!$N$5-F116+1)/(G116-F116+1)))))</x:f>
      </x:c>
      <x:c r="O116" s="2" t="str">
        <x:f>IF(A116="","",IF(OR(NOT(ISNUMBER(H116)),NOT(ISNUMBER(I116))),"Eksik ilerleme",H116*I116))</x:f>
      </x:c>
      <x:c r="P116" s="2" t="str">
        <x:f>IF(A116="","",IF(OR(H116="",NOT(ISNUMBER(N116))),"Eksik plan",H116*N116))</x:f>
      </x:c>
      <x:c r="Q116" s="2" t="str">
        <x:f>IF(A116="","",IF(J116="","Eksik bitiş",J116-G116))</x:f>
      </x:c>
      <x:c r="R116" s="6"/>
      <x:c r="S116" s="2" t="str">
        <x:f>IF(AND(A116&lt;&gt;"",B116='Panel'!$C$5),COUNTIFS($B$7:B116,B116,$A$7:A116,"&lt;&gt;"),"")</x:f>
      </x:c>
    </x:row>
    <x:row r="117" ht="22" customHeight="1">
      <x:c r="A117" s="6"/>
      <x:c r="B117" s="6"/>
      <x:c r="C117" s="6"/>
      <x:c r="D117" s="6"/>
      <x:c r="E117" s="6"/>
      <x:c r="F117" s="7"/>
      <x:c r="G117" s="7"/>
      <x:c r="H117" s="6"/>
      <x:c r="I117" s="15"/>
      <x:c r="J117" s="7"/>
      <x:c r="K117" s="6"/>
      <x:c r="L117" s="6"/>
      <x:c r="M117" s="2" t="str">
        <x:f>IF(A117="","",IF(NOT(ISNUMBER(I117)),"Eksik ilerleme",IF(I117=1,"Tamamlandı",IF(G117&lt;'Panel'!$N$5,"Gecikmiş",IF(I117&gt;0,"Devam ediyor","Başlamadı")))))</x:f>
      </x:c>
      <x:c r="N117" s="16" t="str">
        <x:f>IF(A117="","",IF(OR(F117="",G117="",G117&lt;F117),"Eksik tarih",MAX(0,MIN(1,('Panel'!$N$5-F117+1)/(G117-F117+1)))))</x:f>
      </x:c>
      <x:c r="O117" s="2" t="str">
        <x:f>IF(A117="","",IF(OR(NOT(ISNUMBER(H117)),NOT(ISNUMBER(I117))),"Eksik ilerleme",H117*I117))</x:f>
      </x:c>
      <x:c r="P117" s="2" t="str">
        <x:f>IF(A117="","",IF(OR(H117="",NOT(ISNUMBER(N117))),"Eksik plan",H117*N117))</x:f>
      </x:c>
      <x:c r="Q117" s="2" t="str">
        <x:f>IF(A117="","",IF(J117="","Eksik bitiş",J117-G117))</x:f>
      </x:c>
      <x:c r="R117" s="6"/>
      <x:c r="S117" s="2" t="str">
        <x:f>IF(AND(A117&lt;&gt;"",B117='Panel'!$C$5),COUNTIFS($B$7:B117,B117,$A$7:A117,"&lt;&gt;"),"")</x:f>
      </x:c>
    </x:row>
    <x:row r="118" ht="22" customHeight="1">
      <x:c r="A118" s="6"/>
      <x:c r="B118" s="6"/>
      <x:c r="C118" s="6"/>
      <x:c r="D118" s="6"/>
      <x:c r="E118" s="6"/>
      <x:c r="F118" s="7"/>
      <x:c r="G118" s="7"/>
      <x:c r="H118" s="6"/>
      <x:c r="I118" s="15"/>
      <x:c r="J118" s="7"/>
      <x:c r="K118" s="6"/>
      <x:c r="L118" s="6"/>
      <x:c r="M118" s="2" t="str">
        <x:f>IF(A118="","",IF(NOT(ISNUMBER(I118)),"Eksik ilerleme",IF(I118=1,"Tamamlandı",IF(G118&lt;'Panel'!$N$5,"Gecikmiş",IF(I118&gt;0,"Devam ediyor","Başlamadı")))))</x:f>
      </x:c>
      <x:c r="N118" s="16" t="str">
        <x:f>IF(A118="","",IF(OR(F118="",G118="",G118&lt;F118),"Eksik tarih",MAX(0,MIN(1,('Panel'!$N$5-F118+1)/(G118-F118+1)))))</x:f>
      </x:c>
      <x:c r="O118" s="2" t="str">
        <x:f>IF(A118="","",IF(OR(NOT(ISNUMBER(H118)),NOT(ISNUMBER(I118))),"Eksik ilerleme",H118*I118))</x:f>
      </x:c>
      <x:c r="P118" s="2" t="str">
        <x:f>IF(A118="","",IF(OR(H118="",NOT(ISNUMBER(N118))),"Eksik plan",H118*N118))</x:f>
      </x:c>
      <x:c r="Q118" s="2" t="str">
        <x:f>IF(A118="","",IF(J118="","Eksik bitiş",J118-G118))</x:f>
      </x:c>
      <x:c r="R118" s="6"/>
      <x:c r="S118" s="2" t="str">
        <x:f>IF(AND(A118&lt;&gt;"",B118='Panel'!$C$5),COUNTIFS($B$7:B118,B118,$A$7:A118,"&lt;&gt;"),"")</x:f>
      </x:c>
    </x:row>
    <x:row r="119" ht="22" customHeight="1">
      <x:c r="A119" s="6"/>
      <x:c r="B119" s="6"/>
      <x:c r="C119" s="6"/>
      <x:c r="D119" s="6"/>
      <x:c r="E119" s="6"/>
      <x:c r="F119" s="7"/>
      <x:c r="G119" s="7"/>
      <x:c r="H119" s="6"/>
      <x:c r="I119" s="15"/>
      <x:c r="J119" s="7"/>
      <x:c r="K119" s="6"/>
      <x:c r="L119" s="6"/>
      <x:c r="M119" s="2" t="str">
        <x:f>IF(A119="","",IF(NOT(ISNUMBER(I119)),"Eksik ilerleme",IF(I119=1,"Tamamlandı",IF(G119&lt;'Panel'!$N$5,"Gecikmiş",IF(I119&gt;0,"Devam ediyor","Başlamadı")))))</x:f>
      </x:c>
      <x:c r="N119" s="16" t="str">
        <x:f>IF(A119="","",IF(OR(F119="",G119="",G119&lt;F119),"Eksik tarih",MAX(0,MIN(1,('Panel'!$N$5-F119+1)/(G119-F119+1)))))</x:f>
      </x:c>
      <x:c r="O119" s="2" t="str">
        <x:f>IF(A119="","",IF(OR(NOT(ISNUMBER(H119)),NOT(ISNUMBER(I119))),"Eksik ilerleme",H119*I119))</x:f>
      </x:c>
      <x:c r="P119" s="2" t="str">
        <x:f>IF(A119="","",IF(OR(H119="",NOT(ISNUMBER(N119))),"Eksik plan",H119*N119))</x:f>
      </x:c>
      <x:c r="Q119" s="2" t="str">
        <x:f>IF(A119="","",IF(J119="","Eksik bitiş",J119-G119))</x:f>
      </x:c>
      <x:c r="R119" s="6"/>
      <x:c r="S119" s="2" t="str">
        <x:f>IF(AND(A119&lt;&gt;"",B119='Panel'!$C$5),COUNTIFS($B$7:B119,B119,$A$7:A119,"&lt;&gt;"),"")</x:f>
      </x:c>
    </x:row>
    <x:row r="120" ht="22" customHeight="1">
      <x:c r="A120" s="6"/>
      <x:c r="B120" s="6"/>
      <x:c r="C120" s="6"/>
      <x:c r="D120" s="6"/>
      <x:c r="E120" s="6"/>
      <x:c r="F120" s="7"/>
      <x:c r="G120" s="7"/>
      <x:c r="H120" s="6"/>
      <x:c r="I120" s="15"/>
      <x:c r="J120" s="7"/>
      <x:c r="K120" s="6"/>
      <x:c r="L120" s="6"/>
      <x:c r="M120" s="2" t="str">
        <x:f>IF(A120="","",IF(NOT(ISNUMBER(I120)),"Eksik ilerleme",IF(I120=1,"Tamamlandı",IF(G120&lt;'Panel'!$N$5,"Gecikmiş",IF(I120&gt;0,"Devam ediyor","Başlamadı")))))</x:f>
      </x:c>
      <x:c r="N120" s="16" t="str">
        <x:f>IF(A120="","",IF(OR(F120="",G120="",G120&lt;F120),"Eksik tarih",MAX(0,MIN(1,('Panel'!$N$5-F120+1)/(G120-F120+1)))))</x:f>
      </x:c>
      <x:c r="O120" s="2" t="str">
        <x:f>IF(A120="","",IF(OR(NOT(ISNUMBER(H120)),NOT(ISNUMBER(I120))),"Eksik ilerleme",H120*I120))</x:f>
      </x:c>
      <x:c r="P120" s="2" t="str">
        <x:f>IF(A120="","",IF(OR(H120="",NOT(ISNUMBER(N120))),"Eksik plan",H120*N120))</x:f>
      </x:c>
      <x:c r="Q120" s="2" t="str">
        <x:f>IF(A120="","",IF(J120="","Eksik bitiş",J120-G120))</x:f>
      </x:c>
      <x:c r="R120" s="6"/>
      <x:c r="S120" s="2" t="str">
        <x:f>IF(AND(A120&lt;&gt;"",B120='Panel'!$C$5),COUNTIFS($B$7:B120,B120,$A$7:A120,"&lt;&gt;"),"")</x:f>
      </x:c>
    </x:row>
    <x:row r="121" ht="22" customHeight="1">
      <x:c r="A121" s="6"/>
      <x:c r="B121" s="6"/>
      <x:c r="C121" s="6"/>
      <x:c r="D121" s="6"/>
      <x:c r="E121" s="6"/>
      <x:c r="F121" s="7"/>
      <x:c r="G121" s="7"/>
      <x:c r="H121" s="6"/>
      <x:c r="I121" s="15"/>
      <x:c r="J121" s="7"/>
      <x:c r="K121" s="6"/>
      <x:c r="L121" s="6"/>
      <x:c r="M121" s="2" t="str">
        <x:f>IF(A121="","",IF(NOT(ISNUMBER(I121)),"Eksik ilerleme",IF(I121=1,"Tamamlandı",IF(G121&lt;'Panel'!$N$5,"Gecikmiş",IF(I121&gt;0,"Devam ediyor","Başlamadı")))))</x:f>
      </x:c>
      <x:c r="N121" s="16" t="str">
        <x:f>IF(A121="","",IF(OR(F121="",G121="",G121&lt;F121),"Eksik tarih",MAX(0,MIN(1,('Panel'!$N$5-F121+1)/(G121-F121+1)))))</x:f>
      </x:c>
      <x:c r="O121" s="2" t="str">
        <x:f>IF(A121="","",IF(OR(NOT(ISNUMBER(H121)),NOT(ISNUMBER(I121))),"Eksik ilerleme",H121*I121))</x:f>
      </x:c>
      <x:c r="P121" s="2" t="str">
        <x:f>IF(A121="","",IF(OR(H121="",NOT(ISNUMBER(N121))),"Eksik plan",H121*N121))</x:f>
      </x:c>
      <x:c r="Q121" s="2" t="str">
        <x:f>IF(A121="","",IF(J121="","Eksik bitiş",J121-G121))</x:f>
      </x:c>
      <x:c r="R121" s="6"/>
      <x:c r="S121" s="2" t="str">
        <x:f>IF(AND(A121&lt;&gt;"",B121='Panel'!$C$5),COUNTIFS($B$7:B121,B121,$A$7:A121,"&lt;&gt;"),"")</x:f>
      </x:c>
    </x:row>
    <x:row r="122" ht="22" customHeight="1">
      <x:c r="A122" s="6"/>
      <x:c r="B122" s="6"/>
      <x:c r="C122" s="6"/>
      <x:c r="D122" s="6"/>
      <x:c r="E122" s="6"/>
      <x:c r="F122" s="7"/>
      <x:c r="G122" s="7"/>
      <x:c r="H122" s="6"/>
      <x:c r="I122" s="15"/>
      <x:c r="J122" s="7"/>
      <x:c r="K122" s="6"/>
      <x:c r="L122" s="6"/>
      <x:c r="M122" s="2" t="str">
        <x:f>IF(A122="","",IF(NOT(ISNUMBER(I122)),"Eksik ilerleme",IF(I122=1,"Tamamlandı",IF(G122&lt;'Panel'!$N$5,"Gecikmiş",IF(I122&gt;0,"Devam ediyor","Başlamadı")))))</x:f>
      </x:c>
      <x:c r="N122" s="16" t="str">
        <x:f>IF(A122="","",IF(OR(F122="",G122="",G122&lt;F122),"Eksik tarih",MAX(0,MIN(1,('Panel'!$N$5-F122+1)/(G122-F122+1)))))</x:f>
      </x:c>
      <x:c r="O122" s="2" t="str">
        <x:f>IF(A122="","",IF(OR(NOT(ISNUMBER(H122)),NOT(ISNUMBER(I122))),"Eksik ilerleme",H122*I122))</x:f>
      </x:c>
      <x:c r="P122" s="2" t="str">
        <x:f>IF(A122="","",IF(OR(H122="",NOT(ISNUMBER(N122))),"Eksik plan",H122*N122))</x:f>
      </x:c>
      <x:c r="Q122" s="2" t="str">
        <x:f>IF(A122="","",IF(J122="","Eksik bitiş",J122-G122))</x:f>
      </x:c>
      <x:c r="R122" s="6"/>
      <x:c r="S122" s="2" t="str">
        <x:f>IF(AND(A122&lt;&gt;"",B122='Panel'!$C$5),COUNTIFS($B$7:B122,B122,$A$7:A122,"&lt;&gt;"),"")</x:f>
      </x:c>
    </x:row>
    <x:row r="123" ht="22" customHeight="1">
      <x:c r="A123" s="6"/>
      <x:c r="B123" s="6"/>
      <x:c r="C123" s="6"/>
      <x:c r="D123" s="6"/>
      <x:c r="E123" s="6"/>
      <x:c r="F123" s="7"/>
      <x:c r="G123" s="7"/>
      <x:c r="H123" s="6"/>
      <x:c r="I123" s="15"/>
      <x:c r="J123" s="7"/>
      <x:c r="K123" s="6"/>
      <x:c r="L123" s="6"/>
      <x:c r="M123" s="2" t="str">
        <x:f>IF(A123="","",IF(NOT(ISNUMBER(I123)),"Eksik ilerleme",IF(I123=1,"Tamamlandı",IF(G123&lt;'Panel'!$N$5,"Gecikmiş",IF(I123&gt;0,"Devam ediyor","Başlamadı")))))</x:f>
      </x:c>
      <x:c r="N123" s="16" t="str">
        <x:f>IF(A123="","",IF(OR(F123="",G123="",G123&lt;F123),"Eksik tarih",MAX(0,MIN(1,('Panel'!$N$5-F123+1)/(G123-F123+1)))))</x:f>
      </x:c>
      <x:c r="O123" s="2" t="str">
        <x:f>IF(A123="","",IF(OR(NOT(ISNUMBER(H123)),NOT(ISNUMBER(I123))),"Eksik ilerleme",H123*I123))</x:f>
      </x:c>
      <x:c r="P123" s="2" t="str">
        <x:f>IF(A123="","",IF(OR(H123="",NOT(ISNUMBER(N123))),"Eksik plan",H123*N123))</x:f>
      </x:c>
      <x:c r="Q123" s="2" t="str">
        <x:f>IF(A123="","",IF(J123="","Eksik bitiş",J123-G123))</x:f>
      </x:c>
      <x:c r="R123" s="6"/>
      <x:c r="S123" s="2" t="str">
        <x:f>IF(AND(A123&lt;&gt;"",B123='Panel'!$C$5),COUNTIFS($B$7:B123,B123,$A$7:A123,"&lt;&gt;"),"")</x:f>
      </x:c>
    </x:row>
    <x:row r="124" ht="22" customHeight="1">
      <x:c r="A124" s="6"/>
      <x:c r="B124" s="6"/>
      <x:c r="C124" s="6"/>
      <x:c r="D124" s="6"/>
      <x:c r="E124" s="6"/>
      <x:c r="F124" s="7"/>
      <x:c r="G124" s="7"/>
      <x:c r="H124" s="6"/>
      <x:c r="I124" s="15"/>
      <x:c r="J124" s="7"/>
      <x:c r="K124" s="6"/>
      <x:c r="L124" s="6"/>
      <x:c r="M124" s="2" t="str">
        <x:f>IF(A124="","",IF(NOT(ISNUMBER(I124)),"Eksik ilerleme",IF(I124=1,"Tamamlandı",IF(G124&lt;'Panel'!$N$5,"Gecikmiş",IF(I124&gt;0,"Devam ediyor","Başlamadı")))))</x:f>
      </x:c>
      <x:c r="N124" s="16" t="str">
        <x:f>IF(A124="","",IF(OR(F124="",G124="",G124&lt;F124),"Eksik tarih",MAX(0,MIN(1,('Panel'!$N$5-F124+1)/(G124-F124+1)))))</x:f>
      </x:c>
      <x:c r="O124" s="2" t="str">
        <x:f>IF(A124="","",IF(OR(NOT(ISNUMBER(H124)),NOT(ISNUMBER(I124))),"Eksik ilerleme",H124*I124))</x:f>
      </x:c>
      <x:c r="P124" s="2" t="str">
        <x:f>IF(A124="","",IF(OR(H124="",NOT(ISNUMBER(N124))),"Eksik plan",H124*N124))</x:f>
      </x:c>
      <x:c r="Q124" s="2" t="str">
        <x:f>IF(A124="","",IF(J124="","Eksik bitiş",J124-G124))</x:f>
      </x:c>
      <x:c r="R124" s="6"/>
      <x:c r="S124" s="2" t="str">
        <x:f>IF(AND(A124&lt;&gt;"",B124='Panel'!$C$5),COUNTIFS($B$7:B124,B124,$A$7:A124,"&lt;&gt;"),"")</x:f>
      </x:c>
    </x:row>
    <x:row r="125" ht="22" customHeight="1">
      <x:c r="A125" s="6"/>
      <x:c r="B125" s="6"/>
      <x:c r="C125" s="6"/>
      <x:c r="D125" s="6"/>
      <x:c r="E125" s="6"/>
      <x:c r="F125" s="7"/>
      <x:c r="G125" s="7"/>
      <x:c r="H125" s="6"/>
      <x:c r="I125" s="15"/>
      <x:c r="J125" s="7"/>
      <x:c r="K125" s="6"/>
      <x:c r="L125" s="6"/>
      <x:c r="M125" s="2" t="str">
        <x:f>IF(A125="","",IF(NOT(ISNUMBER(I125)),"Eksik ilerleme",IF(I125=1,"Tamamlandı",IF(G125&lt;'Panel'!$N$5,"Gecikmiş",IF(I125&gt;0,"Devam ediyor","Başlamadı")))))</x:f>
      </x:c>
      <x:c r="N125" s="16" t="str">
        <x:f>IF(A125="","",IF(OR(F125="",G125="",G125&lt;F125),"Eksik tarih",MAX(0,MIN(1,('Panel'!$N$5-F125+1)/(G125-F125+1)))))</x:f>
      </x:c>
      <x:c r="O125" s="2" t="str">
        <x:f>IF(A125="","",IF(OR(NOT(ISNUMBER(H125)),NOT(ISNUMBER(I125))),"Eksik ilerleme",H125*I125))</x:f>
      </x:c>
      <x:c r="P125" s="2" t="str">
        <x:f>IF(A125="","",IF(OR(H125="",NOT(ISNUMBER(N125))),"Eksik plan",H125*N125))</x:f>
      </x:c>
      <x:c r="Q125" s="2" t="str">
        <x:f>IF(A125="","",IF(J125="","Eksik bitiş",J125-G125))</x:f>
      </x:c>
      <x:c r="R125" s="6"/>
      <x:c r="S125" s="2" t="str">
        <x:f>IF(AND(A125&lt;&gt;"",B125='Panel'!$C$5),COUNTIFS($B$7:B125,B125,$A$7:A125,"&lt;&gt;"),"")</x:f>
      </x:c>
    </x:row>
    <x:row r="126" ht="22" customHeight="1">
      <x:c r="A126" s="6"/>
      <x:c r="B126" s="6"/>
      <x:c r="C126" s="6"/>
      <x:c r="D126" s="6"/>
      <x:c r="E126" s="6"/>
      <x:c r="F126" s="7"/>
      <x:c r="G126" s="7"/>
      <x:c r="H126" s="6"/>
      <x:c r="I126" s="15"/>
      <x:c r="J126" s="7"/>
      <x:c r="K126" s="6"/>
      <x:c r="L126" s="6"/>
      <x:c r="M126" s="2" t="str">
        <x:f>IF(A126="","",IF(NOT(ISNUMBER(I126)),"Eksik ilerleme",IF(I126=1,"Tamamlandı",IF(G126&lt;'Panel'!$N$5,"Gecikmiş",IF(I126&gt;0,"Devam ediyor","Başlamadı")))))</x:f>
      </x:c>
      <x:c r="N126" s="16" t="str">
        <x:f>IF(A126="","",IF(OR(F126="",G126="",G126&lt;F126),"Eksik tarih",MAX(0,MIN(1,('Panel'!$N$5-F126+1)/(G126-F126+1)))))</x:f>
      </x:c>
      <x:c r="O126" s="2" t="str">
        <x:f>IF(A126="","",IF(OR(NOT(ISNUMBER(H126)),NOT(ISNUMBER(I126))),"Eksik ilerleme",H126*I126))</x:f>
      </x:c>
      <x:c r="P126" s="2" t="str">
        <x:f>IF(A126="","",IF(OR(H126="",NOT(ISNUMBER(N126))),"Eksik plan",H126*N126))</x:f>
      </x:c>
      <x:c r="Q126" s="2" t="str">
        <x:f>IF(A126="","",IF(J126="","Eksik bitiş",J126-G126))</x:f>
      </x:c>
      <x:c r="R126" s="6"/>
      <x:c r="S126" s="2" t="str">
        <x:f>IF(AND(A126&lt;&gt;"",B126='Panel'!$C$5),COUNTIFS($B$7:B126,B126,$A$7:A126,"&lt;&gt;"),"")</x:f>
      </x:c>
    </x:row>
    <x:row r="127" ht="22" customHeight="1">
      <x:c r="A127" s="6"/>
      <x:c r="B127" s="6"/>
      <x:c r="C127" s="6"/>
      <x:c r="D127" s="6"/>
      <x:c r="E127" s="6"/>
      <x:c r="F127" s="7"/>
      <x:c r="G127" s="7"/>
      <x:c r="H127" s="6"/>
      <x:c r="I127" s="15"/>
      <x:c r="J127" s="7"/>
      <x:c r="K127" s="6"/>
      <x:c r="L127" s="6"/>
      <x:c r="M127" s="2" t="str">
        <x:f>IF(A127="","",IF(NOT(ISNUMBER(I127)),"Eksik ilerleme",IF(I127=1,"Tamamlandı",IF(G127&lt;'Panel'!$N$5,"Gecikmiş",IF(I127&gt;0,"Devam ediyor","Başlamadı")))))</x:f>
      </x:c>
      <x:c r="N127" s="16" t="str">
        <x:f>IF(A127="","",IF(OR(F127="",G127="",G127&lt;F127),"Eksik tarih",MAX(0,MIN(1,('Panel'!$N$5-F127+1)/(G127-F127+1)))))</x:f>
      </x:c>
      <x:c r="O127" s="2" t="str">
        <x:f>IF(A127="","",IF(OR(NOT(ISNUMBER(H127)),NOT(ISNUMBER(I127))),"Eksik ilerleme",H127*I127))</x:f>
      </x:c>
      <x:c r="P127" s="2" t="str">
        <x:f>IF(A127="","",IF(OR(H127="",NOT(ISNUMBER(N127))),"Eksik plan",H127*N127))</x:f>
      </x:c>
      <x:c r="Q127" s="2" t="str">
        <x:f>IF(A127="","",IF(J127="","Eksik bitiş",J127-G127))</x:f>
      </x:c>
      <x:c r="R127" s="6"/>
      <x:c r="S127" s="2" t="str">
        <x:f>IF(AND(A127&lt;&gt;"",B127='Panel'!$C$5),COUNTIFS($B$7:B127,B127,$A$7:A127,"&lt;&gt;"),"")</x:f>
      </x:c>
    </x:row>
    <x:row r="128" ht="22" customHeight="1">
      <x:c r="A128" s="6"/>
      <x:c r="B128" s="6"/>
      <x:c r="C128" s="6"/>
      <x:c r="D128" s="6"/>
      <x:c r="E128" s="6"/>
      <x:c r="F128" s="7"/>
      <x:c r="G128" s="7"/>
      <x:c r="H128" s="6"/>
      <x:c r="I128" s="15"/>
      <x:c r="J128" s="7"/>
      <x:c r="K128" s="6"/>
      <x:c r="L128" s="6"/>
      <x:c r="M128" s="2" t="str">
        <x:f>IF(A128="","",IF(NOT(ISNUMBER(I128)),"Eksik ilerleme",IF(I128=1,"Tamamlandı",IF(G128&lt;'Panel'!$N$5,"Gecikmiş",IF(I128&gt;0,"Devam ediyor","Başlamadı")))))</x:f>
      </x:c>
      <x:c r="N128" s="16" t="str">
        <x:f>IF(A128="","",IF(OR(F128="",G128="",G128&lt;F128),"Eksik tarih",MAX(0,MIN(1,('Panel'!$N$5-F128+1)/(G128-F128+1)))))</x:f>
      </x:c>
      <x:c r="O128" s="2" t="str">
        <x:f>IF(A128="","",IF(OR(NOT(ISNUMBER(H128)),NOT(ISNUMBER(I128))),"Eksik ilerleme",H128*I128))</x:f>
      </x:c>
      <x:c r="P128" s="2" t="str">
        <x:f>IF(A128="","",IF(OR(H128="",NOT(ISNUMBER(N128))),"Eksik plan",H128*N128))</x:f>
      </x:c>
      <x:c r="Q128" s="2" t="str">
        <x:f>IF(A128="","",IF(J128="","Eksik bitiş",J128-G128))</x:f>
      </x:c>
      <x:c r="R128" s="6"/>
      <x:c r="S128" s="2" t="str">
        <x:f>IF(AND(A128&lt;&gt;"",B128='Panel'!$C$5),COUNTIFS($B$7:B128,B128,$A$7:A128,"&lt;&gt;"),"")</x:f>
      </x:c>
    </x:row>
    <x:row r="129" ht="22" customHeight="1">
      <x:c r="A129" s="6"/>
      <x:c r="B129" s="6"/>
      <x:c r="C129" s="6"/>
      <x:c r="D129" s="6"/>
      <x:c r="E129" s="6"/>
      <x:c r="F129" s="7"/>
      <x:c r="G129" s="7"/>
      <x:c r="H129" s="6"/>
      <x:c r="I129" s="15"/>
      <x:c r="J129" s="7"/>
      <x:c r="K129" s="6"/>
      <x:c r="L129" s="6"/>
      <x:c r="M129" s="2" t="str">
        <x:f>IF(A129="","",IF(NOT(ISNUMBER(I129)),"Eksik ilerleme",IF(I129=1,"Tamamlandı",IF(G129&lt;'Panel'!$N$5,"Gecikmiş",IF(I129&gt;0,"Devam ediyor","Başlamadı")))))</x:f>
      </x:c>
      <x:c r="N129" s="16" t="str">
        <x:f>IF(A129="","",IF(OR(F129="",G129="",G129&lt;F129),"Eksik tarih",MAX(0,MIN(1,('Panel'!$N$5-F129+1)/(G129-F129+1)))))</x:f>
      </x:c>
      <x:c r="O129" s="2" t="str">
        <x:f>IF(A129="","",IF(OR(NOT(ISNUMBER(H129)),NOT(ISNUMBER(I129))),"Eksik ilerleme",H129*I129))</x:f>
      </x:c>
      <x:c r="P129" s="2" t="str">
        <x:f>IF(A129="","",IF(OR(H129="",NOT(ISNUMBER(N129))),"Eksik plan",H129*N129))</x:f>
      </x:c>
      <x:c r="Q129" s="2" t="str">
        <x:f>IF(A129="","",IF(J129="","Eksik bitiş",J129-G129))</x:f>
      </x:c>
      <x:c r="R129" s="6"/>
      <x:c r="S129" s="2" t="str">
        <x:f>IF(AND(A129&lt;&gt;"",B129='Panel'!$C$5),COUNTIFS($B$7:B129,B129,$A$7:A129,"&lt;&gt;"),"")</x:f>
      </x:c>
    </x:row>
    <x:row r="130" ht="22" customHeight="1">
      <x:c r="A130" s="6"/>
      <x:c r="B130" s="6"/>
      <x:c r="C130" s="6"/>
      <x:c r="D130" s="6"/>
      <x:c r="E130" s="6"/>
      <x:c r="F130" s="7"/>
      <x:c r="G130" s="7"/>
      <x:c r="H130" s="6"/>
      <x:c r="I130" s="15"/>
      <x:c r="J130" s="7"/>
      <x:c r="K130" s="6"/>
      <x:c r="L130" s="6"/>
      <x:c r="M130" s="2" t="str">
        <x:f>IF(A130="","",IF(NOT(ISNUMBER(I130)),"Eksik ilerleme",IF(I130=1,"Tamamlandı",IF(G130&lt;'Panel'!$N$5,"Gecikmiş",IF(I130&gt;0,"Devam ediyor","Başlamadı")))))</x:f>
      </x:c>
      <x:c r="N130" s="16" t="str">
        <x:f>IF(A130="","",IF(OR(F130="",G130="",G130&lt;F130),"Eksik tarih",MAX(0,MIN(1,('Panel'!$N$5-F130+1)/(G130-F130+1)))))</x:f>
      </x:c>
      <x:c r="O130" s="2" t="str">
        <x:f>IF(A130="","",IF(OR(NOT(ISNUMBER(H130)),NOT(ISNUMBER(I130))),"Eksik ilerleme",H130*I130))</x:f>
      </x:c>
      <x:c r="P130" s="2" t="str">
        <x:f>IF(A130="","",IF(OR(H130="",NOT(ISNUMBER(N130))),"Eksik plan",H130*N130))</x:f>
      </x:c>
      <x:c r="Q130" s="2" t="str">
        <x:f>IF(A130="","",IF(J130="","Eksik bitiş",J130-G130))</x:f>
      </x:c>
      <x:c r="R130" s="6"/>
      <x:c r="S130" s="2" t="str">
        <x:f>IF(AND(A130&lt;&gt;"",B130='Panel'!$C$5),COUNTIFS($B$7:B130,B130,$A$7:A130,"&lt;&gt;"),"")</x:f>
      </x:c>
    </x:row>
    <x:row r="131" ht="22" customHeight="1">
      <x:c r="A131" s="6"/>
      <x:c r="B131" s="6"/>
      <x:c r="C131" s="6"/>
      <x:c r="D131" s="6"/>
      <x:c r="E131" s="6"/>
      <x:c r="F131" s="7"/>
      <x:c r="G131" s="7"/>
      <x:c r="H131" s="6"/>
      <x:c r="I131" s="15"/>
      <x:c r="J131" s="7"/>
      <x:c r="K131" s="6"/>
      <x:c r="L131" s="6"/>
      <x:c r="M131" s="2" t="str">
        <x:f>IF(A131="","",IF(NOT(ISNUMBER(I131)),"Eksik ilerleme",IF(I131=1,"Tamamlandı",IF(G131&lt;'Panel'!$N$5,"Gecikmiş",IF(I131&gt;0,"Devam ediyor","Başlamadı")))))</x:f>
      </x:c>
      <x:c r="N131" s="16" t="str">
        <x:f>IF(A131="","",IF(OR(F131="",G131="",G131&lt;F131),"Eksik tarih",MAX(0,MIN(1,('Panel'!$N$5-F131+1)/(G131-F131+1)))))</x:f>
      </x:c>
      <x:c r="O131" s="2" t="str">
        <x:f>IF(A131="","",IF(OR(NOT(ISNUMBER(H131)),NOT(ISNUMBER(I131))),"Eksik ilerleme",H131*I131))</x:f>
      </x:c>
      <x:c r="P131" s="2" t="str">
        <x:f>IF(A131="","",IF(OR(H131="",NOT(ISNUMBER(N131))),"Eksik plan",H131*N131))</x:f>
      </x:c>
      <x:c r="Q131" s="2" t="str">
        <x:f>IF(A131="","",IF(J131="","Eksik bitiş",J131-G131))</x:f>
      </x:c>
      <x:c r="R131" s="6"/>
      <x:c r="S131" s="2" t="str">
        <x:f>IF(AND(A131&lt;&gt;"",B131='Panel'!$C$5),COUNTIFS($B$7:B131,B131,$A$7:A131,"&lt;&gt;"),"")</x:f>
      </x:c>
    </x:row>
    <x:row r="132" ht="22" customHeight="1">
      <x:c r="A132" s="6"/>
      <x:c r="B132" s="6"/>
      <x:c r="C132" s="6"/>
      <x:c r="D132" s="6"/>
      <x:c r="E132" s="6"/>
      <x:c r="F132" s="7"/>
      <x:c r="G132" s="7"/>
      <x:c r="H132" s="6"/>
      <x:c r="I132" s="15"/>
      <x:c r="J132" s="7"/>
      <x:c r="K132" s="6"/>
      <x:c r="L132" s="6"/>
      <x:c r="M132" s="2" t="str">
        <x:f>IF(A132="","",IF(NOT(ISNUMBER(I132)),"Eksik ilerleme",IF(I132=1,"Tamamlandı",IF(G132&lt;'Panel'!$N$5,"Gecikmiş",IF(I132&gt;0,"Devam ediyor","Başlamadı")))))</x:f>
      </x:c>
      <x:c r="N132" s="16" t="str">
        <x:f>IF(A132="","",IF(OR(F132="",G132="",G132&lt;F132),"Eksik tarih",MAX(0,MIN(1,('Panel'!$N$5-F132+1)/(G132-F132+1)))))</x:f>
      </x:c>
      <x:c r="O132" s="2" t="str">
        <x:f>IF(A132="","",IF(OR(NOT(ISNUMBER(H132)),NOT(ISNUMBER(I132))),"Eksik ilerleme",H132*I132))</x:f>
      </x:c>
      <x:c r="P132" s="2" t="str">
        <x:f>IF(A132="","",IF(OR(H132="",NOT(ISNUMBER(N132))),"Eksik plan",H132*N132))</x:f>
      </x:c>
      <x:c r="Q132" s="2" t="str">
        <x:f>IF(A132="","",IF(J132="","Eksik bitiş",J132-G132))</x:f>
      </x:c>
      <x:c r="R132" s="6"/>
      <x:c r="S132" s="2" t="str">
        <x:f>IF(AND(A132&lt;&gt;"",B132='Panel'!$C$5),COUNTIFS($B$7:B132,B132,$A$7:A132,"&lt;&gt;"),"")</x:f>
      </x:c>
    </x:row>
    <x:row r="133" ht="22" customHeight="1">
      <x:c r="A133" s="6"/>
      <x:c r="B133" s="6"/>
      <x:c r="C133" s="6"/>
      <x:c r="D133" s="6"/>
      <x:c r="E133" s="6"/>
      <x:c r="F133" s="7"/>
      <x:c r="G133" s="7"/>
      <x:c r="H133" s="6"/>
      <x:c r="I133" s="15"/>
      <x:c r="J133" s="7"/>
      <x:c r="K133" s="6"/>
      <x:c r="L133" s="6"/>
      <x:c r="M133" s="2" t="str">
        <x:f>IF(A133="","",IF(NOT(ISNUMBER(I133)),"Eksik ilerleme",IF(I133=1,"Tamamlandı",IF(G133&lt;'Panel'!$N$5,"Gecikmiş",IF(I133&gt;0,"Devam ediyor","Başlamadı")))))</x:f>
      </x:c>
      <x:c r="N133" s="16" t="str">
        <x:f>IF(A133="","",IF(OR(F133="",G133="",G133&lt;F133),"Eksik tarih",MAX(0,MIN(1,('Panel'!$N$5-F133+1)/(G133-F133+1)))))</x:f>
      </x:c>
      <x:c r="O133" s="2" t="str">
        <x:f>IF(A133="","",IF(OR(NOT(ISNUMBER(H133)),NOT(ISNUMBER(I133))),"Eksik ilerleme",H133*I133))</x:f>
      </x:c>
      <x:c r="P133" s="2" t="str">
        <x:f>IF(A133="","",IF(OR(H133="",NOT(ISNUMBER(N133))),"Eksik plan",H133*N133))</x:f>
      </x:c>
      <x:c r="Q133" s="2" t="str">
        <x:f>IF(A133="","",IF(J133="","Eksik bitiş",J133-G133))</x:f>
      </x:c>
      <x:c r="R133" s="6"/>
      <x:c r="S133" s="2" t="str">
        <x:f>IF(AND(A133&lt;&gt;"",B133='Panel'!$C$5),COUNTIFS($B$7:B133,B133,$A$7:A133,"&lt;&gt;"),"")</x:f>
      </x:c>
    </x:row>
    <x:row r="134" ht="22" customHeight="1">
      <x:c r="A134" s="6"/>
      <x:c r="B134" s="6"/>
      <x:c r="C134" s="6"/>
      <x:c r="D134" s="6"/>
      <x:c r="E134" s="6"/>
      <x:c r="F134" s="7"/>
      <x:c r="G134" s="7"/>
      <x:c r="H134" s="6"/>
      <x:c r="I134" s="15"/>
      <x:c r="J134" s="7"/>
      <x:c r="K134" s="6"/>
      <x:c r="L134" s="6"/>
      <x:c r="M134" s="2" t="str">
        <x:f>IF(A134="","",IF(NOT(ISNUMBER(I134)),"Eksik ilerleme",IF(I134=1,"Tamamlandı",IF(G134&lt;'Panel'!$N$5,"Gecikmiş",IF(I134&gt;0,"Devam ediyor","Başlamadı")))))</x:f>
      </x:c>
      <x:c r="N134" s="16" t="str">
        <x:f>IF(A134="","",IF(OR(F134="",G134="",G134&lt;F134),"Eksik tarih",MAX(0,MIN(1,('Panel'!$N$5-F134+1)/(G134-F134+1)))))</x:f>
      </x:c>
      <x:c r="O134" s="2" t="str">
        <x:f>IF(A134="","",IF(OR(NOT(ISNUMBER(H134)),NOT(ISNUMBER(I134))),"Eksik ilerleme",H134*I134))</x:f>
      </x:c>
      <x:c r="P134" s="2" t="str">
        <x:f>IF(A134="","",IF(OR(H134="",NOT(ISNUMBER(N134))),"Eksik plan",H134*N134))</x:f>
      </x:c>
      <x:c r="Q134" s="2" t="str">
        <x:f>IF(A134="","",IF(J134="","Eksik bitiş",J134-G134))</x:f>
      </x:c>
      <x:c r="R134" s="6"/>
      <x:c r="S134" s="2" t="str">
        <x:f>IF(AND(A134&lt;&gt;"",B134='Panel'!$C$5),COUNTIFS($B$7:B134,B134,$A$7:A134,"&lt;&gt;"),"")</x:f>
      </x:c>
    </x:row>
    <x:row r="135" ht="22" customHeight="1">
      <x:c r="A135" s="6"/>
      <x:c r="B135" s="6"/>
      <x:c r="C135" s="6"/>
      <x:c r="D135" s="6"/>
      <x:c r="E135" s="6"/>
      <x:c r="F135" s="7"/>
      <x:c r="G135" s="7"/>
      <x:c r="H135" s="6"/>
      <x:c r="I135" s="15"/>
      <x:c r="J135" s="7"/>
      <x:c r="K135" s="6"/>
      <x:c r="L135" s="6"/>
      <x:c r="M135" s="2" t="str">
        <x:f>IF(A135="","",IF(NOT(ISNUMBER(I135)),"Eksik ilerleme",IF(I135=1,"Tamamlandı",IF(G135&lt;'Panel'!$N$5,"Gecikmiş",IF(I135&gt;0,"Devam ediyor","Başlamadı")))))</x:f>
      </x:c>
      <x:c r="N135" s="16" t="str">
        <x:f>IF(A135="","",IF(OR(F135="",G135="",G135&lt;F135),"Eksik tarih",MAX(0,MIN(1,('Panel'!$N$5-F135+1)/(G135-F135+1)))))</x:f>
      </x:c>
      <x:c r="O135" s="2" t="str">
        <x:f>IF(A135="","",IF(OR(NOT(ISNUMBER(H135)),NOT(ISNUMBER(I135))),"Eksik ilerleme",H135*I135))</x:f>
      </x:c>
      <x:c r="P135" s="2" t="str">
        <x:f>IF(A135="","",IF(OR(H135="",NOT(ISNUMBER(N135))),"Eksik plan",H135*N135))</x:f>
      </x:c>
      <x:c r="Q135" s="2" t="str">
        <x:f>IF(A135="","",IF(J135="","Eksik bitiş",J135-G135))</x:f>
      </x:c>
      <x:c r="R135" s="6"/>
      <x:c r="S135" s="2" t="str">
        <x:f>IF(AND(A135&lt;&gt;"",B135='Panel'!$C$5),COUNTIFS($B$7:B135,B135,$A$7:A135,"&lt;&gt;"),"")</x:f>
      </x:c>
    </x:row>
    <x:row r="136" ht="22" customHeight="1">
      <x:c r="A136" s="6"/>
      <x:c r="B136" s="6"/>
      <x:c r="C136" s="6"/>
      <x:c r="D136" s="6"/>
      <x:c r="E136" s="6"/>
      <x:c r="F136" s="7"/>
      <x:c r="G136" s="7"/>
      <x:c r="H136" s="6"/>
      <x:c r="I136" s="15"/>
      <x:c r="J136" s="7"/>
      <x:c r="K136" s="6"/>
      <x:c r="L136" s="6"/>
      <x:c r="M136" s="2" t="str">
        <x:f>IF(A136="","",IF(NOT(ISNUMBER(I136)),"Eksik ilerleme",IF(I136=1,"Tamamlandı",IF(G136&lt;'Panel'!$N$5,"Gecikmiş",IF(I136&gt;0,"Devam ediyor","Başlamadı")))))</x:f>
      </x:c>
      <x:c r="N136" s="16" t="str">
        <x:f>IF(A136="","",IF(OR(F136="",G136="",G136&lt;F136),"Eksik tarih",MAX(0,MIN(1,('Panel'!$N$5-F136+1)/(G136-F136+1)))))</x:f>
      </x:c>
      <x:c r="O136" s="2" t="str">
        <x:f>IF(A136="","",IF(OR(NOT(ISNUMBER(H136)),NOT(ISNUMBER(I136))),"Eksik ilerleme",H136*I136))</x:f>
      </x:c>
      <x:c r="P136" s="2" t="str">
        <x:f>IF(A136="","",IF(OR(H136="",NOT(ISNUMBER(N136))),"Eksik plan",H136*N136))</x:f>
      </x:c>
      <x:c r="Q136" s="2" t="str">
        <x:f>IF(A136="","",IF(J136="","Eksik bitiş",J136-G136))</x:f>
      </x:c>
      <x:c r="R136" s="6"/>
      <x:c r="S136" s="2" t="str">
        <x:f>IF(AND(A136&lt;&gt;"",B136='Panel'!$C$5),COUNTIFS($B$7:B136,B136,$A$7:A136,"&lt;&gt;"),"")</x:f>
      </x:c>
    </x:row>
    <x:row r="137" ht="22" customHeight="1">
      <x:c r="A137" s="6"/>
      <x:c r="B137" s="6"/>
      <x:c r="C137" s="6"/>
      <x:c r="D137" s="6"/>
      <x:c r="E137" s="6"/>
      <x:c r="F137" s="7"/>
      <x:c r="G137" s="7"/>
      <x:c r="H137" s="6"/>
      <x:c r="I137" s="15"/>
      <x:c r="J137" s="7"/>
      <x:c r="K137" s="6"/>
      <x:c r="L137" s="6"/>
      <x:c r="M137" s="2" t="str">
        <x:f>IF(A137="","",IF(NOT(ISNUMBER(I137)),"Eksik ilerleme",IF(I137=1,"Tamamlandı",IF(G137&lt;'Panel'!$N$5,"Gecikmiş",IF(I137&gt;0,"Devam ediyor","Başlamadı")))))</x:f>
      </x:c>
      <x:c r="N137" s="16" t="str">
        <x:f>IF(A137="","",IF(OR(F137="",G137="",G137&lt;F137),"Eksik tarih",MAX(0,MIN(1,('Panel'!$N$5-F137+1)/(G137-F137+1)))))</x:f>
      </x:c>
      <x:c r="O137" s="2" t="str">
        <x:f>IF(A137="","",IF(OR(NOT(ISNUMBER(H137)),NOT(ISNUMBER(I137))),"Eksik ilerleme",H137*I137))</x:f>
      </x:c>
      <x:c r="P137" s="2" t="str">
        <x:f>IF(A137="","",IF(OR(H137="",NOT(ISNUMBER(N137))),"Eksik plan",H137*N137))</x:f>
      </x:c>
      <x:c r="Q137" s="2" t="str">
        <x:f>IF(A137="","",IF(J137="","Eksik bitiş",J137-G137))</x:f>
      </x:c>
      <x:c r="R137" s="6"/>
      <x:c r="S137" s="2" t="str">
        <x:f>IF(AND(A137&lt;&gt;"",B137='Panel'!$C$5),COUNTIFS($B$7:B137,B137,$A$7:A137,"&lt;&gt;"),"")</x:f>
      </x:c>
    </x:row>
    <x:row r="138" ht="22" customHeight="1">
      <x:c r="A138" s="6"/>
      <x:c r="B138" s="6"/>
      <x:c r="C138" s="6"/>
      <x:c r="D138" s="6"/>
      <x:c r="E138" s="6"/>
      <x:c r="F138" s="7"/>
      <x:c r="G138" s="7"/>
      <x:c r="H138" s="6"/>
      <x:c r="I138" s="15"/>
      <x:c r="J138" s="7"/>
      <x:c r="K138" s="6"/>
      <x:c r="L138" s="6"/>
      <x:c r="M138" s="2" t="str">
        <x:f>IF(A138="","",IF(NOT(ISNUMBER(I138)),"Eksik ilerleme",IF(I138=1,"Tamamlandı",IF(G138&lt;'Panel'!$N$5,"Gecikmiş",IF(I138&gt;0,"Devam ediyor","Başlamadı")))))</x:f>
      </x:c>
      <x:c r="N138" s="16" t="str">
        <x:f>IF(A138="","",IF(OR(F138="",G138="",G138&lt;F138),"Eksik tarih",MAX(0,MIN(1,('Panel'!$N$5-F138+1)/(G138-F138+1)))))</x:f>
      </x:c>
      <x:c r="O138" s="2" t="str">
        <x:f>IF(A138="","",IF(OR(NOT(ISNUMBER(H138)),NOT(ISNUMBER(I138))),"Eksik ilerleme",H138*I138))</x:f>
      </x:c>
      <x:c r="P138" s="2" t="str">
        <x:f>IF(A138="","",IF(OR(H138="",NOT(ISNUMBER(N138))),"Eksik plan",H138*N138))</x:f>
      </x:c>
      <x:c r="Q138" s="2" t="str">
        <x:f>IF(A138="","",IF(J138="","Eksik bitiş",J138-G138))</x:f>
      </x:c>
      <x:c r="R138" s="6"/>
      <x:c r="S138" s="2" t="str">
        <x:f>IF(AND(A138&lt;&gt;"",B138='Panel'!$C$5),COUNTIFS($B$7:B138,B138,$A$7:A138,"&lt;&gt;"),"")</x:f>
      </x:c>
    </x:row>
    <x:row r="139" ht="22" customHeight="1">
      <x:c r="A139" s="6"/>
      <x:c r="B139" s="6"/>
      <x:c r="C139" s="6"/>
      <x:c r="D139" s="6"/>
      <x:c r="E139" s="6"/>
      <x:c r="F139" s="7"/>
      <x:c r="G139" s="7"/>
      <x:c r="H139" s="6"/>
      <x:c r="I139" s="15"/>
      <x:c r="J139" s="7"/>
      <x:c r="K139" s="6"/>
      <x:c r="L139" s="6"/>
      <x:c r="M139" s="2" t="str">
        <x:f>IF(A139="","",IF(NOT(ISNUMBER(I139)),"Eksik ilerleme",IF(I139=1,"Tamamlandı",IF(G139&lt;'Panel'!$N$5,"Gecikmiş",IF(I139&gt;0,"Devam ediyor","Başlamadı")))))</x:f>
      </x:c>
      <x:c r="N139" s="16" t="str">
        <x:f>IF(A139="","",IF(OR(F139="",G139="",G139&lt;F139),"Eksik tarih",MAX(0,MIN(1,('Panel'!$N$5-F139+1)/(G139-F139+1)))))</x:f>
      </x:c>
      <x:c r="O139" s="2" t="str">
        <x:f>IF(A139="","",IF(OR(NOT(ISNUMBER(H139)),NOT(ISNUMBER(I139))),"Eksik ilerleme",H139*I139))</x:f>
      </x:c>
      <x:c r="P139" s="2" t="str">
        <x:f>IF(A139="","",IF(OR(H139="",NOT(ISNUMBER(N139))),"Eksik plan",H139*N139))</x:f>
      </x:c>
      <x:c r="Q139" s="2" t="str">
        <x:f>IF(A139="","",IF(J139="","Eksik bitiş",J139-G139))</x:f>
      </x:c>
      <x:c r="R139" s="6"/>
      <x:c r="S139" s="2" t="str">
        <x:f>IF(AND(A139&lt;&gt;"",B139='Panel'!$C$5),COUNTIFS($B$7:B139,B139,$A$7:A139,"&lt;&gt;"),"")</x:f>
      </x:c>
    </x:row>
    <x:row r="140" ht="22" customHeight="1">
      <x:c r="A140" s="6"/>
      <x:c r="B140" s="6"/>
      <x:c r="C140" s="6"/>
      <x:c r="D140" s="6"/>
      <x:c r="E140" s="6"/>
      <x:c r="F140" s="7"/>
      <x:c r="G140" s="7"/>
      <x:c r="H140" s="6"/>
      <x:c r="I140" s="15"/>
      <x:c r="J140" s="7"/>
      <x:c r="K140" s="6"/>
      <x:c r="L140" s="6"/>
      <x:c r="M140" s="2" t="str">
        <x:f>IF(A140="","",IF(NOT(ISNUMBER(I140)),"Eksik ilerleme",IF(I140=1,"Tamamlandı",IF(G140&lt;'Panel'!$N$5,"Gecikmiş",IF(I140&gt;0,"Devam ediyor","Başlamadı")))))</x:f>
      </x:c>
      <x:c r="N140" s="16" t="str">
        <x:f>IF(A140="","",IF(OR(F140="",G140="",G140&lt;F140),"Eksik tarih",MAX(0,MIN(1,('Panel'!$N$5-F140+1)/(G140-F140+1)))))</x:f>
      </x:c>
      <x:c r="O140" s="2" t="str">
        <x:f>IF(A140="","",IF(OR(NOT(ISNUMBER(H140)),NOT(ISNUMBER(I140))),"Eksik ilerleme",H140*I140))</x:f>
      </x:c>
      <x:c r="P140" s="2" t="str">
        <x:f>IF(A140="","",IF(OR(H140="",NOT(ISNUMBER(N140))),"Eksik plan",H140*N140))</x:f>
      </x:c>
      <x:c r="Q140" s="2" t="str">
        <x:f>IF(A140="","",IF(J140="","Eksik bitiş",J140-G140))</x:f>
      </x:c>
      <x:c r="R140" s="6"/>
      <x:c r="S140" s="2" t="str">
        <x:f>IF(AND(A140&lt;&gt;"",B140='Panel'!$C$5),COUNTIFS($B$7:B140,B140,$A$7:A140,"&lt;&gt;"),"")</x:f>
      </x:c>
    </x:row>
    <x:row r="141" ht="22" customHeight="1">
      <x:c r="A141" s="6"/>
      <x:c r="B141" s="6"/>
      <x:c r="C141" s="6"/>
      <x:c r="D141" s="6"/>
      <x:c r="E141" s="6"/>
      <x:c r="F141" s="7"/>
      <x:c r="G141" s="7"/>
      <x:c r="H141" s="6"/>
      <x:c r="I141" s="15"/>
      <x:c r="J141" s="7"/>
      <x:c r="K141" s="6"/>
      <x:c r="L141" s="6"/>
      <x:c r="M141" s="2" t="str">
        <x:f>IF(A141="","",IF(NOT(ISNUMBER(I141)),"Eksik ilerleme",IF(I141=1,"Tamamlandı",IF(G141&lt;'Panel'!$N$5,"Gecikmiş",IF(I141&gt;0,"Devam ediyor","Başlamadı")))))</x:f>
      </x:c>
      <x:c r="N141" s="16" t="str">
        <x:f>IF(A141="","",IF(OR(F141="",G141="",G141&lt;F141),"Eksik tarih",MAX(0,MIN(1,('Panel'!$N$5-F141+1)/(G141-F141+1)))))</x:f>
      </x:c>
      <x:c r="O141" s="2" t="str">
        <x:f>IF(A141="","",IF(OR(NOT(ISNUMBER(H141)),NOT(ISNUMBER(I141))),"Eksik ilerleme",H141*I141))</x:f>
      </x:c>
      <x:c r="P141" s="2" t="str">
        <x:f>IF(A141="","",IF(OR(H141="",NOT(ISNUMBER(N141))),"Eksik plan",H141*N141))</x:f>
      </x:c>
      <x:c r="Q141" s="2" t="str">
        <x:f>IF(A141="","",IF(J141="","Eksik bitiş",J141-G141))</x:f>
      </x:c>
      <x:c r="R141" s="6"/>
      <x:c r="S141" s="2" t="str">
        <x:f>IF(AND(A141&lt;&gt;"",B141='Panel'!$C$5),COUNTIFS($B$7:B141,B141,$A$7:A141,"&lt;&gt;"),"")</x:f>
      </x:c>
    </x:row>
    <x:row r="142" ht="22" customHeight="1">
      <x:c r="A142" s="6"/>
      <x:c r="B142" s="6"/>
      <x:c r="C142" s="6"/>
      <x:c r="D142" s="6"/>
      <x:c r="E142" s="6"/>
      <x:c r="F142" s="7"/>
      <x:c r="G142" s="7"/>
      <x:c r="H142" s="6"/>
      <x:c r="I142" s="15"/>
      <x:c r="J142" s="7"/>
      <x:c r="K142" s="6"/>
      <x:c r="L142" s="6"/>
      <x:c r="M142" s="2" t="str">
        <x:f>IF(A142="","",IF(NOT(ISNUMBER(I142)),"Eksik ilerleme",IF(I142=1,"Tamamlandı",IF(G142&lt;'Panel'!$N$5,"Gecikmiş",IF(I142&gt;0,"Devam ediyor","Başlamadı")))))</x:f>
      </x:c>
      <x:c r="N142" s="16" t="str">
        <x:f>IF(A142="","",IF(OR(F142="",G142="",G142&lt;F142),"Eksik tarih",MAX(0,MIN(1,('Panel'!$N$5-F142+1)/(G142-F142+1)))))</x:f>
      </x:c>
      <x:c r="O142" s="2" t="str">
        <x:f>IF(A142="","",IF(OR(NOT(ISNUMBER(H142)),NOT(ISNUMBER(I142))),"Eksik ilerleme",H142*I142))</x:f>
      </x:c>
      <x:c r="P142" s="2" t="str">
        <x:f>IF(A142="","",IF(OR(H142="",NOT(ISNUMBER(N142))),"Eksik plan",H142*N142))</x:f>
      </x:c>
      <x:c r="Q142" s="2" t="str">
        <x:f>IF(A142="","",IF(J142="","Eksik bitiş",J142-G142))</x:f>
      </x:c>
      <x:c r="R142" s="6"/>
      <x:c r="S142" s="2" t="str">
        <x:f>IF(AND(A142&lt;&gt;"",B142='Panel'!$C$5),COUNTIFS($B$7:B142,B142,$A$7:A142,"&lt;&gt;"),"")</x:f>
      </x:c>
    </x:row>
    <x:row r="143" ht="22" customHeight="1">
      <x:c r="A143" s="6"/>
      <x:c r="B143" s="6"/>
      <x:c r="C143" s="6"/>
      <x:c r="D143" s="6"/>
      <x:c r="E143" s="6"/>
      <x:c r="F143" s="7"/>
      <x:c r="G143" s="7"/>
      <x:c r="H143" s="6"/>
      <x:c r="I143" s="15"/>
      <x:c r="J143" s="7"/>
      <x:c r="K143" s="6"/>
      <x:c r="L143" s="6"/>
      <x:c r="M143" s="2" t="str">
        <x:f>IF(A143="","",IF(NOT(ISNUMBER(I143)),"Eksik ilerleme",IF(I143=1,"Tamamlandı",IF(G143&lt;'Panel'!$N$5,"Gecikmiş",IF(I143&gt;0,"Devam ediyor","Başlamadı")))))</x:f>
      </x:c>
      <x:c r="N143" s="16" t="str">
        <x:f>IF(A143="","",IF(OR(F143="",G143="",G143&lt;F143),"Eksik tarih",MAX(0,MIN(1,('Panel'!$N$5-F143+1)/(G143-F143+1)))))</x:f>
      </x:c>
      <x:c r="O143" s="2" t="str">
        <x:f>IF(A143="","",IF(OR(NOT(ISNUMBER(H143)),NOT(ISNUMBER(I143))),"Eksik ilerleme",H143*I143))</x:f>
      </x:c>
      <x:c r="P143" s="2" t="str">
        <x:f>IF(A143="","",IF(OR(H143="",NOT(ISNUMBER(N143))),"Eksik plan",H143*N143))</x:f>
      </x:c>
      <x:c r="Q143" s="2" t="str">
        <x:f>IF(A143="","",IF(J143="","Eksik bitiş",J143-G143))</x:f>
      </x:c>
      <x:c r="R143" s="6"/>
      <x:c r="S143" s="2" t="str">
        <x:f>IF(AND(A143&lt;&gt;"",B143='Panel'!$C$5),COUNTIFS($B$7:B143,B143,$A$7:A143,"&lt;&gt;"),"")</x:f>
      </x:c>
    </x:row>
    <x:row r="144" ht="22" customHeight="1">
      <x:c r="A144" s="6"/>
      <x:c r="B144" s="6"/>
      <x:c r="C144" s="6"/>
      <x:c r="D144" s="6"/>
      <x:c r="E144" s="6"/>
      <x:c r="F144" s="7"/>
      <x:c r="G144" s="7"/>
      <x:c r="H144" s="6"/>
      <x:c r="I144" s="15"/>
      <x:c r="J144" s="7"/>
      <x:c r="K144" s="6"/>
      <x:c r="L144" s="6"/>
      <x:c r="M144" s="2" t="str">
        <x:f>IF(A144="","",IF(NOT(ISNUMBER(I144)),"Eksik ilerleme",IF(I144=1,"Tamamlandı",IF(G144&lt;'Panel'!$N$5,"Gecikmiş",IF(I144&gt;0,"Devam ediyor","Başlamadı")))))</x:f>
      </x:c>
      <x:c r="N144" s="16" t="str">
        <x:f>IF(A144="","",IF(OR(F144="",G144="",G144&lt;F144),"Eksik tarih",MAX(0,MIN(1,('Panel'!$N$5-F144+1)/(G144-F144+1)))))</x:f>
      </x:c>
      <x:c r="O144" s="2" t="str">
        <x:f>IF(A144="","",IF(OR(NOT(ISNUMBER(H144)),NOT(ISNUMBER(I144))),"Eksik ilerleme",H144*I144))</x:f>
      </x:c>
      <x:c r="P144" s="2" t="str">
        <x:f>IF(A144="","",IF(OR(H144="",NOT(ISNUMBER(N144))),"Eksik plan",H144*N144))</x:f>
      </x:c>
      <x:c r="Q144" s="2" t="str">
        <x:f>IF(A144="","",IF(J144="","Eksik bitiş",J144-G144))</x:f>
      </x:c>
      <x:c r="R144" s="6"/>
      <x:c r="S144" s="2" t="str">
        <x:f>IF(AND(A144&lt;&gt;"",B144='Panel'!$C$5),COUNTIFS($B$7:B144,B144,$A$7:A144,"&lt;&gt;"),"")</x:f>
      </x:c>
    </x:row>
    <x:row r="145" ht="22" customHeight="1">
      <x:c r="A145" s="6"/>
      <x:c r="B145" s="6"/>
      <x:c r="C145" s="6"/>
      <x:c r="D145" s="6"/>
      <x:c r="E145" s="6"/>
      <x:c r="F145" s="7"/>
      <x:c r="G145" s="7"/>
      <x:c r="H145" s="6"/>
      <x:c r="I145" s="15"/>
      <x:c r="J145" s="7"/>
      <x:c r="K145" s="6"/>
      <x:c r="L145" s="6"/>
      <x:c r="M145" s="2" t="str">
        <x:f>IF(A145="","",IF(NOT(ISNUMBER(I145)),"Eksik ilerleme",IF(I145=1,"Tamamlandı",IF(G145&lt;'Panel'!$N$5,"Gecikmiş",IF(I145&gt;0,"Devam ediyor","Başlamadı")))))</x:f>
      </x:c>
      <x:c r="N145" s="16" t="str">
        <x:f>IF(A145="","",IF(OR(F145="",G145="",G145&lt;F145),"Eksik tarih",MAX(0,MIN(1,('Panel'!$N$5-F145+1)/(G145-F145+1)))))</x:f>
      </x:c>
      <x:c r="O145" s="2" t="str">
        <x:f>IF(A145="","",IF(OR(NOT(ISNUMBER(H145)),NOT(ISNUMBER(I145))),"Eksik ilerleme",H145*I145))</x:f>
      </x:c>
      <x:c r="P145" s="2" t="str">
        <x:f>IF(A145="","",IF(OR(H145="",NOT(ISNUMBER(N145))),"Eksik plan",H145*N145))</x:f>
      </x:c>
      <x:c r="Q145" s="2" t="str">
        <x:f>IF(A145="","",IF(J145="","Eksik bitiş",J145-G145))</x:f>
      </x:c>
      <x:c r="R145" s="6"/>
      <x:c r="S145" s="2" t="str">
        <x:f>IF(AND(A145&lt;&gt;"",B145='Panel'!$C$5),COUNTIFS($B$7:B145,B145,$A$7:A145,"&lt;&gt;"),"")</x:f>
      </x:c>
    </x:row>
    <x:row r="146" ht="22" customHeight="1">
      <x:c r="A146" s="6"/>
      <x:c r="B146" s="6"/>
      <x:c r="C146" s="6"/>
      <x:c r="D146" s="6"/>
      <x:c r="E146" s="6"/>
      <x:c r="F146" s="7"/>
      <x:c r="G146" s="7"/>
      <x:c r="H146" s="6"/>
      <x:c r="I146" s="15"/>
      <x:c r="J146" s="7"/>
      <x:c r="K146" s="6"/>
      <x:c r="L146" s="6"/>
      <x:c r="M146" s="2" t="str">
        <x:f>IF(A146="","",IF(NOT(ISNUMBER(I146)),"Eksik ilerleme",IF(I146=1,"Tamamlandı",IF(G146&lt;'Panel'!$N$5,"Gecikmiş",IF(I146&gt;0,"Devam ediyor","Başlamadı")))))</x:f>
      </x:c>
      <x:c r="N146" s="16" t="str">
        <x:f>IF(A146="","",IF(OR(F146="",G146="",G146&lt;F146),"Eksik tarih",MAX(0,MIN(1,('Panel'!$N$5-F146+1)/(G146-F146+1)))))</x:f>
      </x:c>
      <x:c r="O146" s="2" t="str">
        <x:f>IF(A146="","",IF(OR(NOT(ISNUMBER(H146)),NOT(ISNUMBER(I146))),"Eksik ilerleme",H146*I146))</x:f>
      </x:c>
      <x:c r="P146" s="2" t="str">
        <x:f>IF(A146="","",IF(OR(H146="",NOT(ISNUMBER(N146))),"Eksik plan",H146*N146))</x:f>
      </x:c>
      <x:c r="Q146" s="2" t="str">
        <x:f>IF(A146="","",IF(J146="","Eksik bitiş",J146-G146))</x:f>
      </x:c>
      <x:c r="R146" s="6"/>
      <x:c r="S146" s="2" t="str">
        <x:f>IF(AND(A146&lt;&gt;"",B146='Panel'!$C$5),COUNTIFS($B$7:B146,B146,$A$7:A146,"&lt;&gt;"),"")</x:f>
      </x:c>
    </x:row>
    <x:row r="147" ht="22" customHeight="1">
      <x:c r="A147" s="6"/>
      <x:c r="B147" s="6"/>
      <x:c r="C147" s="6"/>
      <x:c r="D147" s="6"/>
      <x:c r="E147" s="6"/>
      <x:c r="F147" s="7"/>
      <x:c r="G147" s="7"/>
      <x:c r="H147" s="6"/>
      <x:c r="I147" s="15"/>
      <x:c r="J147" s="7"/>
      <x:c r="K147" s="6"/>
      <x:c r="L147" s="6"/>
      <x:c r="M147" s="2" t="str">
        <x:f>IF(A147="","",IF(NOT(ISNUMBER(I147)),"Eksik ilerleme",IF(I147=1,"Tamamlandı",IF(G147&lt;'Panel'!$N$5,"Gecikmiş",IF(I147&gt;0,"Devam ediyor","Başlamadı")))))</x:f>
      </x:c>
      <x:c r="N147" s="16" t="str">
        <x:f>IF(A147="","",IF(OR(F147="",G147="",G147&lt;F147),"Eksik tarih",MAX(0,MIN(1,('Panel'!$N$5-F147+1)/(G147-F147+1)))))</x:f>
      </x:c>
      <x:c r="O147" s="2" t="str">
        <x:f>IF(A147="","",IF(OR(NOT(ISNUMBER(H147)),NOT(ISNUMBER(I147))),"Eksik ilerleme",H147*I147))</x:f>
      </x:c>
      <x:c r="P147" s="2" t="str">
        <x:f>IF(A147="","",IF(OR(H147="",NOT(ISNUMBER(N147))),"Eksik plan",H147*N147))</x:f>
      </x:c>
      <x:c r="Q147" s="2" t="str">
        <x:f>IF(A147="","",IF(J147="","Eksik bitiş",J147-G147))</x:f>
      </x:c>
      <x:c r="R147" s="6"/>
      <x:c r="S147" s="2" t="str">
        <x:f>IF(AND(A147&lt;&gt;"",B147='Panel'!$C$5),COUNTIFS($B$7:B147,B147,$A$7:A147,"&lt;&gt;"),"")</x:f>
      </x:c>
    </x:row>
    <x:row r="148" ht="22" customHeight="1">
      <x:c r="A148" s="6"/>
      <x:c r="B148" s="6"/>
      <x:c r="C148" s="6"/>
      <x:c r="D148" s="6"/>
      <x:c r="E148" s="6"/>
      <x:c r="F148" s="7"/>
      <x:c r="G148" s="7"/>
      <x:c r="H148" s="6"/>
      <x:c r="I148" s="15"/>
      <x:c r="J148" s="7"/>
      <x:c r="K148" s="6"/>
      <x:c r="L148" s="6"/>
      <x:c r="M148" s="2" t="str">
        <x:f>IF(A148="","",IF(NOT(ISNUMBER(I148)),"Eksik ilerleme",IF(I148=1,"Tamamlandı",IF(G148&lt;'Panel'!$N$5,"Gecikmiş",IF(I148&gt;0,"Devam ediyor","Başlamadı")))))</x:f>
      </x:c>
      <x:c r="N148" s="16" t="str">
        <x:f>IF(A148="","",IF(OR(F148="",G148="",G148&lt;F148),"Eksik tarih",MAX(0,MIN(1,('Panel'!$N$5-F148+1)/(G148-F148+1)))))</x:f>
      </x:c>
      <x:c r="O148" s="2" t="str">
        <x:f>IF(A148="","",IF(OR(NOT(ISNUMBER(H148)),NOT(ISNUMBER(I148))),"Eksik ilerleme",H148*I148))</x:f>
      </x:c>
      <x:c r="P148" s="2" t="str">
        <x:f>IF(A148="","",IF(OR(H148="",NOT(ISNUMBER(N148))),"Eksik plan",H148*N148))</x:f>
      </x:c>
      <x:c r="Q148" s="2" t="str">
        <x:f>IF(A148="","",IF(J148="","Eksik bitiş",J148-G148))</x:f>
      </x:c>
      <x:c r="R148" s="6"/>
      <x:c r="S148" s="2" t="str">
        <x:f>IF(AND(A148&lt;&gt;"",B148='Panel'!$C$5),COUNTIFS($B$7:B148,B148,$A$7:A148,"&lt;&gt;"),"")</x:f>
      </x:c>
    </x:row>
    <x:row r="149" ht="22" customHeight="1">
      <x:c r="A149" s="6"/>
      <x:c r="B149" s="6"/>
      <x:c r="C149" s="6"/>
      <x:c r="D149" s="6"/>
      <x:c r="E149" s="6"/>
      <x:c r="F149" s="7"/>
      <x:c r="G149" s="7"/>
      <x:c r="H149" s="6"/>
      <x:c r="I149" s="15"/>
      <x:c r="J149" s="7"/>
      <x:c r="K149" s="6"/>
      <x:c r="L149" s="6"/>
      <x:c r="M149" s="2" t="str">
        <x:f>IF(A149="","",IF(NOT(ISNUMBER(I149)),"Eksik ilerleme",IF(I149=1,"Tamamlandı",IF(G149&lt;'Panel'!$N$5,"Gecikmiş",IF(I149&gt;0,"Devam ediyor","Başlamadı")))))</x:f>
      </x:c>
      <x:c r="N149" s="16" t="str">
        <x:f>IF(A149="","",IF(OR(F149="",G149="",G149&lt;F149),"Eksik tarih",MAX(0,MIN(1,('Panel'!$N$5-F149+1)/(G149-F149+1)))))</x:f>
      </x:c>
      <x:c r="O149" s="2" t="str">
        <x:f>IF(A149="","",IF(OR(NOT(ISNUMBER(H149)),NOT(ISNUMBER(I149))),"Eksik ilerleme",H149*I149))</x:f>
      </x:c>
      <x:c r="P149" s="2" t="str">
        <x:f>IF(A149="","",IF(OR(H149="",NOT(ISNUMBER(N149))),"Eksik plan",H149*N149))</x:f>
      </x:c>
      <x:c r="Q149" s="2" t="str">
        <x:f>IF(A149="","",IF(J149="","Eksik bitiş",J149-G149))</x:f>
      </x:c>
      <x:c r="R149" s="6"/>
      <x:c r="S149" s="2" t="str">
        <x:f>IF(AND(A149&lt;&gt;"",B149='Panel'!$C$5),COUNTIFS($B$7:B149,B149,$A$7:A149,"&lt;&gt;"),"")</x:f>
      </x:c>
    </x:row>
    <x:row r="150" ht="22" customHeight="1">
      <x:c r="A150" s="6"/>
      <x:c r="B150" s="6"/>
      <x:c r="C150" s="6"/>
      <x:c r="D150" s="6"/>
      <x:c r="E150" s="6"/>
      <x:c r="F150" s="7"/>
      <x:c r="G150" s="7"/>
      <x:c r="H150" s="6"/>
      <x:c r="I150" s="15"/>
      <x:c r="J150" s="7"/>
      <x:c r="K150" s="6"/>
      <x:c r="L150" s="6"/>
      <x:c r="M150" s="2" t="str">
        <x:f>IF(A150="","",IF(NOT(ISNUMBER(I150)),"Eksik ilerleme",IF(I150=1,"Tamamlandı",IF(G150&lt;'Panel'!$N$5,"Gecikmiş",IF(I150&gt;0,"Devam ediyor","Başlamadı")))))</x:f>
      </x:c>
      <x:c r="N150" s="16" t="str">
        <x:f>IF(A150="","",IF(OR(F150="",G150="",G150&lt;F150),"Eksik tarih",MAX(0,MIN(1,('Panel'!$N$5-F150+1)/(G150-F150+1)))))</x:f>
      </x:c>
      <x:c r="O150" s="2" t="str">
        <x:f>IF(A150="","",IF(OR(NOT(ISNUMBER(H150)),NOT(ISNUMBER(I150))),"Eksik ilerleme",H150*I150))</x:f>
      </x:c>
      <x:c r="P150" s="2" t="str">
        <x:f>IF(A150="","",IF(OR(H150="",NOT(ISNUMBER(N150))),"Eksik plan",H150*N150))</x:f>
      </x:c>
      <x:c r="Q150" s="2" t="str">
        <x:f>IF(A150="","",IF(J150="","Eksik bitiş",J150-G150))</x:f>
      </x:c>
      <x:c r="R150" s="6"/>
      <x:c r="S150" s="2" t="str">
        <x:f>IF(AND(A150&lt;&gt;"",B150='Panel'!$C$5),COUNTIFS($B$7:B150,B150,$A$7:A150,"&lt;&gt;"),"")</x:f>
      </x:c>
    </x:row>
    <x:row r="151" ht="22" customHeight="1">
      <x:c r="A151" s="6"/>
      <x:c r="B151" s="6"/>
      <x:c r="C151" s="6"/>
      <x:c r="D151" s="6"/>
      <x:c r="E151" s="6"/>
      <x:c r="F151" s="7"/>
      <x:c r="G151" s="7"/>
      <x:c r="H151" s="6"/>
      <x:c r="I151" s="15"/>
      <x:c r="J151" s="7"/>
      <x:c r="K151" s="6"/>
      <x:c r="L151" s="6"/>
      <x:c r="M151" s="2" t="str">
        <x:f>IF(A151="","",IF(NOT(ISNUMBER(I151)),"Eksik ilerleme",IF(I151=1,"Tamamlandı",IF(G151&lt;'Panel'!$N$5,"Gecikmiş",IF(I151&gt;0,"Devam ediyor","Başlamadı")))))</x:f>
      </x:c>
      <x:c r="N151" s="16" t="str">
        <x:f>IF(A151="","",IF(OR(F151="",G151="",G151&lt;F151),"Eksik tarih",MAX(0,MIN(1,('Panel'!$N$5-F151+1)/(G151-F151+1)))))</x:f>
      </x:c>
      <x:c r="O151" s="2" t="str">
        <x:f>IF(A151="","",IF(OR(NOT(ISNUMBER(H151)),NOT(ISNUMBER(I151))),"Eksik ilerleme",H151*I151))</x:f>
      </x:c>
      <x:c r="P151" s="2" t="str">
        <x:f>IF(A151="","",IF(OR(H151="",NOT(ISNUMBER(N151))),"Eksik plan",H151*N151))</x:f>
      </x:c>
      <x:c r="Q151" s="2" t="str">
        <x:f>IF(A151="","",IF(J151="","Eksik bitiş",J151-G151))</x:f>
      </x:c>
      <x:c r="R151" s="6"/>
      <x:c r="S151" s="2" t="str">
        <x:f>IF(AND(A151&lt;&gt;"",B151='Panel'!$C$5),COUNTIFS($B$7:B151,B151,$A$7:A151,"&lt;&gt;"),"")</x:f>
      </x:c>
    </x:row>
    <x:row r="152" ht="22" customHeight="1">
      <x:c r="A152" s="6"/>
      <x:c r="B152" s="6"/>
      <x:c r="C152" s="6"/>
      <x:c r="D152" s="6"/>
      <x:c r="E152" s="6"/>
      <x:c r="F152" s="7"/>
      <x:c r="G152" s="7"/>
      <x:c r="H152" s="6"/>
      <x:c r="I152" s="15"/>
      <x:c r="J152" s="7"/>
      <x:c r="K152" s="6"/>
      <x:c r="L152" s="6"/>
      <x:c r="M152" s="2" t="str">
        <x:f>IF(A152="","",IF(NOT(ISNUMBER(I152)),"Eksik ilerleme",IF(I152=1,"Tamamlandı",IF(G152&lt;'Panel'!$N$5,"Gecikmiş",IF(I152&gt;0,"Devam ediyor","Başlamadı")))))</x:f>
      </x:c>
      <x:c r="N152" s="16" t="str">
        <x:f>IF(A152="","",IF(OR(F152="",G152="",G152&lt;F152),"Eksik tarih",MAX(0,MIN(1,('Panel'!$N$5-F152+1)/(G152-F152+1)))))</x:f>
      </x:c>
      <x:c r="O152" s="2" t="str">
        <x:f>IF(A152="","",IF(OR(NOT(ISNUMBER(H152)),NOT(ISNUMBER(I152))),"Eksik ilerleme",H152*I152))</x:f>
      </x:c>
      <x:c r="P152" s="2" t="str">
        <x:f>IF(A152="","",IF(OR(H152="",NOT(ISNUMBER(N152))),"Eksik plan",H152*N152))</x:f>
      </x:c>
      <x:c r="Q152" s="2" t="str">
        <x:f>IF(A152="","",IF(J152="","Eksik bitiş",J152-G152))</x:f>
      </x:c>
      <x:c r="R152" s="6"/>
      <x:c r="S152" s="2" t="str">
        <x:f>IF(AND(A152&lt;&gt;"",B152='Panel'!$C$5),COUNTIFS($B$7:B152,B152,$A$7:A152,"&lt;&gt;"),"")</x:f>
      </x:c>
    </x:row>
    <x:row r="153" ht="22" customHeight="1">
      <x:c r="A153" s="6"/>
      <x:c r="B153" s="6"/>
      <x:c r="C153" s="6"/>
      <x:c r="D153" s="6"/>
      <x:c r="E153" s="6"/>
      <x:c r="F153" s="7"/>
      <x:c r="G153" s="7"/>
      <x:c r="H153" s="6"/>
      <x:c r="I153" s="15"/>
      <x:c r="J153" s="7"/>
      <x:c r="K153" s="6"/>
      <x:c r="L153" s="6"/>
      <x:c r="M153" s="2" t="str">
        <x:f>IF(A153="","",IF(NOT(ISNUMBER(I153)),"Eksik ilerleme",IF(I153=1,"Tamamlandı",IF(G153&lt;'Panel'!$N$5,"Gecikmiş",IF(I153&gt;0,"Devam ediyor","Başlamadı")))))</x:f>
      </x:c>
      <x:c r="N153" s="16" t="str">
        <x:f>IF(A153="","",IF(OR(F153="",G153="",G153&lt;F153),"Eksik tarih",MAX(0,MIN(1,('Panel'!$N$5-F153+1)/(G153-F153+1)))))</x:f>
      </x:c>
      <x:c r="O153" s="2" t="str">
        <x:f>IF(A153="","",IF(OR(NOT(ISNUMBER(H153)),NOT(ISNUMBER(I153))),"Eksik ilerleme",H153*I153))</x:f>
      </x:c>
      <x:c r="P153" s="2" t="str">
        <x:f>IF(A153="","",IF(OR(H153="",NOT(ISNUMBER(N153))),"Eksik plan",H153*N153))</x:f>
      </x:c>
      <x:c r="Q153" s="2" t="str">
        <x:f>IF(A153="","",IF(J153="","Eksik bitiş",J153-G153))</x:f>
      </x:c>
      <x:c r="R153" s="6"/>
      <x:c r="S153" s="2" t="str">
        <x:f>IF(AND(A153&lt;&gt;"",B153='Panel'!$C$5),COUNTIFS($B$7:B153,B153,$A$7:A153,"&lt;&gt;"),"")</x:f>
      </x:c>
    </x:row>
    <x:row r="154" ht="22" customHeight="1">
      <x:c r="A154" s="6"/>
      <x:c r="B154" s="6"/>
      <x:c r="C154" s="6"/>
      <x:c r="D154" s="6"/>
      <x:c r="E154" s="6"/>
      <x:c r="F154" s="7"/>
      <x:c r="G154" s="7"/>
      <x:c r="H154" s="6"/>
      <x:c r="I154" s="15"/>
      <x:c r="J154" s="7"/>
      <x:c r="K154" s="6"/>
      <x:c r="L154" s="6"/>
      <x:c r="M154" s="2" t="str">
        <x:f>IF(A154="","",IF(NOT(ISNUMBER(I154)),"Eksik ilerleme",IF(I154=1,"Tamamlandı",IF(G154&lt;'Panel'!$N$5,"Gecikmiş",IF(I154&gt;0,"Devam ediyor","Başlamadı")))))</x:f>
      </x:c>
      <x:c r="N154" s="16" t="str">
        <x:f>IF(A154="","",IF(OR(F154="",G154="",G154&lt;F154),"Eksik tarih",MAX(0,MIN(1,('Panel'!$N$5-F154+1)/(G154-F154+1)))))</x:f>
      </x:c>
      <x:c r="O154" s="2" t="str">
        <x:f>IF(A154="","",IF(OR(NOT(ISNUMBER(H154)),NOT(ISNUMBER(I154))),"Eksik ilerleme",H154*I154))</x:f>
      </x:c>
      <x:c r="P154" s="2" t="str">
        <x:f>IF(A154="","",IF(OR(H154="",NOT(ISNUMBER(N154))),"Eksik plan",H154*N154))</x:f>
      </x:c>
      <x:c r="Q154" s="2" t="str">
        <x:f>IF(A154="","",IF(J154="","Eksik bitiş",J154-G154))</x:f>
      </x:c>
      <x:c r="R154" s="6"/>
      <x:c r="S154" s="2" t="str">
        <x:f>IF(AND(A154&lt;&gt;"",B154='Panel'!$C$5),COUNTIFS($B$7:B154,B154,$A$7:A154,"&lt;&gt;"),"")</x:f>
      </x:c>
    </x:row>
    <x:row r="155" ht="22" customHeight="1">
      <x:c r="A155" s="6"/>
      <x:c r="B155" s="6"/>
      <x:c r="C155" s="6"/>
      <x:c r="D155" s="6"/>
      <x:c r="E155" s="6"/>
      <x:c r="F155" s="7"/>
      <x:c r="G155" s="7"/>
      <x:c r="H155" s="6"/>
      <x:c r="I155" s="15"/>
      <x:c r="J155" s="7"/>
      <x:c r="K155" s="6"/>
      <x:c r="L155" s="6"/>
      <x:c r="M155" s="2" t="str">
        <x:f>IF(A155="","",IF(NOT(ISNUMBER(I155)),"Eksik ilerleme",IF(I155=1,"Tamamlandı",IF(G155&lt;'Panel'!$N$5,"Gecikmiş",IF(I155&gt;0,"Devam ediyor","Başlamadı")))))</x:f>
      </x:c>
      <x:c r="N155" s="16" t="str">
        <x:f>IF(A155="","",IF(OR(F155="",G155="",G155&lt;F155),"Eksik tarih",MAX(0,MIN(1,('Panel'!$N$5-F155+1)/(G155-F155+1)))))</x:f>
      </x:c>
      <x:c r="O155" s="2" t="str">
        <x:f>IF(A155="","",IF(OR(NOT(ISNUMBER(H155)),NOT(ISNUMBER(I155))),"Eksik ilerleme",H155*I155))</x:f>
      </x:c>
      <x:c r="P155" s="2" t="str">
        <x:f>IF(A155="","",IF(OR(H155="",NOT(ISNUMBER(N155))),"Eksik plan",H155*N155))</x:f>
      </x:c>
      <x:c r="Q155" s="2" t="str">
        <x:f>IF(A155="","",IF(J155="","Eksik bitiş",J155-G155))</x:f>
      </x:c>
      <x:c r="R155" s="6"/>
      <x:c r="S155" s="2" t="str">
        <x:f>IF(AND(A155&lt;&gt;"",B155='Panel'!$C$5),COUNTIFS($B$7:B155,B155,$A$7:A155,"&lt;&gt;"),"")</x:f>
      </x:c>
    </x:row>
    <x:row r="156" ht="22" customHeight="1">
      <x:c r="A156" s="6"/>
      <x:c r="B156" s="6"/>
      <x:c r="C156" s="6"/>
      <x:c r="D156" s="6"/>
      <x:c r="E156" s="6"/>
      <x:c r="F156" s="7"/>
      <x:c r="G156" s="7"/>
      <x:c r="H156" s="6"/>
      <x:c r="I156" s="15"/>
      <x:c r="J156" s="7"/>
      <x:c r="K156" s="6"/>
      <x:c r="L156" s="6"/>
      <x:c r="M156" s="2" t="str">
        <x:f>IF(A156="","",IF(NOT(ISNUMBER(I156)),"Eksik ilerleme",IF(I156=1,"Tamamlandı",IF(G156&lt;'Panel'!$N$5,"Gecikmiş",IF(I156&gt;0,"Devam ediyor","Başlamadı")))))</x:f>
      </x:c>
      <x:c r="N156" s="16" t="str">
        <x:f>IF(A156="","",IF(OR(F156="",G156="",G156&lt;F156),"Eksik tarih",MAX(0,MIN(1,('Panel'!$N$5-F156+1)/(G156-F156+1)))))</x:f>
      </x:c>
      <x:c r="O156" s="2" t="str">
        <x:f>IF(A156="","",IF(OR(NOT(ISNUMBER(H156)),NOT(ISNUMBER(I156))),"Eksik ilerleme",H156*I156))</x:f>
      </x:c>
      <x:c r="P156" s="2" t="str">
        <x:f>IF(A156="","",IF(OR(H156="",NOT(ISNUMBER(N156))),"Eksik plan",H156*N156))</x:f>
      </x:c>
      <x:c r="Q156" s="2" t="str">
        <x:f>IF(A156="","",IF(J156="","Eksik bitiş",J156-G156))</x:f>
      </x:c>
      <x:c r="R156" s="6"/>
      <x:c r="S156" s="2" t="str">
        <x:f>IF(AND(A156&lt;&gt;"",B156='Panel'!$C$5),COUNTIFS($B$7:B156,B156,$A$7:A156,"&lt;&gt;"),"")</x:f>
      </x:c>
    </x:row>
    <x:row r="157" ht="22" customHeight="1">
      <x:c r="A157" s="6"/>
      <x:c r="B157" s="6"/>
      <x:c r="C157" s="6"/>
      <x:c r="D157" s="6"/>
      <x:c r="E157" s="6"/>
      <x:c r="F157" s="7"/>
      <x:c r="G157" s="7"/>
      <x:c r="H157" s="6"/>
      <x:c r="I157" s="15"/>
      <x:c r="J157" s="7"/>
      <x:c r="K157" s="6"/>
      <x:c r="L157" s="6"/>
      <x:c r="M157" s="2" t="str">
        <x:f>IF(A157="","",IF(NOT(ISNUMBER(I157)),"Eksik ilerleme",IF(I157=1,"Tamamlandı",IF(G157&lt;'Panel'!$N$5,"Gecikmiş",IF(I157&gt;0,"Devam ediyor","Başlamadı")))))</x:f>
      </x:c>
      <x:c r="N157" s="16" t="str">
        <x:f>IF(A157="","",IF(OR(F157="",G157="",G157&lt;F157),"Eksik tarih",MAX(0,MIN(1,('Panel'!$N$5-F157+1)/(G157-F157+1)))))</x:f>
      </x:c>
      <x:c r="O157" s="2" t="str">
        <x:f>IF(A157="","",IF(OR(NOT(ISNUMBER(H157)),NOT(ISNUMBER(I157))),"Eksik ilerleme",H157*I157))</x:f>
      </x:c>
      <x:c r="P157" s="2" t="str">
        <x:f>IF(A157="","",IF(OR(H157="",NOT(ISNUMBER(N157))),"Eksik plan",H157*N157))</x:f>
      </x:c>
      <x:c r="Q157" s="2" t="str">
        <x:f>IF(A157="","",IF(J157="","Eksik bitiş",J157-G157))</x:f>
      </x:c>
      <x:c r="R157" s="6"/>
      <x:c r="S157" s="2" t="str">
        <x:f>IF(AND(A157&lt;&gt;"",B157='Panel'!$C$5),COUNTIFS($B$7:B157,B157,$A$7:A157,"&lt;&gt;"),"")</x:f>
      </x:c>
    </x:row>
    <x:row r="158" ht="22" customHeight="1">
      <x:c r="A158" s="6"/>
      <x:c r="B158" s="6"/>
      <x:c r="C158" s="6"/>
      <x:c r="D158" s="6"/>
      <x:c r="E158" s="6"/>
      <x:c r="F158" s="7"/>
      <x:c r="G158" s="7"/>
      <x:c r="H158" s="6"/>
      <x:c r="I158" s="15"/>
      <x:c r="J158" s="7"/>
      <x:c r="K158" s="6"/>
      <x:c r="L158" s="6"/>
      <x:c r="M158" s="2" t="str">
        <x:f>IF(A158="","",IF(NOT(ISNUMBER(I158)),"Eksik ilerleme",IF(I158=1,"Tamamlandı",IF(G158&lt;'Panel'!$N$5,"Gecikmiş",IF(I158&gt;0,"Devam ediyor","Başlamadı")))))</x:f>
      </x:c>
      <x:c r="N158" s="16" t="str">
        <x:f>IF(A158="","",IF(OR(F158="",G158="",G158&lt;F158),"Eksik tarih",MAX(0,MIN(1,('Panel'!$N$5-F158+1)/(G158-F158+1)))))</x:f>
      </x:c>
      <x:c r="O158" s="2" t="str">
        <x:f>IF(A158="","",IF(OR(NOT(ISNUMBER(H158)),NOT(ISNUMBER(I158))),"Eksik ilerleme",H158*I158))</x:f>
      </x:c>
      <x:c r="P158" s="2" t="str">
        <x:f>IF(A158="","",IF(OR(H158="",NOT(ISNUMBER(N158))),"Eksik plan",H158*N158))</x:f>
      </x:c>
      <x:c r="Q158" s="2" t="str">
        <x:f>IF(A158="","",IF(J158="","Eksik bitiş",J158-G158))</x:f>
      </x:c>
      <x:c r="R158" s="6"/>
      <x:c r="S158" s="2" t="str">
        <x:f>IF(AND(A158&lt;&gt;"",B158='Panel'!$C$5),COUNTIFS($B$7:B158,B158,$A$7:A158,"&lt;&gt;"),"")</x:f>
      </x:c>
    </x:row>
    <x:row r="159" ht="22" customHeight="1">
      <x:c r="A159" s="6"/>
      <x:c r="B159" s="6"/>
      <x:c r="C159" s="6"/>
      <x:c r="D159" s="6"/>
      <x:c r="E159" s="6"/>
      <x:c r="F159" s="7"/>
      <x:c r="G159" s="7"/>
      <x:c r="H159" s="6"/>
      <x:c r="I159" s="15"/>
      <x:c r="J159" s="7"/>
      <x:c r="K159" s="6"/>
      <x:c r="L159" s="6"/>
      <x:c r="M159" s="2" t="str">
        <x:f>IF(A159="","",IF(NOT(ISNUMBER(I159)),"Eksik ilerleme",IF(I159=1,"Tamamlandı",IF(G159&lt;'Panel'!$N$5,"Gecikmiş",IF(I159&gt;0,"Devam ediyor","Başlamadı")))))</x:f>
      </x:c>
      <x:c r="N159" s="16" t="str">
        <x:f>IF(A159="","",IF(OR(F159="",G159="",G159&lt;F159),"Eksik tarih",MAX(0,MIN(1,('Panel'!$N$5-F159+1)/(G159-F159+1)))))</x:f>
      </x:c>
      <x:c r="O159" s="2" t="str">
        <x:f>IF(A159="","",IF(OR(NOT(ISNUMBER(H159)),NOT(ISNUMBER(I159))),"Eksik ilerleme",H159*I159))</x:f>
      </x:c>
      <x:c r="P159" s="2" t="str">
        <x:f>IF(A159="","",IF(OR(H159="",NOT(ISNUMBER(N159))),"Eksik plan",H159*N159))</x:f>
      </x:c>
      <x:c r="Q159" s="2" t="str">
        <x:f>IF(A159="","",IF(J159="","Eksik bitiş",J159-G159))</x:f>
      </x:c>
      <x:c r="R159" s="6"/>
      <x:c r="S159" s="2" t="str">
        <x:f>IF(AND(A159&lt;&gt;"",B159='Panel'!$C$5),COUNTIFS($B$7:B159,B159,$A$7:A159,"&lt;&gt;"),"")</x:f>
      </x:c>
    </x:row>
    <x:row r="160" ht="22" customHeight="1">
      <x:c r="A160" s="6"/>
      <x:c r="B160" s="6"/>
      <x:c r="C160" s="6"/>
      <x:c r="D160" s="6"/>
      <x:c r="E160" s="6"/>
      <x:c r="F160" s="7"/>
      <x:c r="G160" s="7"/>
      <x:c r="H160" s="6"/>
      <x:c r="I160" s="15"/>
      <x:c r="J160" s="7"/>
      <x:c r="K160" s="6"/>
      <x:c r="L160" s="6"/>
      <x:c r="M160" s="2" t="str">
        <x:f>IF(A160="","",IF(NOT(ISNUMBER(I160)),"Eksik ilerleme",IF(I160=1,"Tamamlandı",IF(G160&lt;'Panel'!$N$5,"Gecikmiş",IF(I160&gt;0,"Devam ediyor","Başlamadı")))))</x:f>
      </x:c>
      <x:c r="N160" s="16" t="str">
        <x:f>IF(A160="","",IF(OR(F160="",G160="",G160&lt;F160),"Eksik tarih",MAX(0,MIN(1,('Panel'!$N$5-F160+1)/(G160-F160+1)))))</x:f>
      </x:c>
      <x:c r="O160" s="2" t="str">
        <x:f>IF(A160="","",IF(OR(NOT(ISNUMBER(H160)),NOT(ISNUMBER(I160))),"Eksik ilerleme",H160*I160))</x:f>
      </x:c>
      <x:c r="P160" s="2" t="str">
        <x:f>IF(A160="","",IF(OR(H160="",NOT(ISNUMBER(N160))),"Eksik plan",H160*N160))</x:f>
      </x:c>
      <x:c r="Q160" s="2" t="str">
        <x:f>IF(A160="","",IF(J160="","Eksik bitiş",J160-G160))</x:f>
      </x:c>
      <x:c r="R160" s="6"/>
      <x:c r="S160" s="2" t="str">
        <x:f>IF(AND(A160&lt;&gt;"",B160='Panel'!$C$5),COUNTIFS($B$7:B160,B160,$A$7:A160,"&lt;&gt;"),"")</x:f>
      </x:c>
    </x:row>
    <x:row r="161" ht="22" customHeight="1">
      <x:c r="A161" s="6"/>
      <x:c r="B161" s="6"/>
      <x:c r="C161" s="6"/>
      <x:c r="D161" s="6"/>
      <x:c r="E161" s="6"/>
      <x:c r="F161" s="7"/>
      <x:c r="G161" s="7"/>
      <x:c r="H161" s="6"/>
      <x:c r="I161" s="15"/>
      <x:c r="J161" s="7"/>
      <x:c r="K161" s="6"/>
      <x:c r="L161" s="6"/>
      <x:c r="M161" s="2" t="str">
        <x:f>IF(A161="","",IF(NOT(ISNUMBER(I161)),"Eksik ilerleme",IF(I161=1,"Tamamlandı",IF(G161&lt;'Panel'!$N$5,"Gecikmiş",IF(I161&gt;0,"Devam ediyor","Başlamadı")))))</x:f>
      </x:c>
      <x:c r="N161" s="16" t="str">
        <x:f>IF(A161="","",IF(OR(F161="",G161="",G161&lt;F161),"Eksik tarih",MAX(0,MIN(1,('Panel'!$N$5-F161+1)/(G161-F161+1)))))</x:f>
      </x:c>
      <x:c r="O161" s="2" t="str">
        <x:f>IF(A161="","",IF(OR(NOT(ISNUMBER(H161)),NOT(ISNUMBER(I161))),"Eksik ilerleme",H161*I161))</x:f>
      </x:c>
      <x:c r="P161" s="2" t="str">
        <x:f>IF(A161="","",IF(OR(H161="",NOT(ISNUMBER(N161))),"Eksik plan",H161*N161))</x:f>
      </x:c>
      <x:c r="Q161" s="2" t="str">
        <x:f>IF(A161="","",IF(J161="","Eksik bitiş",J161-G161))</x:f>
      </x:c>
      <x:c r="R161" s="6"/>
      <x:c r="S161" s="2" t="str">
        <x:f>IF(AND(A161&lt;&gt;"",B161='Panel'!$C$5),COUNTIFS($B$7:B161,B161,$A$7:A161,"&lt;&gt;"),"")</x:f>
      </x:c>
    </x:row>
    <x:row r="162" ht="22" customHeight="1">
      <x:c r="A162" s="6"/>
      <x:c r="B162" s="6"/>
      <x:c r="C162" s="6"/>
      <x:c r="D162" s="6"/>
      <x:c r="E162" s="6"/>
      <x:c r="F162" s="7"/>
      <x:c r="G162" s="7"/>
      <x:c r="H162" s="6"/>
      <x:c r="I162" s="15"/>
      <x:c r="J162" s="7"/>
      <x:c r="K162" s="6"/>
      <x:c r="L162" s="6"/>
      <x:c r="M162" s="2" t="str">
        <x:f>IF(A162="","",IF(NOT(ISNUMBER(I162)),"Eksik ilerleme",IF(I162=1,"Tamamlandı",IF(G162&lt;'Panel'!$N$5,"Gecikmiş",IF(I162&gt;0,"Devam ediyor","Başlamadı")))))</x:f>
      </x:c>
      <x:c r="N162" s="16" t="str">
        <x:f>IF(A162="","",IF(OR(F162="",G162="",G162&lt;F162),"Eksik tarih",MAX(0,MIN(1,('Panel'!$N$5-F162+1)/(G162-F162+1)))))</x:f>
      </x:c>
      <x:c r="O162" s="2" t="str">
        <x:f>IF(A162="","",IF(OR(NOT(ISNUMBER(H162)),NOT(ISNUMBER(I162))),"Eksik ilerleme",H162*I162))</x:f>
      </x:c>
      <x:c r="P162" s="2" t="str">
        <x:f>IF(A162="","",IF(OR(H162="",NOT(ISNUMBER(N162))),"Eksik plan",H162*N162))</x:f>
      </x:c>
      <x:c r="Q162" s="2" t="str">
        <x:f>IF(A162="","",IF(J162="","Eksik bitiş",J162-G162))</x:f>
      </x:c>
      <x:c r="R162" s="6"/>
      <x:c r="S162" s="2" t="str">
        <x:f>IF(AND(A162&lt;&gt;"",B162='Panel'!$C$5),COUNTIFS($B$7:B162,B162,$A$7:A162,"&lt;&gt;"),"")</x:f>
      </x:c>
    </x:row>
    <x:row r="163" ht="22" customHeight="1">
      <x:c r="A163" s="6"/>
      <x:c r="B163" s="6"/>
      <x:c r="C163" s="6"/>
      <x:c r="D163" s="6"/>
      <x:c r="E163" s="6"/>
      <x:c r="F163" s="7"/>
      <x:c r="G163" s="7"/>
      <x:c r="H163" s="6"/>
      <x:c r="I163" s="15"/>
      <x:c r="J163" s="7"/>
      <x:c r="K163" s="6"/>
      <x:c r="L163" s="6"/>
      <x:c r="M163" s="2" t="str">
        <x:f>IF(A163="","",IF(NOT(ISNUMBER(I163)),"Eksik ilerleme",IF(I163=1,"Tamamlandı",IF(G163&lt;'Panel'!$N$5,"Gecikmiş",IF(I163&gt;0,"Devam ediyor","Başlamadı")))))</x:f>
      </x:c>
      <x:c r="N163" s="16" t="str">
        <x:f>IF(A163="","",IF(OR(F163="",G163="",G163&lt;F163),"Eksik tarih",MAX(0,MIN(1,('Panel'!$N$5-F163+1)/(G163-F163+1)))))</x:f>
      </x:c>
      <x:c r="O163" s="2" t="str">
        <x:f>IF(A163="","",IF(OR(NOT(ISNUMBER(H163)),NOT(ISNUMBER(I163))),"Eksik ilerleme",H163*I163))</x:f>
      </x:c>
      <x:c r="P163" s="2" t="str">
        <x:f>IF(A163="","",IF(OR(H163="",NOT(ISNUMBER(N163))),"Eksik plan",H163*N163))</x:f>
      </x:c>
      <x:c r="Q163" s="2" t="str">
        <x:f>IF(A163="","",IF(J163="","Eksik bitiş",J163-G163))</x:f>
      </x:c>
      <x:c r="R163" s="6"/>
      <x:c r="S163" s="2" t="str">
        <x:f>IF(AND(A163&lt;&gt;"",B163='Panel'!$C$5),COUNTIFS($B$7:B163,B163,$A$7:A163,"&lt;&gt;"),"")</x:f>
      </x:c>
    </x:row>
    <x:row r="164" ht="22" customHeight="1">
      <x:c r="A164" s="6"/>
      <x:c r="B164" s="6"/>
      <x:c r="C164" s="6"/>
      <x:c r="D164" s="6"/>
      <x:c r="E164" s="6"/>
      <x:c r="F164" s="7"/>
      <x:c r="G164" s="7"/>
      <x:c r="H164" s="6"/>
      <x:c r="I164" s="15"/>
      <x:c r="J164" s="7"/>
      <x:c r="K164" s="6"/>
      <x:c r="L164" s="6"/>
      <x:c r="M164" s="2" t="str">
        <x:f>IF(A164="","",IF(NOT(ISNUMBER(I164)),"Eksik ilerleme",IF(I164=1,"Tamamlandı",IF(G164&lt;'Panel'!$N$5,"Gecikmiş",IF(I164&gt;0,"Devam ediyor","Başlamadı")))))</x:f>
      </x:c>
      <x:c r="N164" s="16" t="str">
        <x:f>IF(A164="","",IF(OR(F164="",G164="",G164&lt;F164),"Eksik tarih",MAX(0,MIN(1,('Panel'!$N$5-F164+1)/(G164-F164+1)))))</x:f>
      </x:c>
      <x:c r="O164" s="2" t="str">
        <x:f>IF(A164="","",IF(OR(NOT(ISNUMBER(H164)),NOT(ISNUMBER(I164))),"Eksik ilerleme",H164*I164))</x:f>
      </x:c>
      <x:c r="P164" s="2" t="str">
        <x:f>IF(A164="","",IF(OR(H164="",NOT(ISNUMBER(N164))),"Eksik plan",H164*N164))</x:f>
      </x:c>
      <x:c r="Q164" s="2" t="str">
        <x:f>IF(A164="","",IF(J164="","Eksik bitiş",J164-G164))</x:f>
      </x:c>
      <x:c r="R164" s="6"/>
      <x:c r="S164" s="2" t="str">
        <x:f>IF(AND(A164&lt;&gt;"",B164='Panel'!$C$5),COUNTIFS($B$7:B164,B164,$A$7:A164,"&lt;&gt;"),"")</x:f>
      </x:c>
    </x:row>
    <x:row r="165" ht="22" customHeight="1">
      <x:c r="A165" s="6"/>
      <x:c r="B165" s="6"/>
      <x:c r="C165" s="6"/>
      <x:c r="D165" s="6"/>
      <x:c r="E165" s="6"/>
      <x:c r="F165" s="7"/>
      <x:c r="G165" s="7"/>
      <x:c r="H165" s="6"/>
      <x:c r="I165" s="15"/>
      <x:c r="J165" s="7"/>
      <x:c r="K165" s="6"/>
      <x:c r="L165" s="6"/>
      <x:c r="M165" s="2" t="str">
        <x:f>IF(A165="","",IF(NOT(ISNUMBER(I165)),"Eksik ilerleme",IF(I165=1,"Tamamlandı",IF(G165&lt;'Panel'!$N$5,"Gecikmiş",IF(I165&gt;0,"Devam ediyor","Başlamadı")))))</x:f>
      </x:c>
      <x:c r="N165" s="16" t="str">
        <x:f>IF(A165="","",IF(OR(F165="",G165="",G165&lt;F165),"Eksik tarih",MAX(0,MIN(1,('Panel'!$N$5-F165+1)/(G165-F165+1)))))</x:f>
      </x:c>
      <x:c r="O165" s="2" t="str">
        <x:f>IF(A165="","",IF(OR(NOT(ISNUMBER(H165)),NOT(ISNUMBER(I165))),"Eksik ilerleme",H165*I165))</x:f>
      </x:c>
      <x:c r="P165" s="2" t="str">
        <x:f>IF(A165="","",IF(OR(H165="",NOT(ISNUMBER(N165))),"Eksik plan",H165*N165))</x:f>
      </x:c>
      <x:c r="Q165" s="2" t="str">
        <x:f>IF(A165="","",IF(J165="","Eksik bitiş",J165-G165))</x:f>
      </x:c>
      <x:c r="R165" s="6"/>
      <x:c r="S165" s="2" t="str">
        <x:f>IF(AND(A165&lt;&gt;"",B165='Panel'!$C$5),COUNTIFS($B$7:B165,B165,$A$7:A165,"&lt;&gt;"),"")</x:f>
      </x:c>
    </x:row>
    <x:row r="166" ht="22" customHeight="1">
      <x:c r="A166" s="6"/>
      <x:c r="B166" s="6"/>
      <x:c r="C166" s="6"/>
      <x:c r="D166" s="6"/>
      <x:c r="E166" s="6"/>
      <x:c r="F166" s="7"/>
      <x:c r="G166" s="7"/>
      <x:c r="H166" s="6"/>
      <x:c r="I166" s="15"/>
      <x:c r="J166" s="7"/>
      <x:c r="K166" s="6"/>
      <x:c r="L166" s="6"/>
      <x:c r="M166" s="2" t="str">
        <x:f>IF(A166="","",IF(NOT(ISNUMBER(I166)),"Eksik ilerleme",IF(I166=1,"Tamamlandı",IF(G166&lt;'Panel'!$N$5,"Gecikmiş",IF(I166&gt;0,"Devam ediyor","Başlamadı")))))</x:f>
      </x:c>
      <x:c r="N166" s="16" t="str">
        <x:f>IF(A166="","",IF(OR(F166="",G166="",G166&lt;F166),"Eksik tarih",MAX(0,MIN(1,('Panel'!$N$5-F166+1)/(G166-F166+1)))))</x:f>
      </x:c>
      <x:c r="O166" s="2" t="str">
        <x:f>IF(A166="","",IF(OR(NOT(ISNUMBER(H166)),NOT(ISNUMBER(I166))),"Eksik ilerleme",H166*I166))</x:f>
      </x:c>
      <x:c r="P166" s="2" t="str">
        <x:f>IF(A166="","",IF(OR(H166="",NOT(ISNUMBER(N166))),"Eksik plan",H166*N166))</x:f>
      </x:c>
      <x:c r="Q166" s="2" t="str">
        <x:f>IF(A166="","",IF(J166="","Eksik bitiş",J166-G166))</x:f>
      </x:c>
      <x:c r="R166" s="6"/>
      <x:c r="S166" s="2" t="str">
        <x:f>IF(AND(A166&lt;&gt;"",B166='Panel'!$C$5),COUNTIFS($B$7:B166,B166,$A$7:A166,"&lt;&gt;"),"")</x:f>
      </x:c>
    </x:row>
    <x:row r="167" ht="22" customHeight="1">
      <x:c r="A167" s="6"/>
      <x:c r="B167" s="6"/>
      <x:c r="C167" s="6"/>
      <x:c r="D167" s="6"/>
      <x:c r="E167" s="6"/>
      <x:c r="F167" s="7"/>
      <x:c r="G167" s="7"/>
      <x:c r="H167" s="6"/>
      <x:c r="I167" s="15"/>
      <x:c r="J167" s="7"/>
      <x:c r="K167" s="6"/>
      <x:c r="L167" s="6"/>
      <x:c r="M167" s="2" t="str">
        <x:f>IF(A167="","",IF(NOT(ISNUMBER(I167)),"Eksik ilerleme",IF(I167=1,"Tamamlandı",IF(G167&lt;'Panel'!$N$5,"Gecikmiş",IF(I167&gt;0,"Devam ediyor","Başlamadı")))))</x:f>
      </x:c>
      <x:c r="N167" s="16" t="str">
        <x:f>IF(A167="","",IF(OR(F167="",G167="",G167&lt;F167),"Eksik tarih",MAX(0,MIN(1,('Panel'!$N$5-F167+1)/(G167-F167+1)))))</x:f>
      </x:c>
      <x:c r="O167" s="2" t="str">
        <x:f>IF(A167="","",IF(OR(NOT(ISNUMBER(H167)),NOT(ISNUMBER(I167))),"Eksik ilerleme",H167*I167))</x:f>
      </x:c>
      <x:c r="P167" s="2" t="str">
        <x:f>IF(A167="","",IF(OR(H167="",NOT(ISNUMBER(N167))),"Eksik plan",H167*N167))</x:f>
      </x:c>
      <x:c r="Q167" s="2" t="str">
        <x:f>IF(A167="","",IF(J167="","Eksik bitiş",J167-G167))</x:f>
      </x:c>
      <x:c r="R167" s="6"/>
      <x:c r="S167" s="2" t="str">
        <x:f>IF(AND(A167&lt;&gt;"",B167='Panel'!$C$5),COUNTIFS($B$7:B167,B167,$A$7:A167,"&lt;&gt;"),"")</x:f>
      </x:c>
    </x:row>
    <x:row r="168" ht="22" customHeight="1">
      <x:c r="A168" s="6"/>
      <x:c r="B168" s="6"/>
      <x:c r="C168" s="6"/>
      <x:c r="D168" s="6"/>
      <x:c r="E168" s="6"/>
      <x:c r="F168" s="7"/>
      <x:c r="G168" s="7"/>
      <x:c r="H168" s="6"/>
      <x:c r="I168" s="15"/>
      <x:c r="J168" s="7"/>
      <x:c r="K168" s="6"/>
      <x:c r="L168" s="6"/>
      <x:c r="M168" s="2" t="str">
        <x:f>IF(A168="","",IF(NOT(ISNUMBER(I168)),"Eksik ilerleme",IF(I168=1,"Tamamlandı",IF(G168&lt;'Panel'!$N$5,"Gecikmiş",IF(I168&gt;0,"Devam ediyor","Başlamadı")))))</x:f>
      </x:c>
      <x:c r="N168" s="16" t="str">
        <x:f>IF(A168="","",IF(OR(F168="",G168="",G168&lt;F168),"Eksik tarih",MAX(0,MIN(1,('Panel'!$N$5-F168+1)/(G168-F168+1)))))</x:f>
      </x:c>
      <x:c r="O168" s="2" t="str">
        <x:f>IF(A168="","",IF(OR(NOT(ISNUMBER(H168)),NOT(ISNUMBER(I168))),"Eksik ilerleme",H168*I168))</x:f>
      </x:c>
      <x:c r="P168" s="2" t="str">
        <x:f>IF(A168="","",IF(OR(H168="",NOT(ISNUMBER(N168))),"Eksik plan",H168*N168))</x:f>
      </x:c>
      <x:c r="Q168" s="2" t="str">
        <x:f>IF(A168="","",IF(J168="","Eksik bitiş",J168-G168))</x:f>
      </x:c>
      <x:c r="R168" s="6"/>
      <x:c r="S168" s="2" t="str">
        <x:f>IF(AND(A168&lt;&gt;"",B168='Panel'!$C$5),COUNTIFS($B$7:B168,B168,$A$7:A168,"&lt;&gt;"),"")</x:f>
      </x:c>
    </x:row>
    <x:row r="169" ht="22" customHeight="1">
      <x:c r="A169" s="6"/>
      <x:c r="B169" s="6"/>
      <x:c r="C169" s="6"/>
      <x:c r="D169" s="6"/>
      <x:c r="E169" s="6"/>
      <x:c r="F169" s="7"/>
      <x:c r="G169" s="7"/>
      <x:c r="H169" s="6"/>
      <x:c r="I169" s="15"/>
      <x:c r="J169" s="7"/>
      <x:c r="K169" s="6"/>
      <x:c r="L169" s="6"/>
      <x:c r="M169" s="2" t="str">
        <x:f>IF(A169="","",IF(NOT(ISNUMBER(I169)),"Eksik ilerleme",IF(I169=1,"Tamamlandı",IF(G169&lt;'Panel'!$N$5,"Gecikmiş",IF(I169&gt;0,"Devam ediyor","Başlamadı")))))</x:f>
      </x:c>
      <x:c r="N169" s="16" t="str">
        <x:f>IF(A169="","",IF(OR(F169="",G169="",G169&lt;F169),"Eksik tarih",MAX(0,MIN(1,('Panel'!$N$5-F169+1)/(G169-F169+1)))))</x:f>
      </x:c>
      <x:c r="O169" s="2" t="str">
        <x:f>IF(A169="","",IF(OR(NOT(ISNUMBER(H169)),NOT(ISNUMBER(I169))),"Eksik ilerleme",H169*I169))</x:f>
      </x:c>
      <x:c r="P169" s="2" t="str">
        <x:f>IF(A169="","",IF(OR(H169="",NOT(ISNUMBER(N169))),"Eksik plan",H169*N169))</x:f>
      </x:c>
      <x:c r="Q169" s="2" t="str">
        <x:f>IF(A169="","",IF(J169="","Eksik bitiş",J169-G169))</x:f>
      </x:c>
      <x:c r="R169" s="6"/>
      <x:c r="S169" s="2" t="str">
        <x:f>IF(AND(A169&lt;&gt;"",B169='Panel'!$C$5),COUNTIFS($B$7:B169,B169,$A$7:A169,"&lt;&gt;"),"")</x:f>
      </x:c>
    </x:row>
    <x:row r="170" ht="22" customHeight="1">
      <x:c r="A170" s="6"/>
      <x:c r="B170" s="6"/>
      <x:c r="C170" s="6"/>
      <x:c r="D170" s="6"/>
      <x:c r="E170" s="6"/>
      <x:c r="F170" s="7"/>
      <x:c r="G170" s="7"/>
      <x:c r="H170" s="6"/>
      <x:c r="I170" s="15"/>
      <x:c r="J170" s="7"/>
      <x:c r="K170" s="6"/>
      <x:c r="L170" s="6"/>
      <x:c r="M170" s="2" t="str">
        <x:f>IF(A170="","",IF(NOT(ISNUMBER(I170)),"Eksik ilerleme",IF(I170=1,"Tamamlandı",IF(G170&lt;'Panel'!$N$5,"Gecikmiş",IF(I170&gt;0,"Devam ediyor","Başlamadı")))))</x:f>
      </x:c>
      <x:c r="N170" s="16" t="str">
        <x:f>IF(A170="","",IF(OR(F170="",G170="",G170&lt;F170),"Eksik tarih",MAX(0,MIN(1,('Panel'!$N$5-F170+1)/(G170-F170+1)))))</x:f>
      </x:c>
      <x:c r="O170" s="2" t="str">
        <x:f>IF(A170="","",IF(OR(NOT(ISNUMBER(H170)),NOT(ISNUMBER(I170))),"Eksik ilerleme",H170*I170))</x:f>
      </x:c>
      <x:c r="P170" s="2" t="str">
        <x:f>IF(A170="","",IF(OR(H170="",NOT(ISNUMBER(N170))),"Eksik plan",H170*N170))</x:f>
      </x:c>
      <x:c r="Q170" s="2" t="str">
        <x:f>IF(A170="","",IF(J170="","Eksik bitiş",J170-G170))</x:f>
      </x:c>
      <x:c r="R170" s="6"/>
      <x:c r="S170" s="2" t="str">
        <x:f>IF(AND(A170&lt;&gt;"",B170='Panel'!$C$5),COUNTIFS($B$7:B170,B170,$A$7:A170,"&lt;&gt;"),"")</x:f>
      </x:c>
    </x:row>
    <x:row r="171" ht="22" customHeight="1">
      <x:c r="A171" s="6"/>
      <x:c r="B171" s="6"/>
      <x:c r="C171" s="6"/>
      <x:c r="D171" s="6"/>
      <x:c r="E171" s="6"/>
      <x:c r="F171" s="7"/>
      <x:c r="G171" s="7"/>
      <x:c r="H171" s="6"/>
      <x:c r="I171" s="15"/>
      <x:c r="J171" s="7"/>
      <x:c r="K171" s="6"/>
      <x:c r="L171" s="6"/>
      <x:c r="M171" s="2" t="str">
        <x:f>IF(A171="","",IF(NOT(ISNUMBER(I171)),"Eksik ilerleme",IF(I171=1,"Tamamlandı",IF(G171&lt;'Panel'!$N$5,"Gecikmiş",IF(I171&gt;0,"Devam ediyor","Başlamadı")))))</x:f>
      </x:c>
      <x:c r="N171" s="16" t="str">
        <x:f>IF(A171="","",IF(OR(F171="",G171="",G171&lt;F171),"Eksik tarih",MAX(0,MIN(1,('Panel'!$N$5-F171+1)/(G171-F171+1)))))</x:f>
      </x:c>
      <x:c r="O171" s="2" t="str">
        <x:f>IF(A171="","",IF(OR(NOT(ISNUMBER(H171)),NOT(ISNUMBER(I171))),"Eksik ilerleme",H171*I171))</x:f>
      </x:c>
      <x:c r="P171" s="2" t="str">
        <x:f>IF(A171="","",IF(OR(H171="",NOT(ISNUMBER(N171))),"Eksik plan",H171*N171))</x:f>
      </x:c>
      <x:c r="Q171" s="2" t="str">
        <x:f>IF(A171="","",IF(J171="","Eksik bitiş",J171-G171))</x:f>
      </x:c>
      <x:c r="R171" s="6"/>
      <x:c r="S171" s="2" t="str">
        <x:f>IF(AND(A171&lt;&gt;"",B171='Panel'!$C$5),COUNTIFS($B$7:B171,B171,$A$7:A171,"&lt;&gt;"),"")</x:f>
      </x:c>
    </x:row>
    <x:row r="172" ht="22" customHeight="1">
      <x:c r="A172" s="6"/>
      <x:c r="B172" s="6"/>
      <x:c r="C172" s="6"/>
      <x:c r="D172" s="6"/>
      <x:c r="E172" s="6"/>
      <x:c r="F172" s="7"/>
      <x:c r="G172" s="7"/>
      <x:c r="H172" s="6"/>
      <x:c r="I172" s="15"/>
      <x:c r="J172" s="7"/>
      <x:c r="K172" s="6"/>
      <x:c r="L172" s="6"/>
      <x:c r="M172" s="2" t="str">
        <x:f>IF(A172="","",IF(NOT(ISNUMBER(I172)),"Eksik ilerleme",IF(I172=1,"Tamamlandı",IF(G172&lt;'Panel'!$N$5,"Gecikmiş",IF(I172&gt;0,"Devam ediyor","Başlamadı")))))</x:f>
      </x:c>
      <x:c r="N172" s="16" t="str">
        <x:f>IF(A172="","",IF(OR(F172="",G172="",G172&lt;F172),"Eksik tarih",MAX(0,MIN(1,('Panel'!$N$5-F172+1)/(G172-F172+1)))))</x:f>
      </x:c>
      <x:c r="O172" s="2" t="str">
        <x:f>IF(A172="","",IF(OR(NOT(ISNUMBER(H172)),NOT(ISNUMBER(I172))),"Eksik ilerleme",H172*I172))</x:f>
      </x:c>
      <x:c r="P172" s="2" t="str">
        <x:f>IF(A172="","",IF(OR(H172="",NOT(ISNUMBER(N172))),"Eksik plan",H172*N172))</x:f>
      </x:c>
      <x:c r="Q172" s="2" t="str">
        <x:f>IF(A172="","",IF(J172="","Eksik bitiş",J172-G172))</x:f>
      </x:c>
      <x:c r="R172" s="6"/>
      <x:c r="S172" s="2" t="str">
        <x:f>IF(AND(A172&lt;&gt;"",B172='Panel'!$C$5),COUNTIFS($B$7:B172,B172,$A$7:A172,"&lt;&gt;"),"")</x:f>
      </x:c>
    </x:row>
    <x:row r="173" ht="22" customHeight="1">
      <x:c r="A173" s="6"/>
      <x:c r="B173" s="6"/>
      <x:c r="C173" s="6"/>
      <x:c r="D173" s="6"/>
      <x:c r="E173" s="6"/>
      <x:c r="F173" s="7"/>
      <x:c r="G173" s="7"/>
      <x:c r="H173" s="6"/>
      <x:c r="I173" s="15"/>
      <x:c r="J173" s="7"/>
      <x:c r="K173" s="6"/>
      <x:c r="L173" s="6"/>
      <x:c r="M173" s="2" t="str">
        <x:f>IF(A173="","",IF(NOT(ISNUMBER(I173)),"Eksik ilerleme",IF(I173=1,"Tamamlandı",IF(G173&lt;'Panel'!$N$5,"Gecikmiş",IF(I173&gt;0,"Devam ediyor","Başlamadı")))))</x:f>
      </x:c>
      <x:c r="N173" s="16" t="str">
        <x:f>IF(A173="","",IF(OR(F173="",G173="",G173&lt;F173),"Eksik tarih",MAX(0,MIN(1,('Panel'!$N$5-F173+1)/(G173-F173+1)))))</x:f>
      </x:c>
      <x:c r="O173" s="2" t="str">
        <x:f>IF(A173="","",IF(OR(NOT(ISNUMBER(H173)),NOT(ISNUMBER(I173))),"Eksik ilerleme",H173*I173))</x:f>
      </x:c>
      <x:c r="P173" s="2" t="str">
        <x:f>IF(A173="","",IF(OR(H173="",NOT(ISNUMBER(N173))),"Eksik plan",H173*N173))</x:f>
      </x:c>
      <x:c r="Q173" s="2" t="str">
        <x:f>IF(A173="","",IF(J173="","Eksik bitiş",J173-G173))</x:f>
      </x:c>
      <x:c r="R173" s="6"/>
      <x:c r="S173" s="2" t="str">
        <x:f>IF(AND(A173&lt;&gt;"",B173='Panel'!$C$5),COUNTIFS($B$7:B173,B173,$A$7:A173,"&lt;&gt;"),"")</x:f>
      </x:c>
    </x:row>
    <x:row r="174" ht="22" customHeight="1">
      <x:c r="A174" s="6"/>
      <x:c r="B174" s="6"/>
      <x:c r="C174" s="6"/>
      <x:c r="D174" s="6"/>
      <x:c r="E174" s="6"/>
      <x:c r="F174" s="7"/>
      <x:c r="G174" s="7"/>
      <x:c r="H174" s="6"/>
      <x:c r="I174" s="15"/>
      <x:c r="J174" s="7"/>
      <x:c r="K174" s="6"/>
      <x:c r="L174" s="6"/>
      <x:c r="M174" s="2" t="str">
        <x:f>IF(A174="","",IF(NOT(ISNUMBER(I174)),"Eksik ilerleme",IF(I174=1,"Tamamlandı",IF(G174&lt;'Panel'!$N$5,"Gecikmiş",IF(I174&gt;0,"Devam ediyor","Başlamadı")))))</x:f>
      </x:c>
      <x:c r="N174" s="16" t="str">
        <x:f>IF(A174="","",IF(OR(F174="",G174="",G174&lt;F174),"Eksik tarih",MAX(0,MIN(1,('Panel'!$N$5-F174+1)/(G174-F174+1)))))</x:f>
      </x:c>
      <x:c r="O174" s="2" t="str">
        <x:f>IF(A174="","",IF(OR(NOT(ISNUMBER(H174)),NOT(ISNUMBER(I174))),"Eksik ilerleme",H174*I174))</x:f>
      </x:c>
      <x:c r="P174" s="2" t="str">
        <x:f>IF(A174="","",IF(OR(H174="",NOT(ISNUMBER(N174))),"Eksik plan",H174*N174))</x:f>
      </x:c>
      <x:c r="Q174" s="2" t="str">
        <x:f>IF(A174="","",IF(J174="","Eksik bitiş",J174-G174))</x:f>
      </x:c>
      <x:c r="R174" s="6"/>
      <x:c r="S174" s="2" t="str">
        <x:f>IF(AND(A174&lt;&gt;"",B174='Panel'!$C$5),COUNTIFS($B$7:B174,B174,$A$7:A174,"&lt;&gt;"),"")</x:f>
      </x:c>
    </x:row>
    <x:row r="175" ht="22" customHeight="1">
      <x:c r="A175" s="6"/>
      <x:c r="B175" s="6"/>
      <x:c r="C175" s="6"/>
      <x:c r="D175" s="6"/>
      <x:c r="E175" s="6"/>
      <x:c r="F175" s="7"/>
      <x:c r="G175" s="7"/>
      <x:c r="H175" s="6"/>
      <x:c r="I175" s="15"/>
      <x:c r="J175" s="7"/>
      <x:c r="K175" s="6"/>
      <x:c r="L175" s="6"/>
      <x:c r="M175" s="2" t="str">
        <x:f>IF(A175="","",IF(NOT(ISNUMBER(I175)),"Eksik ilerleme",IF(I175=1,"Tamamlandı",IF(G175&lt;'Panel'!$N$5,"Gecikmiş",IF(I175&gt;0,"Devam ediyor","Başlamadı")))))</x:f>
      </x:c>
      <x:c r="N175" s="16" t="str">
        <x:f>IF(A175="","",IF(OR(F175="",G175="",G175&lt;F175),"Eksik tarih",MAX(0,MIN(1,('Panel'!$N$5-F175+1)/(G175-F175+1)))))</x:f>
      </x:c>
      <x:c r="O175" s="2" t="str">
        <x:f>IF(A175="","",IF(OR(NOT(ISNUMBER(H175)),NOT(ISNUMBER(I175))),"Eksik ilerleme",H175*I175))</x:f>
      </x:c>
      <x:c r="P175" s="2" t="str">
        <x:f>IF(A175="","",IF(OR(H175="",NOT(ISNUMBER(N175))),"Eksik plan",H175*N175))</x:f>
      </x:c>
      <x:c r="Q175" s="2" t="str">
        <x:f>IF(A175="","",IF(J175="","Eksik bitiş",J175-G175))</x:f>
      </x:c>
      <x:c r="R175" s="6"/>
      <x:c r="S175" s="2" t="str">
        <x:f>IF(AND(A175&lt;&gt;"",B175='Panel'!$C$5),COUNTIFS($B$7:B175,B175,$A$7:A175,"&lt;&gt;"),"")</x:f>
      </x:c>
    </x:row>
    <x:row r="176" ht="22" customHeight="1">
      <x:c r="A176" s="6"/>
      <x:c r="B176" s="6"/>
      <x:c r="C176" s="6"/>
      <x:c r="D176" s="6"/>
      <x:c r="E176" s="6"/>
      <x:c r="F176" s="7"/>
      <x:c r="G176" s="7"/>
      <x:c r="H176" s="6"/>
      <x:c r="I176" s="15"/>
      <x:c r="J176" s="7"/>
      <x:c r="K176" s="6"/>
      <x:c r="L176" s="6"/>
      <x:c r="M176" s="2" t="str">
        <x:f>IF(A176="","",IF(NOT(ISNUMBER(I176)),"Eksik ilerleme",IF(I176=1,"Tamamlandı",IF(G176&lt;'Panel'!$N$5,"Gecikmiş",IF(I176&gt;0,"Devam ediyor","Başlamadı")))))</x:f>
      </x:c>
      <x:c r="N176" s="16" t="str">
        <x:f>IF(A176="","",IF(OR(F176="",G176="",G176&lt;F176),"Eksik tarih",MAX(0,MIN(1,('Panel'!$N$5-F176+1)/(G176-F176+1)))))</x:f>
      </x:c>
      <x:c r="O176" s="2" t="str">
        <x:f>IF(A176="","",IF(OR(NOT(ISNUMBER(H176)),NOT(ISNUMBER(I176))),"Eksik ilerleme",H176*I176))</x:f>
      </x:c>
      <x:c r="P176" s="2" t="str">
        <x:f>IF(A176="","",IF(OR(H176="",NOT(ISNUMBER(N176))),"Eksik plan",H176*N176))</x:f>
      </x:c>
      <x:c r="Q176" s="2" t="str">
        <x:f>IF(A176="","",IF(J176="","Eksik bitiş",J176-G176))</x:f>
      </x:c>
      <x:c r="R176" s="6"/>
      <x:c r="S176" s="2" t="str">
        <x:f>IF(AND(A176&lt;&gt;"",B176='Panel'!$C$5),COUNTIFS($B$7:B176,B176,$A$7:A176,"&lt;&gt;"),"")</x:f>
      </x:c>
    </x:row>
    <x:row r="177" ht="22" customHeight="1">
      <x:c r="A177" s="6"/>
      <x:c r="B177" s="6"/>
      <x:c r="C177" s="6"/>
      <x:c r="D177" s="6"/>
      <x:c r="E177" s="6"/>
      <x:c r="F177" s="7"/>
      <x:c r="G177" s="7"/>
      <x:c r="H177" s="6"/>
      <x:c r="I177" s="15"/>
      <x:c r="J177" s="7"/>
      <x:c r="K177" s="6"/>
      <x:c r="L177" s="6"/>
      <x:c r="M177" s="2" t="str">
        <x:f>IF(A177="","",IF(NOT(ISNUMBER(I177)),"Eksik ilerleme",IF(I177=1,"Tamamlandı",IF(G177&lt;'Panel'!$N$5,"Gecikmiş",IF(I177&gt;0,"Devam ediyor","Başlamadı")))))</x:f>
      </x:c>
      <x:c r="N177" s="16" t="str">
        <x:f>IF(A177="","",IF(OR(F177="",G177="",G177&lt;F177),"Eksik tarih",MAX(0,MIN(1,('Panel'!$N$5-F177+1)/(G177-F177+1)))))</x:f>
      </x:c>
      <x:c r="O177" s="2" t="str">
        <x:f>IF(A177="","",IF(OR(NOT(ISNUMBER(H177)),NOT(ISNUMBER(I177))),"Eksik ilerleme",H177*I177))</x:f>
      </x:c>
      <x:c r="P177" s="2" t="str">
        <x:f>IF(A177="","",IF(OR(H177="",NOT(ISNUMBER(N177))),"Eksik plan",H177*N177))</x:f>
      </x:c>
      <x:c r="Q177" s="2" t="str">
        <x:f>IF(A177="","",IF(J177="","Eksik bitiş",J177-G177))</x:f>
      </x:c>
      <x:c r="R177" s="6"/>
      <x:c r="S177" s="2" t="str">
        <x:f>IF(AND(A177&lt;&gt;"",B177='Panel'!$C$5),COUNTIFS($B$7:B177,B177,$A$7:A177,"&lt;&gt;"),"")</x:f>
      </x:c>
    </x:row>
    <x:row r="178" ht="22" customHeight="1">
      <x:c r="A178" s="6"/>
      <x:c r="B178" s="6"/>
      <x:c r="C178" s="6"/>
      <x:c r="D178" s="6"/>
      <x:c r="E178" s="6"/>
      <x:c r="F178" s="7"/>
      <x:c r="G178" s="7"/>
      <x:c r="H178" s="6"/>
      <x:c r="I178" s="15"/>
      <x:c r="J178" s="7"/>
      <x:c r="K178" s="6"/>
      <x:c r="L178" s="6"/>
      <x:c r="M178" s="2" t="str">
        <x:f>IF(A178="","",IF(NOT(ISNUMBER(I178)),"Eksik ilerleme",IF(I178=1,"Tamamlandı",IF(G178&lt;'Panel'!$N$5,"Gecikmiş",IF(I178&gt;0,"Devam ediyor","Başlamadı")))))</x:f>
      </x:c>
      <x:c r="N178" s="16" t="str">
        <x:f>IF(A178="","",IF(OR(F178="",G178="",G178&lt;F178),"Eksik tarih",MAX(0,MIN(1,('Panel'!$N$5-F178+1)/(G178-F178+1)))))</x:f>
      </x:c>
      <x:c r="O178" s="2" t="str">
        <x:f>IF(A178="","",IF(OR(NOT(ISNUMBER(H178)),NOT(ISNUMBER(I178))),"Eksik ilerleme",H178*I178))</x:f>
      </x:c>
      <x:c r="P178" s="2" t="str">
        <x:f>IF(A178="","",IF(OR(H178="",NOT(ISNUMBER(N178))),"Eksik plan",H178*N178))</x:f>
      </x:c>
      <x:c r="Q178" s="2" t="str">
        <x:f>IF(A178="","",IF(J178="","Eksik bitiş",J178-G178))</x:f>
      </x:c>
      <x:c r="R178" s="6"/>
      <x:c r="S178" s="2" t="str">
        <x:f>IF(AND(A178&lt;&gt;"",B178='Panel'!$C$5),COUNTIFS($B$7:B178,B178,$A$7:A178,"&lt;&gt;"),"")</x:f>
      </x:c>
    </x:row>
    <x:row r="179" ht="22" customHeight="1">
      <x:c r="A179" s="6"/>
      <x:c r="B179" s="6"/>
      <x:c r="C179" s="6"/>
      <x:c r="D179" s="6"/>
      <x:c r="E179" s="6"/>
      <x:c r="F179" s="7"/>
      <x:c r="G179" s="7"/>
      <x:c r="H179" s="6"/>
      <x:c r="I179" s="15"/>
      <x:c r="J179" s="7"/>
      <x:c r="K179" s="6"/>
      <x:c r="L179" s="6"/>
      <x:c r="M179" s="2" t="str">
        <x:f>IF(A179="","",IF(NOT(ISNUMBER(I179)),"Eksik ilerleme",IF(I179=1,"Tamamlandı",IF(G179&lt;'Panel'!$N$5,"Gecikmiş",IF(I179&gt;0,"Devam ediyor","Başlamadı")))))</x:f>
      </x:c>
      <x:c r="N179" s="16" t="str">
        <x:f>IF(A179="","",IF(OR(F179="",G179="",G179&lt;F179),"Eksik tarih",MAX(0,MIN(1,('Panel'!$N$5-F179+1)/(G179-F179+1)))))</x:f>
      </x:c>
      <x:c r="O179" s="2" t="str">
        <x:f>IF(A179="","",IF(OR(NOT(ISNUMBER(H179)),NOT(ISNUMBER(I179))),"Eksik ilerleme",H179*I179))</x:f>
      </x:c>
      <x:c r="P179" s="2" t="str">
        <x:f>IF(A179="","",IF(OR(H179="",NOT(ISNUMBER(N179))),"Eksik plan",H179*N179))</x:f>
      </x:c>
      <x:c r="Q179" s="2" t="str">
        <x:f>IF(A179="","",IF(J179="","Eksik bitiş",J179-G179))</x:f>
      </x:c>
      <x:c r="R179" s="6"/>
      <x:c r="S179" s="2" t="str">
        <x:f>IF(AND(A179&lt;&gt;"",B179='Panel'!$C$5),COUNTIFS($B$7:B179,B179,$A$7:A179,"&lt;&gt;"),"")</x:f>
      </x:c>
    </x:row>
    <x:row r="180" ht="22" customHeight="1">
      <x:c r="A180" s="6"/>
      <x:c r="B180" s="6"/>
      <x:c r="C180" s="6"/>
      <x:c r="D180" s="6"/>
      <x:c r="E180" s="6"/>
      <x:c r="F180" s="7"/>
      <x:c r="G180" s="7"/>
      <x:c r="H180" s="6"/>
      <x:c r="I180" s="15"/>
      <x:c r="J180" s="7"/>
      <x:c r="K180" s="6"/>
      <x:c r="L180" s="6"/>
      <x:c r="M180" s="2" t="str">
        <x:f>IF(A180="","",IF(NOT(ISNUMBER(I180)),"Eksik ilerleme",IF(I180=1,"Tamamlandı",IF(G180&lt;'Panel'!$N$5,"Gecikmiş",IF(I180&gt;0,"Devam ediyor","Başlamadı")))))</x:f>
      </x:c>
      <x:c r="N180" s="16" t="str">
        <x:f>IF(A180="","",IF(OR(F180="",G180="",G180&lt;F180),"Eksik tarih",MAX(0,MIN(1,('Panel'!$N$5-F180+1)/(G180-F180+1)))))</x:f>
      </x:c>
      <x:c r="O180" s="2" t="str">
        <x:f>IF(A180="","",IF(OR(NOT(ISNUMBER(H180)),NOT(ISNUMBER(I180))),"Eksik ilerleme",H180*I180))</x:f>
      </x:c>
      <x:c r="P180" s="2" t="str">
        <x:f>IF(A180="","",IF(OR(H180="",NOT(ISNUMBER(N180))),"Eksik plan",H180*N180))</x:f>
      </x:c>
      <x:c r="Q180" s="2" t="str">
        <x:f>IF(A180="","",IF(J180="","Eksik bitiş",J180-G180))</x:f>
      </x:c>
      <x:c r="R180" s="6"/>
      <x:c r="S180" s="2" t="str">
        <x:f>IF(AND(A180&lt;&gt;"",B180='Panel'!$C$5),COUNTIFS($B$7:B180,B180,$A$7:A180,"&lt;&gt;"),"")</x:f>
      </x:c>
    </x:row>
    <x:row r="181" ht="22" customHeight="1">
      <x:c r="A181" s="6"/>
      <x:c r="B181" s="6"/>
      <x:c r="C181" s="6"/>
      <x:c r="D181" s="6"/>
      <x:c r="E181" s="6"/>
      <x:c r="F181" s="7"/>
      <x:c r="G181" s="7"/>
      <x:c r="H181" s="6"/>
      <x:c r="I181" s="15"/>
      <x:c r="J181" s="7"/>
      <x:c r="K181" s="6"/>
      <x:c r="L181" s="6"/>
      <x:c r="M181" s="2" t="str">
        <x:f>IF(A181="","",IF(NOT(ISNUMBER(I181)),"Eksik ilerleme",IF(I181=1,"Tamamlandı",IF(G181&lt;'Panel'!$N$5,"Gecikmiş",IF(I181&gt;0,"Devam ediyor","Başlamadı")))))</x:f>
      </x:c>
      <x:c r="N181" s="16" t="str">
        <x:f>IF(A181="","",IF(OR(F181="",G181="",G181&lt;F181),"Eksik tarih",MAX(0,MIN(1,('Panel'!$N$5-F181+1)/(G181-F181+1)))))</x:f>
      </x:c>
      <x:c r="O181" s="2" t="str">
        <x:f>IF(A181="","",IF(OR(NOT(ISNUMBER(H181)),NOT(ISNUMBER(I181))),"Eksik ilerleme",H181*I181))</x:f>
      </x:c>
      <x:c r="P181" s="2" t="str">
        <x:f>IF(A181="","",IF(OR(H181="",NOT(ISNUMBER(N181))),"Eksik plan",H181*N181))</x:f>
      </x:c>
      <x:c r="Q181" s="2" t="str">
        <x:f>IF(A181="","",IF(J181="","Eksik bitiş",J181-G181))</x:f>
      </x:c>
      <x:c r="R181" s="6"/>
      <x:c r="S181" s="2" t="str">
        <x:f>IF(AND(A181&lt;&gt;"",B181='Panel'!$C$5),COUNTIFS($B$7:B181,B181,$A$7:A181,"&lt;&gt;"),"")</x:f>
      </x:c>
    </x:row>
    <x:row r="182" ht="22" customHeight="1">
      <x:c r="A182" s="6"/>
      <x:c r="B182" s="6"/>
      <x:c r="C182" s="6"/>
      <x:c r="D182" s="6"/>
      <x:c r="E182" s="6"/>
      <x:c r="F182" s="7"/>
      <x:c r="G182" s="7"/>
      <x:c r="H182" s="6"/>
      <x:c r="I182" s="15"/>
      <x:c r="J182" s="7"/>
      <x:c r="K182" s="6"/>
      <x:c r="L182" s="6"/>
      <x:c r="M182" s="2" t="str">
        <x:f>IF(A182="","",IF(NOT(ISNUMBER(I182)),"Eksik ilerleme",IF(I182=1,"Tamamlandı",IF(G182&lt;'Panel'!$N$5,"Gecikmiş",IF(I182&gt;0,"Devam ediyor","Başlamadı")))))</x:f>
      </x:c>
      <x:c r="N182" s="16" t="str">
        <x:f>IF(A182="","",IF(OR(F182="",G182="",G182&lt;F182),"Eksik tarih",MAX(0,MIN(1,('Panel'!$N$5-F182+1)/(G182-F182+1)))))</x:f>
      </x:c>
      <x:c r="O182" s="2" t="str">
        <x:f>IF(A182="","",IF(OR(NOT(ISNUMBER(H182)),NOT(ISNUMBER(I182))),"Eksik ilerleme",H182*I182))</x:f>
      </x:c>
      <x:c r="P182" s="2" t="str">
        <x:f>IF(A182="","",IF(OR(H182="",NOT(ISNUMBER(N182))),"Eksik plan",H182*N182))</x:f>
      </x:c>
      <x:c r="Q182" s="2" t="str">
        <x:f>IF(A182="","",IF(J182="","Eksik bitiş",J182-G182))</x:f>
      </x:c>
      <x:c r="R182" s="6"/>
      <x:c r="S182" s="2" t="str">
        <x:f>IF(AND(A182&lt;&gt;"",B182='Panel'!$C$5),COUNTIFS($B$7:B182,B182,$A$7:A182,"&lt;&gt;"),"")</x:f>
      </x:c>
    </x:row>
    <x:row r="183" ht="22" customHeight="1">
      <x:c r="A183" s="6"/>
      <x:c r="B183" s="6"/>
      <x:c r="C183" s="6"/>
      <x:c r="D183" s="6"/>
      <x:c r="E183" s="6"/>
      <x:c r="F183" s="7"/>
      <x:c r="G183" s="7"/>
      <x:c r="H183" s="6"/>
      <x:c r="I183" s="15"/>
      <x:c r="J183" s="7"/>
      <x:c r="K183" s="6"/>
      <x:c r="L183" s="6"/>
      <x:c r="M183" s="2" t="str">
        <x:f>IF(A183="","",IF(NOT(ISNUMBER(I183)),"Eksik ilerleme",IF(I183=1,"Tamamlandı",IF(G183&lt;'Panel'!$N$5,"Gecikmiş",IF(I183&gt;0,"Devam ediyor","Başlamadı")))))</x:f>
      </x:c>
      <x:c r="N183" s="16" t="str">
        <x:f>IF(A183="","",IF(OR(F183="",G183="",G183&lt;F183),"Eksik tarih",MAX(0,MIN(1,('Panel'!$N$5-F183+1)/(G183-F183+1)))))</x:f>
      </x:c>
      <x:c r="O183" s="2" t="str">
        <x:f>IF(A183="","",IF(OR(NOT(ISNUMBER(H183)),NOT(ISNUMBER(I183))),"Eksik ilerleme",H183*I183))</x:f>
      </x:c>
      <x:c r="P183" s="2" t="str">
        <x:f>IF(A183="","",IF(OR(H183="",NOT(ISNUMBER(N183))),"Eksik plan",H183*N183))</x:f>
      </x:c>
      <x:c r="Q183" s="2" t="str">
        <x:f>IF(A183="","",IF(J183="","Eksik bitiş",J183-G183))</x:f>
      </x:c>
      <x:c r="R183" s="6"/>
      <x:c r="S183" s="2" t="str">
        <x:f>IF(AND(A183&lt;&gt;"",B183='Panel'!$C$5),COUNTIFS($B$7:B183,B183,$A$7:A183,"&lt;&gt;"),"")</x:f>
      </x:c>
    </x:row>
    <x:row r="184" ht="22" customHeight="1">
      <x:c r="A184" s="6"/>
      <x:c r="B184" s="6"/>
      <x:c r="C184" s="6"/>
      <x:c r="D184" s="6"/>
      <x:c r="E184" s="6"/>
      <x:c r="F184" s="7"/>
      <x:c r="G184" s="7"/>
      <x:c r="H184" s="6"/>
      <x:c r="I184" s="15"/>
      <x:c r="J184" s="7"/>
      <x:c r="K184" s="6"/>
      <x:c r="L184" s="6"/>
      <x:c r="M184" s="2" t="str">
        <x:f>IF(A184="","",IF(NOT(ISNUMBER(I184)),"Eksik ilerleme",IF(I184=1,"Tamamlandı",IF(G184&lt;'Panel'!$N$5,"Gecikmiş",IF(I184&gt;0,"Devam ediyor","Başlamadı")))))</x:f>
      </x:c>
      <x:c r="N184" s="16" t="str">
        <x:f>IF(A184="","",IF(OR(F184="",G184="",G184&lt;F184),"Eksik tarih",MAX(0,MIN(1,('Panel'!$N$5-F184+1)/(G184-F184+1)))))</x:f>
      </x:c>
      <x:c r="O184" s="2" t="str">
        <x:f>IF(A184="","",IF(OR(NOT(ISNUMBER(H184)),NOT(ISNUMBER(I184))),"Eksik ilerleme",H184*I184))</x:f>
      </x:c>
      <x:c r="P184" s="2" t="str">
        <x:f>IF(A184="","",IF(OR(H184="",NOT(ISNUMBER(N184))),"Eksik plan",H184*N184))</x:f>
      </x:c>
      <x:c r="Q184" s="2" t="str">
        <x:f>IF(A184="","",IF(J184="","Eksik bitiş",J184-G184))</x:f>
      </x:c>
      <x:c r="R184" s="6"/>
      <x:c r="S184" s="2" t="str">
        <x:f>IF(AND(A184&lt;&gt;"",B184='Panel'!$C$5),COUNTIFS($B$7:B184,B184,$A$7:A184,"&lt;&gt;"),"")</x:f>
      </x:c>
    </x:row>
    <x:row r="185" ht="22" customHeight="1">
      <x:c r="A185" s="6"/>
      <x:c r="B185" s="6"/>
      <x:c r="C185" s="6"/>
      <x:c r="D185" s="6"/>
      <x:c r="E185" s="6"/>
      <x:c r="F185" s="7"/>
      <x:c r="G185" s="7"/>
      <x:c r="H185" s="6"/>
      <x:c r="I185" s="15"/>
      <x:c r="J185" s="7"/>
      <x:c r="K185" s="6"/>
      <x:c r="L185" s="6"/>
      <x:c r="M185" s="2" t="str">
        <x:f>IF(A185="","",IF(NOT(ISNUMBER(I185)),"Eksik ilerleme",IF(I185=1,"Tamamlandı",IF(G185&lt;'Panel'!$N$5,"Gecikmiş",IF(I185&gt;0,"Devam ediyor","Başlamadı")))))</x:f>
      </x:c>
      <x:c r="N185" s="16" t="str">
        <x:f>IF(A185="","",IF(OR(F185="",G185="",G185&lt;F185),"Eksik tarih",MAX(0,MIN(1,('Panel'!$N$5-F185+1)/(G185-F185+1)))))</x:f>
      </x:c>
      <x:c r="O185" s="2" t="str">
        <x:f>IF(A185="","",IF(OR(NOT(ISNUMBER(H185)),NOT(ISNUMBER(I185))),"Eksik ilerleme",H185*I185))</x:f>
      </x:c>
      <x:c r="P185" s="2" t="str">
        <x:f>IF(A185="","",IF(OR(H185="",NOT(ISNUMBER(N185))),"Eksik plan",H185*N185))</x:f>
      </x:c>
      <x:c r="Q185" s="2" t="str">
        <x:f>IF(A185="","",IF(J185="","Eksik bitiş",J185-G185))</x:f>
      </x:c>
      <x:c r="R185" s="6"/>
      <x:c r="S185" s="2" t="str">
        <x:f>IF(AND(A185&lt;&gt;"",B185='Panel'!$C$5),COUNTIFS($B$7:B185,B185,$A$7:A185,"&lt;&gt;"),"")</x:f>
      </x:c>
    </x:row>
    <x:row r="186" ht="22" customHeight="1">
      <x:c r="A186" s="6"/>
      <x:c r="B186" s="6"/>
      <x:c r="C186" s="6"/>
      <x:c r="D186" s="6"/>
      <x:c r="E186" s="6"/>
      <x:c r="F186" s="7"/>
      <x:c r="G186" s="7"/>
      <x:c r="H186" s="6"/>
      <x:c r="I186" s="15"/>
      <x:c r="J186" s="7"/>
      <x:c r="K186" s="6"/>
      <x:c r="L186" s="6"/>
      <x:c r="M186" s="2" t="str">
        <x:f>IF(A186="","",IF(NOT(ISNUMBER(I186)),"Eksik ilerleme",IF(I186=1,"Tamamlandı",IF(G186&lt;'Panel'!$N$5,"Gecikmiş",IF(I186&gt;0,"Devam ediyor","Başlamadı")))))</x:f>
      </x:c>
      <x:c r="N186" s="16" t="str">
        <x:f>IF(A186="","",IF(OR(F186="",G186="",G186&lt;F186),"Eksik tarih",MAX(0,MIN(1,('Panel'!$N$5-F186+1)/(G186-F186+1)))))</x:f>
      </x:c>
      <x:c r="O186" s="2" t="str">
        <x:f>IF(A186="","",IF(OR(NOT(ISNUMBER(H186)),NOT(ISNUMBER(I186))),"Eksik ilerleme",H186*I186))</x:f>
      </x:c>
      <x:c r="P186" s="2" t="str">
        <x:f>IF(A186="","",IF(OR(H186="",NOT(ISNUMBER(N186))),"Eksik plan",H186*N186))</x:f>
      </x:c>
      <x:c r="Q186" s="2" t="str">
        <x:f>IF(A186="","",IF(J186="","Eksik bitiş",J186-G186))</x:f>
      </x:c>
      <x:c r="R186" s="6"/>
      <x:c r="S186" s="2" t="str">
        <x:f>IF(AND(A186&lt;&gt;"",B186='Panel'!$C$5),COUNTIFS($B$7:B186,B186,$A$7:A186,"&lt;&gt;"),"")</x:f>
      </x:c>
    </x:row>
    <x:row r="187" ht="22" customHeight="1">
      <x:c r="A187" s="6"/>
      <x:c r="B187" s="6"/>
      <x:c r="C187" s="6"/>
      <x:c r="D187" s="6"/>
      <x:c r="E187" s="6"/>
      <x:c r="F187" s="7"/>
      <x:c r="G187" s="7"/>
      <x:c r="H187" s="6"/>
      <x:c r="I187" s="15"/>
      <x:c r="J187" s="7"/>
      <x:c r="K187" s="6"/>
      <x:c r="L187" s="6"/>
      <x:c r="M187" s="2" t="str">
        <x:f>IF(A187="","",IF(NOT(ISNUMBER(I187)),"Eksik ilerleme",IF(I187=1,"Tamamlandı",IF(G187&lt;'Panel'!$N$5,"Gecikmiş",IF(I187&gt;0,"Devam ediyor","Başlamadı")))))</x:f>
      </x:c>
      <x:c r="N187" s="16" t="str">
        <x:f>IF(A187="","",IF(OR(F187="",G187="",G187&lt;F187),"Eksik tarih",MAX(0,MIN(1,('Panel'!$N$5-F187+1)/(G187-F187+1)))))</x:f>
      </x:c>
      <x:c r="O187" s="2" t="str">
        <x:f>IF(A187="","",IF(OR(NOT(ISNUMBER(H187)),NOT(ISNUMBER(I187))),"Eksik ilerleme",H187*I187))</x:f>
      </x:c>
      <x:c r="P187" s="2" t="str">
        <x:f>IF(A187="","",IF(OR(H187="",NOT(ISNUMBER(N187))),"Eksik plan",H187*N187))</x:f>
      </x:c>
      <x:c r="Q187" s="2" t="str">
        <x:f>IF(A187="","",IF(J187="","Eksik bitiş",J187-G187))</x:f>
      </x:c>
      <x:c r="R187" s="6"/>
      <x:c r="S187" s="2" t="str">
        <x:f>IF(AND(A187&lt;&gt;"",B187='Panel'!$C$5),COUNTIFS($B$7:B187,B187,$A$7:A187,"&lt;&gt;"),"")</x:f>
      </x:c>
    </x:row>
    <x:row r="188" ht="22" customHeight="1">
      <x:c r="A188" s="6"/>
      <x:c r="B188" s="6"/>
      <x:c r="C188" s="6"/>
      <x:c r="D188" s="6"/>
      <x:c r="E188" s="6"/>
      <x:c r="F188" s="7"/>
      <x:c r="G188" s="7"/>
      <x:c r="H188" s="6"/>
      <x:c r="I188" s="15"/>
      <x:c r="J188" s="7"/>
      <x:c r="K188" s="6"/>
      <x:c r="L188" s="6"/>
      <x:c r="M188" s="2" t="str">
        <x:f>IF(A188="","",IF(NOT(ISNUMBER(I188)),"Eksik ilerleme",IF(I188=1,"Tamamlandı",IF(G188&lt;'Panel'!$N$5,"Gecikmiş",IF(I188&gt;0,"Devam ediyor","Başlamadı")))))</x:f>
      </x:c>
      <x:c r="N188" s="16" t="str">
        <x:f>IF(A188="","",IF(OR(F188="",G188="",G188&lt;F188),"Eksik tarih",MAX(0,MIN(1,('Panel'!$N$5-F188+1)/(G188-F188+1)))))</x:f>
      </x:c>
      <x:c r="O188" s="2" t="str">
        <x:f>IF(A188="","",IF(OR(NOT(ISNUMBER(H188)),NOT(ISNUMBER(I188))),"Eksik ilerleme",H188*I188))</x:f>
      </x:c>
      <x:c r="P188" s="2" t="str">
        <x:f>IF(A188="","",IF(OR(H188="",NOT(ISNUMBER(N188))),"Eksik plan",H188*N188))</x:f>
      </x:c>
      <x:c r="Q188" s="2" t="str">
        <x:f>IF(A188="","",IF(J188="","Eksik bitiş",J188-G188))</x:f>
      </x:c>
      <x:c r="R188" s="6"/>
      <x:c r="S188" s="2" t="str">
        <x:f>IF(AND(A188&lt;&gt;"",B188='Panel'!$C$5),COUNTIFS($B$7:B188,B188,$A$7:A188,"&lt;&gt;"),"")</x:f>
      </x:c>
    </x:row>
    <x:row r="189" ht="22" customHeight="1">
      <x:c r="A189" s="6"/>
      <x:c r="B189" s="6"/>
      <x:c r="C189" s="6"/>
      <x:c r="D189" s="6"/>
      <x:c r="E189" s="6"/>
      <x:c r="F189" s="7"/>
      <x:c r="G189" s="7"/>
      <x:c r="H189" s="6"/>
      <x:c r="I189" s="15"/>
      <x:c r="J189" s="7"/>
      <x:c r="K189" s="6"/>
      <x:c r="L189" s="6"/>
      <x:c r="M189" s="2" t="str">
        <x:f>IF(A189="","",IF(NOT(ISNUMBER(I189)),"Eksik ilerleme",IF(I189=1,"Tamamlandı",IF(G189&lt;'Panel'!$N$5,"Gecikmiş",IF(I189&gt;0,"Devam ediyor","Başlamadı")))))</x:f>
      </x:c>
      <x:c r="N189" s="16" t="str">
        <x:f>IF(A189="","",IF(OR(F189="",G189="",G189&lt;F189),"Eksik tarih",MAX(0,MIN(1,('Panel'!$N$5-F189+1)/(G189-F189+1)))))</x:f>
      </x:c>
      <x:c r="O189" s="2" t="str">
        <x:f>IF(A189="","",IF(OR(NOT(ISNUMBER(H189)),NOT(ISNUMBER(I189))),"Eksik ilerleme",H189*I189))</x:f>
      </x:c>
      <x:c r="P189" s="2" t="str">
        <x:f>IF(A189="","",IF(OR(H189="",NOT(ISNUMBER(N189))),"Eksik plan",H189*N189))</x:f>
      </x:c>
      <x:c r="Q189" s="2" t="str">
        <x:f>IF(A189="","",IF(J189="","Eksik bitiş",J189-G189))</x:f>
      </x:c>
      <x:c r="R189" s="6"/>
      <x:c r="S189" s="2" t="str">
        <x:f>IF(AND(A189&lt;&gt;"",B189='Panel'!$C$5),COUNTIFS($B$7:B189,B189,$A$7:A189,"&lt;&gt;"),"")</x:f>
      </x:c>
    </x:row>
    <x:row r="190" ht="22" customHeight="1">
      <x:c r="A190" s="6"/>
      <x:c r="B190" s="6"/>
      <x:c r="C190" s="6"/>
      <x:c r="D190" s="6"/>
      <x:c r="E190" s="6"/>
      <x:c r="F190" s="7"/>
      <x:c r="G190" s="7"/>
      <x:c r="H190" s="6"/>
      <x:c r="I190" s="15"/>
      <x:c r="J190" s="7"/>
      <x:c r="K190" s="6"/>
      <x:c r="L190" s="6"/>
      <x:c r="M190" s="2" t="str">
        <x:f>IF(A190="","",IF(NOT(ISNUMBER(I190)),"Eksik ilerleme",IF(I190=1,"Tamamlandı",IF(G190&lt;'Panel'!$N$5,"Gecikmiş",IF(I190&gt;0,"Devam ediyor","Başlamadı")))))</x:f>
      </x:c>
      <x:c r="N190" s="16" t="str">
        <x:f>IF(A190="","",IF(OR(F190="",G190="",G190&lt;F190),"Eksik tarih",MAX(0,MIN(1,('Panel'!$N$5-F190+1)/(G190-F190+1)))))</x:f>
      </x:c>
      <x:c r="O190" s="2" t="str">
        <x:f>IF(A190="","",IF(OR(NOT(ISNUMBER(H190)),NOT(ISNUMBER(I190))),"Eksik ilerleme",H190*I190))</x:f>
      </x:c>
      <x:c r="P190" s="2" t="str">
        <x:f>IF(A190="","",IF(OR(H190="",NOT(ISNUMBER(N190))),"Eksik plan",H190*N190))</x:f>
      </x:c>
      <x:c r="Q190" s="2" t="str">
        <x:f>IF(A190="","",IF(J190="","Eksik bitiş",J190-G190))</x:f>
      </x:c>
      <x:c r="R190" s="6"/>
      <x:c r="S190" s="2" t="str">
        <x:f>IF(AND(A190&lt;&gt;"",B190='Panel'!$C$5),COUNTIFS($B$7:B190,B190,$A$7:A190,"&lt;&gt;"),"")</x:f>
      </x:c>
    </x:row>
    <x:row r="191" ht="22" customHeight="1">
      <x:c r="A191" s="6"/>
      <x:c r="B191" s="6"/>
      <x:c r="C191" s="6"/>
      <x:c r="D191" s="6"/>
      <x:c r="E191" s="6"/>
      <x:c r="F191" s="7"/>
      <x:c r="G191" s="7"/>
      <x:c r="H191" s="6"/>
      <x:c r="I191" s="15"/>
      <x:c r="J191" s="7"/>
      <x:c r="K191" s="6"/>
      <x:c r="L191" s="6"/>
      <x:c r="M191" s="2" t="str">
        <x:f>IF(A191="","",IF(NOT(ISNUMBER(I191)),"Eksik ilerleme",IF(I191=1,"Tamamlandı",IF(G191&lt;'Panel'!$N$5,"Gecikmiş",IF(I191&gt;0,"Devam ediyor","Başlamadı")))))</x:f>
      </x:c>
      <x:c r="N191" s="16" t="str">
        <x:f>IF(A191="","",IF(OR(F191="",G191="",G191&lt;F191),"Eksik tarih",MAX(0,MIN(1,('Panel'!$N$5-F191+1)/(G191-F191+1)))))</x:f>
      </x:c>
      <x:c r="O191" s="2" t="str">
        <x:f>IF(A191="","",IF(OR(NOT(ISNUMBER(H191)),NOT(ISNUMBER(I191))),"Eksik ilerleme",H191*I191))</x:f>
      </x:c>
      <x:c r="P191" s="2" t="str">
        <x:f>IF(A191="","",IF(OR(H191="",NOT(ISNUMBER(N191))),"Eksik plan",H191*N191))</x:f>
      </x:c>
      <x:c r="Q191" s="2" t="str">
        <x:f>IF(A191="","",IF(J191="","Eksik bitiş",J191-G191))</x:f>
      </x:c>
      <x:c r="R191" s="6"/>
      <x:c r="S191" s="2" t="str">
        <x:f>IF(AND(A191&lt;&gt;"",B191='Panel'!$C$5),COUNTIFS($B$7:B191,B191,$A$7:A191,"&lt;&gt;"),"")</x:f>
      </x:c>
    </x:row>
    <x:row r="192" ht="22" customHeight="1">
      <x:c r="A192" s="6"/>
      <x:c r="B192" s="6"/>
      <x:c r="C192" s="6"/>
      <x:c r="D192" s="6"/>
      <x:c r="E192" s="6"/>
      <x:c r="F192" s="7"/>
      <x:c r="G192" s="7"/>
      <x:c r="H192" s="6"/>
      <x:c r="I192" s="15"/>
      <x:c r="J192" s="7"/>
      <x:c r="K192" s="6"/>
      <x:c r="L192" s="6"/>
      <x:c r="M192" s="2" t="str">
        <x:f>IF(A192="","",IF(NOT(ISNUMBER(I192)),"Eksik ilerleme",IF(I192=1,"Tamamlandı",IF(G192&lt;'Panel'!$N$5,"Gecikmiş",IF(I192&gt;0,"Devam ediyor","Başlamadı")))))</x:f>
      </x:c>
      <x:c r="N192" s="16" t="str">
        <x:f>IF(A192="","",IF(OR(F192="",G192="",G192&lt;F192),"Eksik tarih",MAX(0,MIN(1,('Panel'!$N$5-F192+1)/(G192-F192+1)))))</x:f>
      </x:c>
      <x:c r="O192" s="2" t="str">
        <x:f>IF(A192="","",IF(OR(NOT(ISNUMBER(H192)),NOT(ISNUMBER(I192))),"Eksik ilerleme",H192*I192))</x:f>
      </x:c>
      <x:c r="P192" s="2" t="str">
        <x:f>IF(A192="","",IF(OR(H192="",NOT(ISNUMBER(N192))),"Eksik plan",H192*N192))</x:f>
      </x:c>
      <x:c r="Q192" s="2" t="str">
        <x:f>IF(A192="","",IF(J192="","Eksik bitiş",J192-G192))</x:f>
      </x:c>
      <x:c r="R192" s="6"/>
      <x:c r="S192" s="2" t="str">
        <x:f>IF(AND(A192&lt;&gt;"",B192='Panel'!$C$5),COUNTIFS($B$7:B192,B192,$A$7:A192,"&lt;&gt;"),"")</x:f>
      </x:c>
    </x:row>
    <x:row r="193" ht="22" customHeight="1">
      <x:c r="A193" s="6"/>
      <x:c r="B193" s="6"/>
      <x:c r="C193" s="6"/>
      <x:c r="D193" s="6"/>
      <x:c r="E193" s="6"/>
      <x:c r="F193" s="7"/>
      <x:c r="G193" s="7"/>
      <x:c r="H193" s="6"/>
      <x:c r="I193" s="15"/>
      <x:c r="J193" s="7"/>
      <x:c r="K193" s="6"/>
      <x:c r="L193" s="6"/>
      <x:c r="M193" s="2" t="str">
        <x:f>IF(A193="","",IF(NOT(ISNUMBER(I193)),"Eksik ilerleme",IF(I193=1,"Tamamlandı",IF(G193&lt;'Panel'!$N$5,"Gecikmiş",IF(I193&gt;0,"Devam ediyor","Başlamadı")))))</x:f>
      </x:c>
      <x:c r="N193" s="16" t="str">
        <x:f>IF(A193="","",IF(OR(F193="",G193="",G193&lt;F193),"Eksik tarih",MAX(0,MIN(1,('Panel'!$N$5-F193+1)/(G193-F193+1)))))</x:f>
      </x:c>
      <x:c r="O193" s="2" t="str">
        <x:f>IF(A193="","",IF(OR(NOT(ISNUMBER(H193)),NOT(ISNUMBER(I193))),"Eksik ilerleme",H193*I193))</x:f>
      </x:c>
      <x:c r="P193" s="2" t="str">
        <x:f>IF(A193="","",IF(OR(H193="",NOT(ISNUMBER(N193))),"Eksik plan",H193*N193))</x:f>
      </x:c>
      <x:c r="Q193" s="2" t="str">
        <x:f>IF(A193="","",IF(J193="","Eksik bitiş",J193-G193))</x:f>
      </x:c>
      <x:c r="R193" s="6"/>
      <x:c r="S193" s="2" t="str">
        <x:f>IF(AND(A193&lt;&gt;"",B193='Panel'!$C$5),COUNTIFS($B$7:B193,B193,$A$7:A193,"&lt;&gt;"),"")</x:f>
      </x:c>
    </x:row>
    <x:row r="194" ht="22" customHeight="1">
      <x:c r="A194" s="6"/>
      <x:c r="B194" s="6"/>
      <x:c r="C194" s="6"/>
      <x:c r="D194" s="6"/>
      <x:c r="E194" s="6"/>
      <x:c r="F194" s="7"/>
      <x:c r="G194" s="7"/>
      <x:c r="H194" s="6"/>
      <x:c r="I194" s="15"/>
      <x:c r="J194" s="7"/>
      <x:c r="K194" s="6"/>
      <x:c r="L194" s="6"/>
      <x:c r="M194" s="2" t="str">
        <x:f>IF(A194="","",IF(NOT(ISNUMBER(I194)),"Eksik ilerleme",IF(I194=1,"Tamamlandı",IF(G194&lt;'Panel'!$N$5,"Gecikmiş",IF(I194&gt;0,"Devam ediyor","Başlamadı")))))</x:f>
      </x:c>
      <x:c r="N194" s="16" t="str">
        <x:f>IF(A194="","",IF(OR(F194="",G194="",G194&lt;F194),"Eksik tarih",MAX(0,MIN(1,('Panel'!$N$5-F194+1)/(G194-F194+1)))))</x:f>
      </x:c>
      <x:c r="O194" s="2" t="str">
        <x:f>IF(A194="","",IF(OR(NOT(ISNUMBER(H194)),NOT(ISNUMBER(I194))),"Eksik ilerleme",H194*I194))</x:f>
      </x:c>
      <x:c r="P194" s="2" t="str">
        <x:f>IF(A194="","",IF(OR(H194="",NOT(ISNUMBER(N194))),"Eksik plan",H194*N194))</x:f>
      </x:c>
      <x:c r="Q194" s="2" t="str">
        <x:f>IF(A194="","",IF(J194="","Eksik bitiş",J194-G194))</x:f>
      </x:c>
      <x:c r="R194" s="6"/>
      <x:c r="S194" s="2" t="str">
        <x:f>IF(AND(A194&lt;&gt;"",B194='Panel'!$C$5),COUNTIFS($B$7:B194,B194,$A$7:A194,"&lt;&gt;"),"")</x:f>
      </x:c>
    </x:row>
    <x:row r="195" ht="22" customHeight="1">
      <x:c r="A195" s="6"/>
      <x:c r="B195" s="6"/>
      <x:c r="C195" s="6"/>
      <x:c r="D195" s="6"/>
      <x:c r="E195" s="6"/>
      <x:c r="F195" s="7"/>
      <x:c r="G195" s="7"/>
      <x:c r="H195" s="6"/>
      <x:c r="I195" s="15"/>
      <x:c r="J195" s="7"/>
      <x:c r="K195" s="6"/>
      <x:c r="L195" s="6"/>
      <x:c r="M195" s="2" t="str">
        <x:f>IF(A195="","",IF(NOT(ISNUMBER(I195)),"Eksik ilerleme",IF(I195=1,"Tamamlandı",IF(G195&lt;'Panel'!$N$5,"Gecikmiş",IF(I195&gt;0,"Devam ediyor","Başlamadı")))))</x:f>
      </x:c>
      <x:c r="N195" s="16" t="str">
        <x:f>IF(A195="","",IF(OR(F195="",G195="",G195&lt;F195),"Eksik tarih",MAX(0,MIN(1,('Panel'!$N$5-F195+1)/(G195-F195+1)))))</x:f>
      </x:c>
      <x:c r="O195" s="2" t="str">
        <x:f>IF(A195="","",IF(OR(NOT(ISNUMBER(H195)),NOT(ISNUMBER(I195))),"Eksik ilerleme",H195*I195))</x:f>
      </x:c>
      <x:c r="P195" s="2" t="str">
        <x:f>IF(A195="","",IF(OR(H195="",NOT(ISNUMBER(N195))),"Eksik plan",H195*N195))</x:f>
      </x:c>
      <x:c r="Q195" s="2" t="str">
        <x:f>IF(A195="","",IF(J195="","Eksik bitiş",J195-G195))</x:f>
      </x:c>
      <x:c r="R195" s="6"/>
      <x:c r="S195" s="2" t="str">
        <x:f>IF(AND(A195&lt;&gt;"",B195='Panel'!$C$5),COUNTIFS($B$7:B195,B195,$A$7:A195,"&lt;&gt;"),"")</x:f>
      </x:c>
    </x:row>
    <x:row r="196" ht="22" customHeight="1">
      <x:c r="A196" s="6"/>
      <x:c r="B196" s="6"/>
      <x:c r="C196" s="6"/>
      <x:c r="D196" s="6"/>
      <x:c r="E196" s="6"/>
      <x:c r="F196" s="7"/>
      <x:c r="G196" s="7"/>
      <x:c r="H196" s="6"/>
      <x:c r="I196" s="15"/>
      <x:c r="J196" s="7"/>
      <x:c r="K196" s="6"/>
      <x:c r="L196" s="6"/>
      <x:c r="M196" s="2" t="str">
        <x:f>IF(A196="","",IF(NOT(ISNUMBER(I196)),"Eksik ilerleme",IF(I196=1,"Tamamlandı",IF(G196&lt;'Panel'!$N$5,"Gecikmiş",IF(I196&gt;0,"Devam ediyor","Başlamadı")))))</x:f>
      </x:c>
      <x:c r="N196" s="16" t="str">
        <x:f>IF(A196="","",IF(OR(F196="",G196="",G196&lt;F196),"Eksik tarih",MAX(0,MIN(1,('Panel'!$N$5-F196+1)/(G196-F196+1)))))</x:f>
      </x:c>
      <x:c r="O196" s="2" t="str">
        <x:f>IF(A196="","",IF(OR(NOT(ISNUMBER(H196)),NOT(ISNUMBER(I196))),"Eksik ilerleme",H196*I196))</x:f>
      </x:c>
      <x:c r="P196" s="2" t="str">
        <x:f>IF(A196="","",IF(OR(H196="",NOT(ISNUMBER(N196))),"Eksik plan",H196*N196))</x:f>
      </x:c>
      <x:c r="Q196" s="2" t="str">
        <x:f>IF(A196="","",IF(J196="","Eksik bitiş",J196-G196))</x:f>
      </x:c>
      <x:c r="R196" s="6"/>
      <x:c r="S196" s="2" t="str">
        <x:f>IF(AND(A196&lt;&gt;"",B196='Panel'!$C$5),COUNTIFS($B$7:B196,B196,$A$7:A196,"&lt;&gt;"),"")</x:f>
      </x:c>
    </x:row>
    <x:row r="197" ht="22" customHeight="1">
      <x:c r="A197" s="6"/>
      <x:c r="B197" s="6"/>
      <x:c r="C197" s="6"/>
      <x:c r="D197" s="6"/>
      <x:c r="E197" s="6"/>
      <x:c r="F197" s="7"/>
      <x:c r="G197" s="7"/>
      <x:c r="H197" s="6"/>
      <x:c r="I197" s="15"/>
      <x:c r="J197" s="7"/>
      <x:c r="K197" s="6"/>
      <x:c r="L197" s="6"/>
      <x:c r="M197" s="2" t="str">
        <x:f>IF(A197="","",IF(NOT(ISNUMBER(I197)),"Eksik ilerleme",IF(I197=1,"Tamamlandı",IF(G197&lt;'Panel'!$N$5,"Gecikmiş",IF(I197&gt;0,"Devam ediyor","Başlamadı")))))</x:f>
      </x:c>
      <x:c r="N197" s="16" t="str">
        <x:f>IF(A197="","",IF(OR(F197="",G197="",G197&lt;F197),"Eksik tarih",MAX(0,MIN(1,('Panel'!$N$5-F197+1)/(G197-F197+1)))))</x:f>
      </x:c>
      <x:c r="O197" s="2" t="str">
        <x:f>IF(A197="","",IF(OR(NOT(ISNUMBER(H197)),NOT(ISNUMBER(I197))),"Eksik ilerleme",H197*I197))</x:f>
      </x:c>
      <x:c r="P197" s="2" t="str">
        <x:f>IF(A197="","",IF(OR(H197="",NOT(ISNUMBER(N197))),"Eksik plan",H197*N197))</x:f>
      </x:c>
      <x:c r="Q197" s="2" t="str">
        <x:f>IF(A197="","",IF(J197="","Eksik bitiş",J197-G197))</x:f>
      </x:c>
      <x:c r="R197" s="6"/>
      <x:c r="S197" s="2" t="str">
        <x:f>IF(AND(A197&lt;&gt;"",B197='Panel'!$C$5),COUNTIFS($B$7:B197,B197,$A$7:A197,"&lt;&gt;"),"")</x:f>
      </x:c>
    </x:row>
    <x:row r="198" ht="22" customHeight="1">
      <x:c r="A198" s="6"/>
      <x:c r="B198" s="6"/>
      <x:c r="C198" s="6"/>
      <x:c r="D198" s="6"/>
      <x:c r="E198" s="6"/>
      <x:c r="F198" s="7"/>
      <x:c r="G198" s="7"/>
      <x:c r="H198" s="6"/>
      <x:c r="I198" s="15"/>
      <x:c r="J198" s="7"/>
      <x:c r="K198" s="6"/>
      <x:c r="L198" s="6"/>
      <x:c r="M198" s="2" t="str">
        <x:f>IF(A198="","",IF(NOT(ISNUMBER(I198)),"Eksik ilerleme",IF(I198=1,"Tamamlandı",IF(G198&lt;'Panel'!$N$5,"Gecikmiş",IF(I198&gt;0,"Devam ediyor","Başlamadı")))))</x:f>
      </x:c>
      <x:c r="N198" s="16" t="str">
        <x:f>IF(A198="","",IF(OR(F198="",G198="",G198&lt;F198),"Eksik tarih",MAX(0,MIN(1,('Panel'!$N$5-F198+1)/(G198-F198+1)))))</x:f>
      </x:c>
      <x:c r="O198" s="2" t="str">
        <x:f>IF(A198="","",IF(OR(NOT(ISNUMBER(H198)),NOT(ISNUMBER(I198))),"Eksik ilerleme",H198*I198))</x:f>
      </x:c>
      <x:c r="P198" s="2" t="str">
        <x:f>IF(A198="","",IF(OR(H198="",NOT(ISNUMBER(N198))),"Eksik plan",H198*N198))</x:f>
      </x:c>
      <x:c r="Q198" s="2" t="str">
        <x:f>IF(A198="","",IF(J198="","Eksik bitiş",J198-G198))</x:f>
      </x:c>
      <x:c r="R198" s="6"/>
      <x:c r="S198" s="2" t="str">
        <x:f>IF(AND(A198&lt;&gt;"",B198='Panel'!$C$5),COUNTIFS($B$7:B198,B198,$A$7:A198,"&lt;&gt;"),"")</x:f>
      </x:c>
    </x:row>
    <x:row r="199" ht="22" customHeight="1">
      <x:c r="A199" s="6"/>
      <x:c r="B199" s="6"/>
      <x:c r="C199" s="6"/>
      <x:c r="D199" s="6"/>
      <x:c r="E199" s="6"/>
      <x:c r="F199" s="7"/>
      <x:c r="G199" s="7"/>
      <x:c r="H199" s="6"/>
      <x:c r="I199" s="15"/>
      <x:c r="J199" s="7"/>
      <x:c r="K199" s="6"/>
      <x:c r="L199" s="6"/>
      <x:c r="M199" s="2" t="str">
        <x:f>IF(A199="","",IF(NOT(ISNUMBER(I199)),"Eksik ilerleme",IF(I199=1,"Tamamlandı",IF(G199&lt;'Panel'!$N$5,"Gecikmiş",IF(I199&gt;0,"Devam ediyor","Başlamadı")))))</x:f>
      </x:c>
      <x:c r="N199" s="16" t="str">
        <x:f>IF(A199="","",IF(OR(F199="",G199="",G199&lt;F199),"Eksik tarih",MAX(0,MIN(1,('Panel'!$N$5-F199+1)/(G199-F199+1)))))</x:f>
      </x:c>
      <x:c r="O199" s="2" t="str">
        <x:f>IF(A199="","",IF(OR(NOT(ISNUMBER(H199)),NOT(ISNUMBER(I199))),"Eksik ilerleme",H199*I199))</x:f>
      </x:c>
      <x:c r="P199" s="2" t="str">
        <x:f>IF(A199="","",IF(OR(H199="",NOT(ISNUMBER(N199))),"Eksik plan",H199*N199))</x:f>
      </x:c>
      <x:c r="Q199" s="2" t="str">
        <x:f>IF(A199="","",IF(J199="","Eksik bitiş",J199-G199))</x:f>
      </x:c>
      <x:c r="R199" s="6"/>
      <x:c r="S199" s="2" t="str">
        <x:f>IF(AND(A199&lt;&gt;"",B199='Panel'!$C$5),COUNTIFS($B$7:B199,B199,$A$7:A199,"&lt;&gt;"),"")</x:f>
      </x:c>
    </x:row>
    <x:row r="200" ht="22" customHeight="1">
      <x:c r="A200" s="6"/>
      <x:c r="B200" s="6"/>
      <x:c r="C200" s="6"/>
      <x:c r="D200" s="6"/>
      <x:c r="E200" s="6"/>
      <x:c r="F200" s="7"/>
      <x:c r="G200" s="7"/>
      <x:c r="H200" s="6"/>
      <x:c r="I200" s="15"/>
      <x:c r="J200" s="7"/>
      <x:c r="K200" s="6"/>
      <x:c r="L200" s="6"/>
      <x:c r="M200" s="2" t="str">
        <x:f>IF(A200="","",IF(NOT(ISNUMBER(I200)),"Eksik ilerleme",IF(I200=1,"Tamamlandı",IF(G200&lt;'Panel'!$N$5,"Gecikmiş",IF(I200&gt;0,"Devam ediyor","Başlamadı")))))</x:f>
      </x:c>
      <x:c r="N200" s="16" t="str">
        <x:f>IF(A200="","",IF(OR(F200="",G200="",G200&lt;F200),"Eksik tarih",MAX(0,MIN(1,('Panel'!$N$5-F200+1)/(G200-F200+1)))))</x:f>
      </x:c>
      <x:c r="O200" s="2" t="str">
        <x:f>IF(A200="","",IF(OR(NOT(ISNUMBER(H200)),NOT(ISNUMBER(I200))),"Eksik ilerleme",H200*I200))</x:f>
      </x:c>
      <x:c r="P200" s="2" t="str">
        <x:f>IF(A200="","",IF(OR(H200="",NOT(ISNUMBER(N200))),"Eksik plan",H200*N200))</x:f>
      </x:c>
      <x:c r="Q200" s="2" t="str">
        <x:f>IF(A200="","",IF(J200="","Eksik bitiş",J200-G200))</x:f>
      </x:c>
      <x:c r="R200" s="6"/>
      <x:c r="S200" s="2" t="str">
        <x:f>IF(AND(A200&lt;&gt;"",B200='Panel'!$C$5),COUNTIFS($B$7:B200,B200,$A$7:A200,"&lt;&gt;"),"")</x:f>
      </x:c>
    </x:row>
    <x:row r="201" ht="22" customHeight="1">
      <x:c r="A201" s="6"/>
      <x:c r="B201" s="6"/>
      <x:c r="C201" s="6"/>
      <x:c r="D201" s="6"/>
      <x:c r="E201" s="6"/>
      <x:c r="F201" s="7"/>
      <x:c r="G201" s="7"/>
      <x:c r="H201" s="6"/>
      <x:c r="I201" s="15"/>
      <x:c r="J201" s="7"/>
      <x:c r="K201" s="6"/>
      <x:c r="L201" s="6"/>
      <x:c r="M201" s="2" t="str">
        <x:f>IF(A201="","",IF(NOT(ISNUMBER(I201)),"Eksik ilerleme",IF(I201=1,"Tamamlandı",IF(G201&lt;'Panel'!$N$5,"Gecikmiş",IF(I201&gt;0,"Devam ediyor","Başlamadı")))))</x:f>
      </x:c>
      <x:c r="N201" s="16" t="str">
        <x:f>IF(A201="","",IF(OR(F201="",G201="",G201&lt;F201),"Eksik tarih",MAX(0,MIN(1,('Panel'!$N$5-F201+1)/(G201-F201+1)))))</x:f>
      </x:c>
      <x:c r="O201" s="2" t="str">
        <x:f>IF(A201="","",IF(OR(NOT(ISNUMBER(H201)),NOT(ISNUMBER(I201))),"Eksik ilerleme",H201*I201))</x:f>
      </x:c>
      <x:c r="P201" s="2" t="str">
        <x:f>IF(A201="","",IF(OR(H201="",NOT(ISNUMBER(N201))),"Eksik plan",H201*N201))</x:f>
      </x:c>
      <x:c r="Q201" s="2" t="str">
        <x:f>IF(A201="","",IF(J201="","Eksik bitiş",J201-G201))</x:f>
      </x:c>
      <x:c r="R201" s="6"/>
      <x:c r="S201" s="2" t="str">
        <x:f>IF(AND(A201&lt;&gt;"",B201='Panel'!$C$5),COUNTIFS($B$7:B201,B201,$A$7:A201,"&lt;&gt;"),"")</x:f>
      </x:c>
    </x:row>
    <x:row r="202" ht="22" customHeight="1">
      <x:c r="A202" s="6"/>
      <x:c r="B202" s="6"/>
      <x:c r="C202" s="6"/>
      <x:c r="D202" s="6"/>
      <x:c r="E202" s="6"/>
      <x:c r="F202" s="7"/>
      <x:c r="G202" s="7"/>
      <x:c r="H202" s="6"/>
      <x:c r="I202" s="15"/>
      <x:c r="J202" s="7"/>
      <x:c r="K202" s="6"/>
      <x:c r="L202" s="6"/>
      <x:c r="M202" s="2" t="str">
        <x:f>IF(A202="","",IF(NOT(ISNUMBER(I202)),"Eksik ilerleme",IF(I202=1,"Tamamlandı",IF(G202&lt;'Panel'!$N$5,"Gecikmiş",IF(I202&gt;0,"Devam ediyor","Başlamadı")))))</x:f>
      </x:c>
      <x:c r="N202" s="16" t="str">
        <x:f>IF(A202="","",IF(OR(F202="",G202="",G202&lt;F202),"Eksik tarih",MAX(0,MIN(1,('Panel'!$N$5-F202+1)/(G202-F202+1)))))</x:f>
      </x:c>
      <x:c r="O202" s="2" t="str">
        <x:f>IF(A202="","",IF(OR(NOT(ISNUMBER(H202)),NOT(ISNUMBER(I202))),"Eksik ilerleme",H202*I202))</x:f>
      </x:c>
      <x:c r="P202" s="2" t="str">
        <x:f>IF(A202="","",IF(OR(H202="",NOT(ISNUMBER(N202))),"Eksik plan",H202*N202))</x:f>
      </x:c>
      <x:c r="Q202" s="2" t="str">
        <x:f>IF(A202="","",IF(J202="","Eksik bitiş",J202-G202))</x:f>
      </x:c>
      <x:c r="R202" s="6"/>
      <x:c r="S202" s="2" t="str">
        <x:f>IF(AND(A202&lt;&gt;"",B202='Panel'!$C$5),COUNTIFS($B$7:B202,B202,$A$7:A202,"&lt;&gt;"),"")</x:f>
      </x:c>
    </x:row>
    <x:row r="203" ht="22" customHeight="1">
      <x:c r="A203" s="6"/>
      <x:c r="B203" s="6"/>
      <x:c r="C203" s="6"/>
      <x:c r="D203" s="6"/>
      <x:c r="E203" s="6"/>
      <x:c r="F203" s="7"/>
      <x:c r="G203" s="7"/>
      <x:c r="H203" s="6"/>
      <x:c r="I203" s="15"/>
      <x:c r="J203" s="7"/>
      <x:c r="K203" s="6"/>
      <x:c r="L203" s="6"/>
      <x:c r="M203" s="2" t="str">
        <x:f>IF(A203="","",IF(NOT(ISNUMBER(I203)),"Eksik ilerleme",IF(I203=1,"Tamamlandı",IF(G203&lt;'Panel'!$N$5,"Gecikmiş",IF(I203&gt;0,"Devam ediyor","Başlamadı")))))</x:f>
      </x:c>
      <x:c r="N203" s="16" t="str">
        <x:f>IF(A203="","",IF(OR(F203="",G203="",G203&lt;F203),"Eksik tarih",MAX(0,MIN(1,('Panel'!$N$5-F203+1)/(G203-F203+1)))))</x:f>
      </x:c>
      <x:c r="O203" s="2" t="str">
        <x:f>IF(A203="","",IF(OR(NOT(ISNUMBER(H203)),NOT(ISNUMBER(I203))),"Eksik ilerleme",H203*I203))</x:f>
      </x:c>
      <x:c r="P203" s="2" t="str">
        <x:f>IF(A203="","",IF(OR(H203="",NOT(ISNUMBER(N203))),"Eksik plan",H203*N203))</x:f>
      </x:c>
      <x:c r="Q203" s="2" t="str">
        <x:f>IF(A203="","",IF(J203="","Eksik bitiş",J203-G203))</x:f>
      </x:c>
      <x:c r="R203" s="6"/>
      <x:c r="S203" s="2" t="str">
        <x:f>IF(AND(A203&lt;&gt;"",B203='Panel'!$C$5),COUNTIFS($B$7:B203,B203,$A$7:A203,"&lt;&gt;"),"")</x:f>
      </x:c>
    </x:row>
    <x:row r="204" ht="22" customHeight="1">
      <x:c r="A204" s="6"/>
      <x:c r="B204" s="6"/>
      <x:c r="C204" s="6"/>
      <x:c r="D204" s="6"/>
      <x:c r="E204" s="6"/>
      <x:c r="F204" s="7"/>
      <x:c r="G204" s="7"/>
      <x:c r="H204" s="6"/>
      <x:c r="I204" s="15"/>
      <x:c r="J204" s="7"/>
      <x:c r="K204" s="6"/>
      <x:c r="L204" s="6"/>
      <x:c r="M204" s="2" t="str">
        <x:f>IF(A204="","",IF(NOT(ISNUMBER(I204)),"Eksik ilerleme",IF(I204=1,"Tamamlandı",IF(G204&lt;'Panel'!$N$5,"Gecikmiş",IF(I204&gt;0,"Devam ediyor","Başlamadı")))))</x:f>
      </x:c>
      <x:c r="N204" s="16" t="str">
        <x:f>IF(A204="","",IF(OR(F204="",G204="",G204&lt;F204),"Eksik tarih",MAX(0,MIN(1,('Panel'!$N$5-F204+1)/(G204-F204+1)))))</x:f>
      </x:c>
      <x:c r="O204" s="2" t="str">
        <x:f>IF(A204="","",IF(OR(NOT(ISNUMBER(H204)),NOT(ISNUMBER(I204))),"Eksik ilerleme",H204*I204))</x:f>
      </x:c>
      <x:c r="P204" s="2" t="str">
        <x:f>IF(A204="","",IF(OR(H204="",NOT(ISNUMBER(N204))),"Eksik plan",H204*N204))</x:f>
      </x:c>
      <x:c r="Q204" s="2" t="str">
        <x:f>IF(A204="","",IF(J204="","Eksik bitiş",J204-G204))</x:f>
      </x:c>
      <x:c r="R204" s="6"/>
      <x:c r="S204" s="2" t="str">
        <x:f>IF(AND(A204&lt;&gt;"",B204='Panel'!$C$5),COUNTIFS($B$7:B204,B204,$A$7:A204,"&lt;&gt;"),"")</x:f>
      </x:c>
    </x:row>
    <x:row r="205" ht="22" customHeight="1">
      <x:c r="A205" s="6"/>
      <x:c r="B205" s="6"/>
      <x:c r="C205" s="6"/>
      <x:c r="D205" s="6"/>
      <x:c r="E205" s="6"/>
      <x:c r="F205" s="7"/>
      <x:c r="G205" s="7"/>
      <x:c r="H205" s="6"/>
      <x:c r="I205" s="15"/>
      <x:c r="J205" s="7"/>
      <x:c r="K205" s="6"/>
      <x:c r="L205" s="6"/>
      <x:c r="M205" s="2" t="str">
        <x:f>IF(A205="","",IF(NOT(ISNUMBER(I205)),"Eksik ilerleme",IF(I205=1,"Tamamlandı",IF(G205&lt;'Panel'!$N$5,"Gecikmiş",IF(I205&gt;0,"Devam ediyor","Başlamadı")))))</x:f>
      </x:c>
      <x:c r="N205" s="16" t="str">
        <x:f>IF(A205="","",IF(OR(F205="",G205="",G205&lt;F205),"Eksik tarih",MAX(0,MIN(1,('Panel'!$N$5-F205+1)/(G205-F205+1)))))</x:f>
      </x:c>
      <x:c r="O205" s="2" t="str">
        <x:f>IF(A205="","",IF(OR(NOT(ISNUMBER(H205)),NOT(ISNUMBER(I205))),"Eksik ilerleme",H205*I205))</x:f>
      </x:c>
      <x:c r="P205" s="2" t="str">
        <x:f>IF(A205="","",IF(OR(H205="",NOT(ISNUMBER(N205))),"Eksik plan",H205*N205))</x:f>
      </x:c>
      <x:c r="Q205" s="2" t="str">
        <x:f>IF(A205="","",IF(J205="","Eksik bitiş",J205-G205))</x:f>
      </x:c>
      <x:c r="R205" s="6"/>
      <x:c r="S205" s="2" t="str">
        <x:f>IF(AND(A205&lt;&gt;"",B205='Panel'!$C$5),COUNTIFS($B$7:B205,B205,$A$7:A205,"&lt;&gt;"),"")</x:f>
      </x:c>
    </x:row>
    <x:row r="206" ht="22" customHeight="1">
      <x:c r="A206" s="6"/>
      <x:c r="B206" s="6"/>
      <x:c r="C206" s="6"/>
      <x:c r="D206" s="6"/>
      <x:c r="E206" s="6"/>
      <x:c r="F206" s="7"/>
      <x:c r="G206" s="7"/>
      <x:c r="H206" s="6"/>
      <x:c r="I206" s="15"/>
      <x:c r="J206" s="7"/>
      <x:c r="K206" s="6"/>
      <x:c r="L206" s="6"/>
      <x:c r="M206" s="2" t="str">
        <x:f>IF(A206="","",IF(NOT(ISNUMBER(I206)),"Eksik ilerleme",IF(I206=1,"Tamamlandı",IF(G206&lt;'Panel'!$N$5,"Gecikmiş",IF(I206&gt;0,"Devam ediyor","Başlamadı")))))</x:f>
      </x:c>
      <x:c r="N206" s="16" t="str">
        <x:f>IF(A206="","",IF(OR(F206="",G206="",G206&lt;F206),"Eksik tarih",MAX(0,MIN(1,('Panel'!$N$5-F206+1)/(G206-F206+1)))))</x:f>
      </x:c>
      <x:c r="O206" s="2" t="str">
        <x:f>IF(A206="","",IF(OR(NOT(ISNUMBER(H206)),NOT(ISNUMBER(I206))),"Eksik ilerleme",H206*I206))</x:f>
      </x:c>
      <x:c r="P206" s="2" t="str">
        <x:f>IF(A206="","",IF(OR(H206="",NOT(ISNUMBER(N206))),"Eksik plan",H206*N206))</x:f>
      </x:c>
      <x:c r="Q206" s="2" t="str">
        <x:f>IF(A206="","",IF(J206="","Eksik bitiş",J206-G206))</x:f>
      </x:c>
      <x:c r="R206" s="6"/>
      <x:c r="S206" s="2" t="str">
        <x:f>IF(AND(A206&lt;&gt;"",B206='Panel'!$C$5),COUNTIFS($B$7:B206,B206,$A$7:A206,"&lt;&gt;"),"")</x:f>
      </x:c>
    </x:row>
  </x:sheetData>
  <x:conditionalFormatting sqref="M7:M206">
    <x:cfRule type="expression" dxfId="2" priority="1">
      <x:formula>OR(M7="Gecikmiş",M7="Eksik ilerleme")</x:formula>
    </x:cfRule>
  </x:conditionalFormatting>
  <x:conditionalFormatting sqref="Q7:Q206">
    <x:cfRule type="cellIs" dxfId="3" priority="2" operator="greaterThan">
      <x:formula>0</x:formula>
    </x:cfRule>
  </x:conditionalFormatting>
  <x:conditionalFormatting sqref="A7:A206">
    <x:cfRule type="expression" dxfId="4" priority="3">
      <x:formula>AND(A7&lt;&gt;"",COUNTIFS($A$7:$A$206,A7)&gt;1)</x:formula>
    </x:cfRule>
  </x:conditionalFormatting>
  <x:dataValidations count="4">
    <x:dataValidation type="decimal" operator="between" sqref="H7:H206">
      <x:formula1>0.01</x:formula1>
      <x:formula2>1000000</x:formula2>
    </x:dataValidation>
    <x:dataValidation type="decimal" operator="between" sqref="I7:I206">
      <x:formula1>0</x:formula1>
      <x:formula2>1</x:formula2>
    </x:dataValidation>
    <x:dataValidation type="list" sqref="K7:K206">
      <x:formula1>"Evet,Hayır"</x:formula1>
    </x:dataValidation>
    <x:dataValidation type="list" sqref="B7:B206">
      <x:formula1>'Projeler'!$A$7:$A$26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39ac62f77b4b3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26" hidden="0" customWidth="1"/>
    <x:col min="5" max="5" width="26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2" customHeight="1">
      <x:c r="A2" s="3" t="str">
        <x:v>Kişi bazında efor kayıtları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34" customHeight="1">
      <x:c r="A6" s="12" t="str">
        <x:v>Tarih</x:v>
      </x:c>
      <x:c r="B6" s="12" t="str">
        <x:v>Proje ID</x:v>
      </x:c>
      <x:c r="C6" s="12" t="str">
        <x:v>Personel ID</x:v>
      </x:c>
      <x:c r="D6" s="12" t="str">
        <x:v>Ad soyad</x:v>
      </x:c>
      <x:c r="E6" s="12" t="str">
        <x:v>Birim</x:v>
      </x:c>
      <x:c r="F6" s="12" t="str">
        <x:v>Çalışılan saat</x:v>
      </x:c>
      <x:c r="G6" s="12" t="str">
        <x:v>Saat maliyeti (TL)</x:v>
      </x:c>
      <x:c r="H6" s="12" t="str">
        <x:v>Efor maliyeti (TL)</x:v>
      </x:c>
      <x:c r="I6" s="12" t="str">
        <x:v>İlk kişi kaydı</x:v>
      </x:c>
      <x:c r="J6" s="12" t="str">
        <x:v>Haftanın ilk kaydı</x:v>
      </x:c>
    </x:row>
    <x:row r="7" ht="22" customHeight="1">
      <x:c r="A7" s="7" t="n">
        <x:v>46275</x:v>
      </x:c>
      <x:c r="B7" s="6" t="str">
        <x:v>PRJ-001</x:v>
      </x:c>
      <x:c r="C7" s="6" t="str">
        <x:v>P001</x:v>
      </x:c>
      <x:c r="D7" s="6" t="str">
        <x:v>Deniz Aras</x:v>
      </x:c>
      <x:c r="E7" s="6" t="str">
        <x:v>Mühendislik</x:v>
      </x:c>
      <x:c r="F7" s="17" t="n">
        <x:v>20</x:v>
      </x:c>
      <x:c r="G7" s="13" t="n">
        <x:v>850</x:v>
      </x:c>
      <x:c r="H7" s="14" t="n">
        <x:f>IF(B7="","",IF(OR(A7="",C7="",NOT(ISNUMBER(F7)),NOT(ISNUMBER(G7))),"Eksik efor",F7*G7))</x:f>
        <x:v>17000</x:v>
      </x:c>
      <x:c r="I7" s="2" t="n">
        <x:f>IF(OR(B7="",C7="",A7="",A7&gt;'Panel'!$N$5),0,IF(COUNTIFS($B$7:B7,B7,$C$7:C7,C7,$A$7:A7,"&lt;="&amp;'Panel'!$N$5)=1,1,0))</x:f>
        <x:v>1</x:v>
      </x:c>
      <x:c r="J7" s="2" t="n">
        <x:f>IF(OR(B7="",C7="",A7="",A7&gt;'Panel'!$N$5,A7&lt;'Panel'!$N$5-WEEKDAY('Panel'!$N$5,2)+1),0,IF(COUNTIFS($B$7:B7,B7,$C$7:C7,C7,$A$7:A7,"&gt;="&amp;('Panel'!$N$5-WEEKDAY('Panel'!$N$5,2)+1),$A$7:A7,"&lt;="&amp;'Panel'!$N$5)=1,1,0))</x:f>
        <x:v>0</x:v>
      </x:c>
    </x:row>
    <x:row r="8" ht="22" customHeight="1">
      <x:c r="A8" s="7" t="n">
        <x:v>46275</x:v>
      </x:c>
      <x:c r="B8" s="6" t="str">
        <x:v>PRJ-001</x:v>
      </x:c>
      <x:c r="C8" s="6" t="str">
        <x:v>P002</x:v>
      </x:c>
      <x:c r="D8" s="6" t="str">
        <x:v>Ece Tan</x:v>
      </x:c>
      <x:c r="E8" s="6" t="str">
        <x:v>Üretim</x:v>
      </x:c>
      <x:c r="F8" s="17" t="n">
        <x:v>23</x:v>
      </x:c>
      <x:c r="G8" s="13" t="n">
        <x:v>700</x:v>
      </x:c>
      <x:c r="H8" s="14" t="n">
        <x:f>IF(B8="","",IF(OR(A8="",C8="",NOT(ISNUMBER(F8)),NOT(ISNUMBER(G8))),"Eksik efor",F8*G8))</x:f>
        <x:v>16100</x:v>
      </x:c>
      <x:c r="I8" s="2" t="n">
        <x:f>IF(OR(B8="",C8="",A8="",A8&gt;'Panel'!$N$5),0,IF(COUNTIFS($B$7:B8,B8,$C$7:C8,C8,$A$7:A8,"&lt;="&amp;'Panel'!$N$5)=1,1,0))</x:f>
        <x:v>1</x:v>
      </x:c>
      <x:c r="J8" s="2" t="n">
        <x:f>IF(OR(B8="",C8="",A8="",A8&gt;'Panel'!$N$5,A8&lt;'Panel'!$N$5-WEEKDAY('Panel'!$N$5,2)+1),0,IF(COUNTIFS($B$7:B8,B8,$C$7:C8,C8,$A$7:A8,"&gt;="&amp;('Panel'!$N$5-WEEKDAY('Panel'!$N$5,2)+1),$A$7:A8,"&lt;="&amp;'Panel'!$N$5)=1,1,0))</x:f>
        <x:v>0</x:v>
      </x:c>
    </x:row>
    <x:row r="9" ht="22" customHeight="1">
      <x:c r="A9" s="7" t="n">
        <x:v>46275</x:v>
      </x:c>
      <x:c r="B9" s="6" t="str">
        <x:v>PRJ-001</x:v>
      </x:c>
      <x:c r="C9" s="6" t="str">
        <x:v>P003</x:v>
      </x:c>
      <x:c r="D9" s="6" t="str">
        <x:v>Can Akın</x:v>
      </x:c>
      <x:c r="E9" s="6" t="str">
        <x:v>Satın Alma</x:v>
      </x:c>
      <x:c r="F9" s="17" t="n">
        <x:v>26</x:v>
      </x:c>
      <x:c r="G9" s="13" t="n">
        <x:v>750</x:v>
      </x:c>
      <x:c r="H9" s="14" t="n">
        <x:f>IF(B9="","",IF(OR(A9="",C9="",NOT(ISNUMBER(F9)),NOT(ISNUMBER(G9))),"Eksik efor",F9*G9))</x:f>
        <x:v>19500</x:v>
      </x:c>
      <x:c r="I9" s="2" t="n">
        <x:f>IF(OR(B9="",C9="",A9="",A9&gt;'Panel'!$N$5),0,IF(COUNTIFS($B$7:B9,B9,$C$7:C9,C9,$A$7:A9,"&lt;="&amp;'Panel'!$N$5)=1,1,0))</x:f>
        <x:v>1</x:v>
      </x:c>
      <x:c r="J9" s="2" t="n">
        <x:f>IF(OR(B9="",C9="",A9="",A9&gt;'Panel'!$N$5,A9&lt;'Panel'!$N$5-WEEKDAY('Panel'!$N$5,2)+1),0,IF(COUNTIFS($B$7:B9,B9,$C$7:C9,C9,$A$7:A9,"&gt;="&amp;('Panel'!$N$5-WEEKDAY('Panel'!$N$5,2)+1),$A$7:A9,"&lt;="&amp;'Panel'!$N$5)=1,1,0))</x:f>
        <x:v>0</x:v>
      </x:c>
    </x:row>
    <x:row r="10" ht="22" customHeight="1">
      <x:c r="A10" s="7" t="n">
        <x:v>46275</x:v>
      </x:c>
      <x:c r="B10" s="6" t="str">
        <x:v>PRJ-001</x:v>
      </x:c>
      <x:c r="C10" s="6" t="str">
        <x:v>P004</x:v>
      </x:c>
      <x:c r="D10" s="6" t="str">
        <x:v>Bora Işık</x:v>
      </x:c>
      <x:c r="E10" s="6" t="str">
        <x:v>Kalite</x:v>
      </x:c>
      <x:c r="F10" s="17" t="n">
        <x:v>29</x:v>
      </x:c>
      <x:c r="G10" s="13" t="n">
        <x:v>800</x:v>
      </x:c>
      <x:c r="H10" s="14" t="n">
        <x:f>IF(B10="","",IF(OR(A10="",C10="",NOT(ISNUMBER(F10)),NOT(ISNUMBER(G10))),"Eksik efor",F10*G10))</x:f>
        <x:v>23200</x:v>
      </x:c>
      <x:c r="I10" s="2" t="n">
        <x:f>IF(OR(B10="",C10="",A10="",A10&gt;'Panel'!$N$5),0,IF(COUNTIFS($B$7:B10,B10,$C$7:C10,C10,$A$7:A10,"&lt;="&amp;'Panel'!$N$5)=1,1,0))</x:f>
        <x:v>1</x:v>
      </x:c>
      <x:c r="J10" s="2" t="n">
        <x:f>IF(OR(B10="",C10="",A10="",A10&gt;'Panel'!$N$5,A10&lt;'Panel'!$N$5-WEEKDAY('Panel'!$N$5,2)+1),0,IF(COUNTIFS($B$7:B10,B10,$C$7:C10,C10,$A$7:A10,"&gt;="&amp;('Panel'!$N$5-WEEKDAY('Panel'!$N$5,2)+1),$A$7:A10,"&lt;="&amp;'Panel'!$N$5)=1,1,0))</x:f>
        <x:v>0</x:v>
      </x:c>
    </x:row>
    <x:row r="11" ht="22" customHeight="1">
      <x:c r="A11" s="7" t="n">
        <x:v>46275</x:v>
      </x:c>
      <x:c r="B11" s="6" t="str">
        <x:v>PRJ-001</x:v>
      </x:c>
      <x:c r="C11" s="6" t="str">
        <x:v>P005</x:v>
      </x:c>
      <x:c r="D11" s="6" t="str">
        <x:v>İpek Acar</x:v>
      </x:c>
      <x:c r="E11" s="6" t="str">
        <x:v>Proje Yönetimi</x:v>
      </x:c>
      <x:c r="F11" s="17" t="n">
        <x:v>20</x:v>
      </x:c>
      <x:c r="G11" s="13" t="n">
        <x:v>1000</x:v>
      </x:c>
      <x:c r="H11" s="14" t="n">
        <x:f>IF(B11="","",IF(OR(A11="",C11="",NOT(ISNUMBER(F11)),NOT(ISNUMBER(G11))),"Eksik efor",F11*G11))</x:f>
        <x:v>20000</x:v>
      </x:c>
      <x:c r="I11" s="2" t="n">
        <x:f>IF(OR(B11="",C11="",A11="",A11&gt;'Panel'!$N$5),0,IF(COUNTIFS($B$7:B11,B11,$C$7:C11,C11,$A$7:A11,"&lt;="&amp;'Panel'!$N$5)=1,1,0))</x:f>
        <x:v>1</x:v>
      </x:c>
      <x:c r="J11" s="2" t="n">
        <x:f>IF(OR(B11="",C11="",A11="",A11&gt;'Panel'!$N$5,A11&lt;'Panel'!$N$5-WEEKDAY('Panel'!$N$5,2)+1),0,IF(COUNTIFS($B$7:B11,B11,$C$7:C11,C11,$A$7:A11,"&gt;="&amp;('Panel'!$N$5-WEEKDAY('Panel'!$N$5,2)+1),$A$7:A11,"&lt;="&amp;'Panel'!$N$5)=1,1,0))</x:f>
        <x:v>0</x:v>
      </x:c>
    </x:row>
    <x:row r="12" ht="22" customHeight="1">
      <x:c r="A12" s="7" t="n">
        <x:v>46282</x:v>
      </x:c>
      <x:c r="B12" s="6" t="str">
        <x:v>PRJ-001</x:v>
      </x:c>
      <x:c r="C12" s="6" t="str">
        <x:v>P001</x:v>
      </x:c>
      <x:c r="D12" s="6" t="str">
        <x:v>Deniz Aras</x:v>
      </x:c>
      <x:c r="E12" s="6" t="str">
        <x:v>Mühendislik</x:v>
      </x:c>
      <x:c r="F12" s="17" t="n">
        <x:v>20</x:v>
      </x:c>
      <x:c r="G12" s="13" t="n">
        <x:v>850</x:v>
      </x:c>
      <x:c r="H12" s="14" t="n">
        <x:f>IF(B12="","",IF(OR(A12="",C12="",NOT(ISNUMBER(F12)),NOT(ISNUMBER(G12))),"Eksik efor",F12*G12))</x:f>
        <x:v>17000</x:v>
      </x:c>
      <x:c r="I12" s="2" t="n">
        <x:f>IF(OR(B12="",C12="",A12="",A12&gt;'Panel'!$N$5),0,IF(COUNTIFS($B$7:B12,B12,$C$7:C12,C12,$A$7:A12,"&lt;="&amp;'Panel'!$N$5)=1,1,0))</x:f>
        <x:v>0</x:v>
      </x:c>
      <x:c r="J12" s="2" t="n">
        <x:f>IF(OR(B12="",C12="",A12="",A12&gt;'Panel'!$N$5,A12&lt;'Panel'!$N$5-WEEKDAY('Panel'!$N$5,2)+1),0,IF(COUNTIFS($B$7:B12,B12,$C$7:C12,C12,$A$7:A12,"&gt;="&amp;('Panel'!$N$5-WEEKDAY('Panel'!$N$5,2)+1),$A$7:A12,"&lt;="&amp;'Panel'!$N$5)=1,1,0))</x:f>
        <x:v>0</x:v>
      </x:c>
    </x:row>
    <x:row r="13" ht="22" customHeight="1">
      <x:c r="A13" s="7" t="n">
        <x:v>46282</x:v>
      </x:c>
      <x:c r="B13" s="6" t="str">
        <x:v>PRJ-001</x:v>
      </x:c>
      <x:c r="C13" s="6" t="str">
        <x:v>P002</x:v>
      </x:c>
      <x:c r="D13" s="6" t="str">
        <x:v>Ece Tan</x:v>
      </x:c>
      <x:c r="E13" s="6" t="str">
        <x:v>Üretim</x:v>
      </x:c>
      <x:c r="F13" s="17" t="n">
        <x:v>23</x:v>
      </x:c>
      <x:c r="G13" s="13" t="n">
        <x:v>700</x:v>
      </x:c>
      <x:c r="H13" s="14" t="n">
        <x:f>IF(B13="","",IF(OR(A13="",C13="",NOT(ISNUMBER(F13)),NOT(ISNUMBER(G13))),"Eksik efor",F13*G13))</x:f>
        <x:v>16100</x:v>
      </x:c>
      <x:c r="I13" s="2" t="n">
        <x:f>IF(OR(B13="",C13="",A13="",A13&gt;'Panel'!$N$5),0,IF(COUNTIFS($B$7:B13,B13,$C$7:C13,C13,$A$7:A13,"&lt;="&amp;'Panel'!$N$5)=1,1,0))</x:f>
        <x:v>0</x:v>
      </x:c>
      <x:c r="J13" s="2" t="n">
        <x:f>IF(OR(B13="",C13="",A13="",A13&gt;'Panel'!$N$5,A13&lt;'Panel'!$N$5-WEEKDAY('Panel'!$N$5,2)+1),0,IF(COUNTIFS($B$7:B13,B13,$C$7:C13,C13,$A$7:A13,"&gt;="&amp;('Panel'!$N$5-WEEKDAY('Panel'!$N$5,2)+1),$A$7:A13,"&lt;="&amp;'Panel'!$N$5)=1,1,0))</x:f>
        <x:v>0</x:v>
      </x:c>
    </x:row>
    <x:row r="14" ht="22" customHeight="1">
      <x:c r="A14" s="7" t="n">
        <x:v>46282</x:v>
      </x:c>
      <x:c r="B14" s="6" t="str">
        <x:v>PRJ-001</x:v>
      </x:c>
      <x:c r="C14" s="6" t="str">
        <x:v>P003</x:v>
      </x:c>
      <x:c r="D14" s="6" t="str">
        <x:v>Can Akın</x:v>
      </x:c>
      <x:c r="E14" s="6" t="str">
        <x:v>Satın Alma</x:v>
      </x:c>
      <x:c r="F14" s="17" t="n">
        <x:v>26</x:v>
      </x:c>
      <x:c r="G14" s="13" t="n">
        <x:v>750</x:v>
      </x:c>
      <x:c r="H14" s="14" t="n">
        <x:f>IF(B14="","",IF(OR(A14="",C14="",NOT(ISNUMBER(F14)),NOT(ISNUMBER(G14))),"Eksik efor",F14*G14))</x:f>
        <x:v>19500</x:v>
      </x:c>
      <x:c r="I14" s="2" t="n">
        <x:f>IF(OR(B14="",C14="",A14="",A14&gt;'Panel'!$N$5),0,IF(COUNTIFS($B$7:B14,B14,$C$7:C14,C14,$A$7:A14,"&lt;="&amp;'Panel'!$N$5)=1,1,0))</x:f>
        <x:v>0</x:v>
      </x:c>
      <x:c r="J14" s="2" t="n">
        <x:f>IF(OR(B14="",C14="",A14="",A14&gt;'Panel'!$N$5,A14&lt;'Panel'!$N$5-WEEKDAY('Panel'!$N$5,2)+1),0,IF(COUNTIFS($B$7:B14,B14,$C$7:C14,C14,$A$7:A14,"&gt;="&amp;('Panel'!$N$5-WEEKDAY('Panel'!$N$5,2)+1),$A$7:A14,"&lt;="&amp;'Panel'!$N$5)=1,1,0))</x:f>
        <x:v>0</x:v>
      </x:c>
    </x:row>
    <x:row r="15" ht="22" customHeight="1">
      <x:c r="A15" s="7" t="n">
        <x:v>46282</x:v>
      </x:c>
      <x:c r="B15" s="6" t="str">
        <x:v>PRJ-001</x:v>
      </x:c>
      <x:c r="C15" s="6" t="str">
        <x:v>P004</x:v>
      </x:c>
      <x:c r="D15" s="6" t="str">
        <x:v>Bora Işık</x:v>
      </x:c>
      <x:c r="E15" s="6" t="str">
        <x:v>Kalite</x:v>
      </x:c>
      <x:c r="F15" s="17" t="n">
        <x:v>29</x:v>
      </x:c>
      <x:c r="G15" s="13" t="n">
        <x:v>800</x:v>
      </x:c>
      <x:c r="H15" s="14" t="n">
        <x:f>IF(B15="","",IF(OR(A15="",C15="",NOT(ISNUMBER(F15)),NOT(ISNUMBER(G15))),"Eksik efor",F15*G15))</x:f>
        <x:v>23200</x:v>
      </x:c>
      <x:c r="I15" s="2" t="n">
        <x:f>IF(OR(B15="",C15="",A15="",A15&gt;'Panel'!$N$5),0,IF(COUNTIFS($B$7:B15,B15,$C$7:C15,C15,$A$7:A15,"&lt;="&amp;'Panel'!$N$5)=1,1,0))</x:f>
        <x:v>0</x:v>
      </x:c>
      <x:c r="J15" s="2" t="n">
        <x:f>IF(OR(B15="",C15="",A15="",A15&gt;'Panel'!$N$5,A15&lt;'Panel'!$N$5-WEEKDAY('Panel'!$N$5,2)+1),0,IF(COUNTIFS($B$7:B15,B15,$C$7:C15,C15,$A$7:A15,"&gt;="&amp;('Panel'!$N$5-WEEKDAY('Panel'!$N$5,2)+1),$A$7:A15,"&lt;="&amp;'Panel'!$N$5)=1,1,0))</x:f>
        <x:v>0</x:v>
      </x:c>
    </x:row>
    <x:row r="16" ht="22" customHeight="1">
      <x:c r="A16" s="7" t="n">
        <x:v>46282</x:v>
      </x:c>
      <x:c r="B16" s="6" t="str">
        <x:v>PRJ-001</x:v>
      </x:c>
      <x:c r="C16" s="6" t="str">
        <x:v>P005</x:v>
      </x:c>
      <x:c r="D16" s="6" t="str">
        <x:v>İpek Acar</x:v>
      </x:c>
      <x:c r="E16" s="6" t="str">
        <x:v>Proje Yönetimi</x:v>
      </x:c>
      <x:c r="F16" s="17" t="n">
        <x:v>20</x:v>
      </x:c>
      <x:c r="G16" s="13" t="n">
        <x:v>1000</x:v>
      </x:c>
      <x:c r="H16" s="14" t="n">
        <x:f>IF(B16="","",IF(OR(A16="",C16="",NOT(ISNUMBER(F16)),NOT(ISNUMBER(G16))),"Eksik efor",F16*G16))</x:f>
        <x:v>20000</x:v>
      </x:c>
      <x:c r="I16" s="2" t="n">
        <x:f>IF(OR(B16="",C16="",A16="",A16&gt;'Panel'!$N$5),0,IF(COUNTIFS($B$7:B16,B16,$C$7:C16,C16,$A$7:A16,"&lt;="&amp;'Panel'!$N$5)=1,1,0))</x:f>
        <x:v>0</x:v>
      </x:c>
      <x:c r="J16" s="2" t="n">
        <x:f>IF(OR(B16="",C16="",A16="",A16&gt;'Panel'!$N$5,A16&lt;'Panel'!$N$5-WEEKDAY('Panel'!$N$5,2)+1),0,IF(COUNTIFS($B$7:B16,B16,$C$7:C16,C16,$A$7:A16,"&gt;="&amp;('Panel'!$N$5-WEEKDAY('Panel'!$N$5,2)+1),$A$7:A16,"&lt;="&amp;'Panel'!$N$5)=1,1,0))</x:f>
        <x:v>0</x:v>
      </x:c>
    </x:row>
    <x:row r="17" ht="22" customHeight="1">
      <x:c r="A17" s="7" t="n">
        <x:v>46289</x:v>
      </x:c>
      <x:c r="B17" s="6" t="str">
        <x:v>PRJ-001</x:v>
      </x:c>
      <x:c r="C17" s="6" t="str">
        <x:v>P001</x:v>
      </x:c>
      <x:c r="D17" s="6" t="str">
        <x:v>Deniz Aras</x:v>
      </x:c>
      <x:c r="E17" s="6" t="str">
        <x:v>Mühendislik</x:v>
      </x:c>
      <x:c r="F17" s="17" t="n">
        <x:v>20</x:v>
      </x:c>
      <x:c r="G17" s="13" t="n">
        <x:v>850</x:v>
      </x:c>
      <x:c r="H17" s="14" t="n">
        <x:f>IF(B17="","",IF(OR(A17="",C17="",NOT(ISNUMBER(F17)),NOT(ISNUMBER(G17))),"Eksik efor",F17*G17))</x:f>
        <x:v>17000</x:v>
      </x:c>
      <x:c r="I17" s="2" t="n">
        <x:f>IF(OR(B17="",C17="",A17="",A17&gt;'Panel'!$N$5),0,IF(COUNTIFS($B$7:B17,B17,$C$7:C17,C17,$A$7:A17,"&lt;="&amp;'Panel'!$N$5)=1,1,0))</x:f>
        <x:v>0</x:v>
      </x:c>
      <x:c r="J17" s="2" t="n">
        <x:f>IF(OR(B17="",C17="",A17="",A17&gt;'Panel'!$N$5,A17&lt;'Panel'!$N$5-WEEKDAY('Panel'!$N$5,2)+1),0,IF(COUNTIFS($B$7:B17,B17,$C$7:C17,C17,$A$7:A17,"&gt;="&amp;('Panel'!$N$5-WEEKDAY('Panel'!$N$5,2)+1),$A$7:A17,"&lt;="&amp;'Panel'!$N$5)=1,1,0))</x:f>
        <x:v>0</x:v>
      </x:c>
    </x:row>
    <x:row r="18" ht="22" customHeight="1">
      <x:c r="A18" s="7" t="n">
        <x:v>46289</x:v>
      </x:c>
      <x:c r="B18" s="6" t="str">
        <x:v>PRJ-001</x:v>
      </x:c>
      <x:c r="C18" s="6" t="str">
        <x:v>P002</x:v>
      </x:c>
      <x:c r="D18" s="6" t="str">
        <x:v>Ece Tan</x:v>
      </x:c>
      <x:c r="E18" s="6" t="str">
        <x:v>Üretim</x:v>
      </x:c>
      <x:c r="F18" s="17" t="n">
        <x:v>23</x:v>
      </x:c>
      <x:c r="G18" s="13" t="n">
        <x:v>700</x:v>
      </x:c>
      <x:c r="H18" s="14" t="n">
        <x:f>IF(B18="","",IF(OR(A18="",C18="",NOT(ISNUMBER(F18)),NOT(ISNUMBER(G18))),"Eksik efor",F18*G18))</x:f>
        <x:v>16100</x:v>
      </x:c>
      <x:c r="I18" s="2" t="n">
        <x:f>IF(OR(B18="",C18="",A18="",A18&gt;'Panel'!$N$5),0,IF(COUNTIFS($B$7:B18,B18,$C$7:C18,C18,$A$7:A18,"&lt;="&amp;'Panel'!$N$5)=1,1,0))</x:f>
        <x:v>0</x:v>
      </x:c>
      <x:c r="J18" s="2" t="n">
        <x:f>IF(OR(B18="",C18="",A18="",A18&gt;'Panel'!$N$5,A18&lt;'Panel'!$N$5-WEEKDAY('Panel'!$N$5,2)+1),0,IF(COUNTIFS($B$7:B18,B18,$C$7:C18,C18,$A$7:A18,"&gt;="&amp;('Panel'!$N$5-WEEKDAY('Panel'!$N$5,2)+1),$A$7:A18,"&lt;="&amp;'Panel'!$N$5)=1,1,0))</x:f>
        <x:v>0</x:v>
      </x:c>
    </x:row>
    <x:row r="19" ht="22" customHeight="1">
      <x:c r="A19" s="7" t="n">
        <x:v>46289</x:v>
      </x:c>
      <x:c r="B19" s="6" t="str">
        <x:v>PRJ-001</x:v>
      </x:c>
      <x:c r="C19" s="6" t="str">
        <x:v>P003</x:v>
      </x:c>
      <x:c r="D19" s="6" t="str">
        <x:v>Can Akın</x:v>
      </x:c>
      <x:c r="E19" s="6" t="str">
        <x:v>Satın Alma</x:v>
      </x:c>
      <x:c r="F19" s="17" t="n">
        <x:v>26</x:v>
      </x:c>
      <x:c r="G19" s="13" t="n">
        <x:v>750</x:v>
      </x:c>
      <x:c r="H19" s="14" t="n">
        <x:f>IF(B19="","",IF(OR(A19="",C19="",NOT(ISNUMBER(F19)),NOT(ISNUMBER(G19))),"Eksik efor",F19*G19))</x:f>
        <x:v>19500</x:v>
      </x:c>
      <x:c r="I19" s="2" t="n">
        <x:f>IF(OR(B19="",C19="",A19="",A19&gt;'Panel'!$N$5),0,IF(COUNTIFS($B$7:B19,B19,$C$7:C19,C19,$A$7:A19,"&lt;="&amp;'Panel'!$N$5)=1,1,0))</x:f>
        <x:v>0</x:v>
      </x:c>
      <x:c r="J19" s="2" t="n">
        <x:f>IF(OR(B19="",C19="",A19="",A19&gt;'Panel'!$N$5,A19&lt;'Panel'!$N$5-WEEKDAY('Panel'!$N$5,2)+1),0,IF(COUNTIFS($B$7:B19,B19,$C$7:C19,C19,$A$7:A19,"&gt;="&amp;('Panel'!$N$5-WEEKDAY('Panel'!$N$5,2)+1),$A$7:A19,"&lt;="&amp;'Panel'!$N$5)=1,1,0))</x:f>
        <x:v>0</x:v>
      </x:c>
    </x:row>
    <x:row r="20" ht="22" customHeight="1">
      <x:c r="A20" s="7" t="n">
        <x:v>46289</x:v>
      </x:c>
      <x:c r="B20" s="6" t="str">
        <x:v>PRJ-001</x:v>
      </x:c>
      <x:c r="C20" s="6" t="str">
        <x:v>P004</x:v>
      </x:c>
      <x:c r="D20" s="6" t="str">
        <x:v>Bora Işık</x:v>
      </x:c>
      <x:c r="E20" s="6" t="str">
        <x:v>Kalite</x:v>
      </x:c>
      <x:c r="F20" s="17" t="n">
        <x:v>29</x:v>
      </x:c>
      <x:c r="G20" s="13" t="n">
        <x:v>800</x:v>
      </x:c>
      <x:c r="H20" s="14" t="n">
        <x:f>IF(B20="","",IF(OR(A20="",C20="",NOT(ISNUMBER(F20)),NOT(ISNUMBER(G20))),"Eksik efor",F20*G20))</x:f>
        <x:v>23200</x:v>
      </x:c>
      <x:c r="I20" s="2" t="n">
        <x:f>IF(OR(B20="",C20="",A20="",A20&gt;'Panel'!$N$5),0,IF(COUNTIFS($B$7:B20,B20,$C$7:C20,C20,$A$7:A20,"&lt;="&amp;'Panel'!$N$5)=1,1,0))</x:f>
        <x:v>0</x:v>
      </x:c>
      <x:c r="J20" s="2" t="n">
        <x:f>IF(OR(B20="",C20="",A20="",A20&gt;'Panel'!$N$5,A20&lt;'Panel'!$N$5-WEEKDAY('Panel'!$N$5,2)+1),0,IF(COUNTIFS($B$7:B20,B20,$C$7:C20,C20,$A$7:A20,"&gt;="&amp;('Panel'!$N$5-WEEKDAY('Panel'!$N$5,2)+1),$A$7:A20,"&lt;="&amp;'Panel'!$N$5)=1,1,0))</x:f>
        <x:v>0</x:v>
      </x:c>
    </x:row>
    <x:row r="21" ht="22" customHeight="1">
      <x:c r="A21" s="7" t="n">
        <x:v>46289</x:v>
      </x:c>
      <x:c r="B21" s="6" t="str">
        <x:v>PRJ-001</x:v>
      </x:c>
      <x:c r="C21" s="6" t="str">
        <x:v>P005</x:v>
      </x:c>
      <x:c r="D21" s="6" t="str">
        <x:v>İpek Acar</x:v>
      </x:c>
      <x:c r="E21" s="6" t="str">
        <x:v>Proje Yönetimi</x:v>
      </x:c>
      <x:c r="F21" s="17" t="n">
        <x:v>20</x:v>
      </x:c>
      <x:c r="G21" s="13" t="n">
        <x:v>1000</x:v>
      </x:c>
      <x:c r="H21" s="14" t="n">
        <x:f>IF(B21="","",IF(OR(A21="",C21="",NOT(ISNUMBER(F21)),NOT(ISNUMBER(G21))),"Eksik efor",F21*G21))</x:f>
        <x:v>20000</x:v>
      </x:c>
      <x:c r="I21" s="2" t="n">
        <x:f>IF(OR(B21="",C21="",A21="",A21&gt;'Panel'!$N$5),0,IF(COUNTIFS($B$7:B21,B21,$C$7:C21,C21,$A$7:A21,"&lt;="&amp;'Panel'!$N$5)=1,1,0))</x:f>
        <x:v>0</x:v>
      </x:c>
      <x:c r="J21" s="2" t="n">
        <x:f>IF(OR(B21="",C21="",A21="",A21&gt;'Panel'!$N$5,A21&lt;'Panel'!$N$5-WEEKDAY('Panel'!$N$5,2)+1),0,IF(COUNTIFS($B$7:B21,B21,$C$7:C21,C21,$A$7:A21,"&gt;="&amp;('Panel'!$N$5-WEEKDAY('Panel'!$N$5,2)+1),$A$7:A21,"&lt;="&amp;'Panel'!$N$5)=1,1,0))</x:f>
        <x:v>0</x:v>
      </x:c>
    </x:row>
    <x:row r="22" ht="22" customHeight="1">
      <x:c r="A22" s="7" t="n">
        <x:v>46296</x:v>
      </x:c>
      <x:c r="B22" s="6" t="str">
        <x:v>PRJ-001</x:v>
      </x:c>
      <x:c r="C22" s="6" t="str">
        <x:v>P001</x:v>
      </x:c>
      <x:c r="D22" s="6" t="str">
        <x:v>Deniz Aras</x:v>
      </x:c>
      <x:c r="E22" s="6" t="str">
        <x:v>Mühendislik</x:v>
      </x:c>
      <x:c r="F22" s="17" t="n">
        <x:v>20</x:v>
      </x:c>
      <x:c r="G22" s="13" t="n">
        <x:v>850</x:v>
      </x:c>
      <x:c r="H22" s="14" t="n">
        <x:f>IF(B22="","",IF(OR(A22="",C22="",NOT(ISNUMBER(F22)),NOT(ISNUMBER(G22))),"Eksik efor",F22*G22))</x:f>
        <x:v>17000</x:v>
      </x:c>
      <x:c r="I22" s="2" t="n">
        <x:f>IF(OR(B22="",C22="",A22="",A22&gt;'Panel'!$N$5),0,IF(COUNTIFS($B$7:B22,B22,$C$7:C22,C22,$A$7:A22,"&lt;="&amp;'Panel'!$N$5)=1,1,0))</x:f>
        <x:v>0</x:v>
      </x:c>
      <x:c r="J22" s="2" t="n">
        <x:f>IF(OR(B22="",C22="",A22="",A22&gt;'Panel'!$N$5,A22&lt;'Panel'!$N$5-WEEKDAY('Panel'!$N$5,2)+1),0,IF(COUNTIFS($B$7:B22,B22,$C$7:C22,C22,$A$7:A22,"&gt;="&amp;('Panel'!$N$5-WEEKDAY('Panel'!$N$5,2)+1),$A$7:A22,"&lt;="&amp;'Panel'!$N$5)=1,1,0))</x:f>
        <x:v>0</x:v>
      </x:c>
    </x:row>
    <x:row r="23" ht="22" customHeight="1">
      <x:c r="A23" s="7" t="n">
        <x:v>46296</x:v>
      </x:c>
      <x:c r="B23" s="6" t="str">
        <x:v>PRJ-001</x:v>
      </x:c>
      <x:c r="C23" s="6" t="str">
        <x:v>P002</x:v>
      </x:c>
      <x:c r="D23" s="6" t="str">
        <x:v>Ece Tan</x:v>
      </x:c>
      <x:c r="E23" s="6" t="str">
        <x:v>Üretim</x:v>
      </x:c>
      <x:c r="F23" s="17" t="n">
        <x:v>23</x:v>
      </x:c>
      <x:c r="G23" s="13" t="n">
        <x:v>700</x:v>
      </x:c>
      <x:c r="H23" s="14" t="n">
        <x:f>IF(B23="","",IF(OR(A23="",C23="",NOT(ISNUMBER(F23)),NOT(ISNUMBER(G23))),"Eksik efor",F23*G23))</x:f>
        <x:v>16100</x:v>
      </x:c>
      <x:c r="I23" s="2" t="n">
        <x:f>IF(OR(B23="",C23="",A23="",A23&gt;'Panel'!$N$5),0,IF(COUNTIFS($B$7:B23,B23,$C$7:C23,C23,$A$7:A23,"&lt;="&amp;'Panel'!$N$5)=1,1,0))</x:f>
        <x:v>0</x:v>
      </x:c>
      <x:c r="J23" s="2" t="n">
        <x:f>IF(OR(B23="",C23="",A23="",A23&gt;'Panel'!$N$5,A23&lt;'Panel'!$N$5-WEEKDAY('Panel'!$N$5,2)+1),0,IF(COUNTIFS($B$7:B23,B23,$C$7:C23,C23,$A$7:A23,"&gt;="&amp;('Panel'!$N$5-WEEKDAY('Panel'!$N$5,2)+1),$A$7:A23,"&lt;="&amp;'Panel'!$N$5)=1,1,0))</x:f>
        <x:v>0</x:v>
      </x:c>
    </x:row>
    <x:row r="24" ht="22" customHeight="1">
      <x:c r="A24" s="7" t="n">
        <x:v>46296</x:v>
      </x:c>
      <x:c r="B24" s="6" t="str">
        <x:v>PRJ-001</x:v>
      </x:c>
      <x:c r="C24" s="6" t="str">
        <x:v>P003</x:v>
      </x:c>
      <x:c r="D24" s="6" t="str">
        <x:v>Can Akın</x:v>
      </x:c>
      <x:c r="E24" s="6" t="str">
        <x:v>Satın Alma</x:v>
      </x:c>
      <x:c r="F24" s="17" t="n">
        <x:v>26</x:v>
      </x:c>
      <x:c r="G24" s="13" t="n">
        <x:v>750</x:v>
      </x:c>
      <x:c r="H24" s="14" t="n">
        <x:f>IF(B24="","",IF(OR(A24="",C24="",NOT(ISNUMBER(F24)),NOT(ISNUMBER(G24))),"Eksik efor",F24*G24))</x:f>
        <x:v>19500</x:v>
      </x:c>
      <x:c r="I24" s="2" t="n">
        <x:f>IF(OR(B24="",C24="",A24="",A24&gt;'Panel'!$N$5),0,IF(COUNTIFS($B$7:B24,B24,$C$7:C24,C24,$A$7:A24,"&lt;="&amp;'Panel'!$N$5)=1,1,0))</x:f>
        <x:v>0</x:v>
      </x:c>
      <x:c r="J24" s="2" t="n">
        <x:f>IF(OR(B24="",C24="",A24="",A24&gt;'Panel'!$N$5,A24&lt;'Panel'!$N$5-WEEKDAY('Panel'!$N$5,2)+1),0,IF(COUNTIFS($B$7:B24,B24,$C$7:C24,C24,$A$7:A24,"&gt;="&amp;('Panel'!$N$5-WEEKDAY('Panel'!$N$5,2)+1),$A$7:A24,"&lt;="&amp;'Panel'!$N$5)=1,1,0))</x:f>
        <x:v>0</x:v>
      </x:c>
    </x:row>
    <x:row r="25" ht="22" customHeight="1">
      <x:c r="A25" s="7" t="n">
        <x:v>46296</x:v>
      </x:c>
      <x:c r="B25" s="6" t="str">
        <x:v>PRJ-001</x:v>
      </x:c>
      <x:c r="C25" s="6" t="str">
        <x:v>P004</x:v>
      </x:c>
      <x:c r="D25" s="6" t="str">
        <x:v>Bora Işık</x:v>
      </x:c>
      <x:c r="E25" s="6" t="str">
        <x:v>Kalite</x:v>
      </x:c>
      <x:c r="F25" s="17" t="n">
        <x:v>29</x:v>
      </x:c>
      <x:c r="G25" s="13" t="n">
        <x:v>800</x:v>
      </x:c>
      <x:c r="H25" s="14" t="n">
        <x:f>IF(B25="","",IF(OR(A25="",C25="",NOT(ISNUMBER(F25)),NOT(ISNUMBER(G25))),"Eksik efor",F25*G25))</x:f>
        <x:v>23200</x:v>
      </x:c>
      <x:c r="I25" s="2" t="n">
        <x:f>IF(OR(B25="",C25="",A25="",A25&gt;'Panel'!$N$5),0,IF(COUNTIFS($B$7:B25,B25,$C$7:C25,C25,$A$7:A25,"&lt;="&amp;'Panel'!$N$5)=1,1,0))</x:f>
        <x:v>0</x:v>
      </x:c>
      <x:c r="J25" s="2" t="n">
        <x:f>IF(OR(B25="",C25="",A25="",A25&gt;'Panel'!$N$5,A25&lt;'Panel'!$N$5-WEEKDAY('Panel'!$N$5,2)+1),0,IF(COUNTIFS($B$7:B25,B25,$C$7:C25,C25,$A$7:A25,"&gt;="&amp;('Panel'!$N$5-WEEKDAY('Panel'!$N$5,2)+1),$A$7:A25,"&lt;="&amp;'Panel'!$N$5)=1,1,0))</x:f>
        <x:v>0</x:v>
      </x:c>
    </x:row>
    <x:row r="26" ht="22" customHeight="1">
      <x:c r="A26" s="7" t="n">
        <x:v>46296</x:v>
      </x:c>
      <x:c r="B26" s="6" t="str">
        <x:v>PRJ-001</x:v>
      </x:c>
      <x:c r="C26" s="6" t="str">
        <x:v>P005</x:v>
      </x:c>
      <x:c r="D26" s="6" t="str">
        <x:v>İpek Acar</x:v>
      </x:c>
      <x:c r="E26" s="6" t="str">
        <x:v>Proje Yönetimi</x:v>
      </x:c>
      <x:c r="F26" s="17" t="n">
        <x:v>20</x:v>
      </x:c>
      <x:c r="G26" s="13" t="n">
        <x:v>1000</x:v>
      </x:c>
      <x:c r="H26" s="14" t="n">
        <x:f>IF(B26="","",IF(OR(A26="",C26="",NOT(ISNUMBER(F26)),NOT(ISNUMBER(G26))),"Eksik efor",F26*G26))</x:f>
        <x:v>20000</x:v>
      </x:c>
      <x:c r="I26" s="2" t="n">
        <x:f>IF(OR(B26="",C26="",A26="",A26&gt;'Panel'!$N$5),0,IF(COUNTIFS($B$7:B26,B26,$C$7:C26,C26,$A$7:A26,"&lt;="&amp;'Panel'!$N$5)=1,1,0))</x:f>
        <x:v>0</x:v>
      </x:c>
      <x:c r="J26" s="2" t="n">
        <x:f>IF(OR(B26="",C26="",A26="",A26&gt;'Panel'!$N$5,A26&lt;'Panel'!$N$5-WEEKDAY('Panel'!$N$5,2)+1),0,IF(COUNTIFS($B$7:B26,B26,$C$7:C26,C26,$A$7:A26,"&gt;="&amp;('Panel'!$N$5-WEEKDAY('Panel'!$N$5,2)+1),$A$7:A26,"&lt;="&amp;'Panel'!$N$5)=1,1,0))</x:f>
        <x:v>0</x:v>
      </x:c>
    </x:row>
    <x:row r="27" ht="22" customHeight="1">
      <x:c r="A27" s="7" t="n">
        <x:v>46303</x:v>
      </x:c>
      <x:c r="B27" s="6" t="str">
        <x:v>PRJ-001</x:v>
      </x:c>
      <x:c r="C27" s="6" t="str">
        <x:v>P001</x:v>
      </x:c>
      <x:c r="D27" s="6" t="str">
        <x:v>Deniz Aras</x:v>
      </x:c>
      <x:c r="E27" s="6" t="str">
        <x:v>Mühendislik</x:v>
      </x:c>
      <x:c r="F27" s="17" t="n">
        <x:v>20</x:v>
      </x:c>
      <x:c r="G27" s="13" t="n">
        <x:v>850</x:v>
      </x:c>
      <x:c r="H27" s="14" t="n">
        <x:f>IF(B27="","",IF(OR(A27="",C27="",NOT(ISNUMBER(F27)),NOT(ISNUMBER(G27))),"Eksik efor",F27*G27))</x:f>
        <x:v>17000</x:v>
      </x:c>
      <x:c r="I27" s="2" t="n">
        <x:f>IF(OR(B27="",C27="",A27="",A27&gt;'Panel'!$N$5),0,IF(COUNTIFS($B$7:B27,B27,$C$7:C27,C27,$A$7:A27,"&lt;="&amp;'Panel'!$N$5)=1,1,0))</x:f>
        <x:v>0</x:v>
      </x:c>
      <x:c r="J27" s="2" t="n">
        <x:f>IF(OR(B27="",C27="",A27="",A27&gt;'Panel'!$N$5,A27&lt;'Panel'!$N$5-WEEKDAY('Panel'!$N$5,2)+1),0,IF(COUNTIFS($B$7:B27,B27,$C$7:C27,C27,$A$7:A27,"&gt;="&amp;('Panel'!$N$5-WEEKDAY('Panel'!$N$5,2)+1),$A$7:A27,"&lt;="&amp;'Panel'!$N$5)=1,1,0))</x:f>
        <x:v>0</x:v>
      </x:c>
    </x:row>
    <x:row r="28" ht="22" customHeight="1">
      <x:c r="A28" s="7" t="n">
        <x:v>46303</x:v>
      </x:c>
      <x:c r="B28" s="6" t="str">
        <x:v>PRJ-001</x:v>
      </x:c>
      <x:c r="C28" s="6" t="str">
        <x:v>P002</x:v>
      </x:c>
      <x:c r="D28" s="6" t="str">
        <x:v>Ece Tan</x:v>
      </x:c>
      <x:c r="E28" s="6" t="str">
        <x:v>Üretim</x:v>
      </x:c>
      <x:c r="F28" s="17" t="n">
        <x:v>23</x:v>
      </x:c>
      <x:c r="G28" s="13" t="n">
        <x:v>700</x:v>
      </x:c>
      <x:c r="H28" s="14" t="n">
        <x:f>IF(B28="","",IF(OR(A28="",C28="",NOT(ISNUMBER(F28)),NOT(ISNUMBER(G28))),"Eksik efor",F28*G28))</x:f>
        <x:v>16100</x:v>
      </x:c>
      <x:c r="I28" s="2" t="n">
        <x:f>IF(OR(B28="",C28="",A28="",A28&gt;'Panel'!$N$5),0,IF(COUNTIFS($B$7:B28,B28,$C$7:C28,C28,$A$7:A28,"&lt;="&amp;'Panel'!$N$5)=1,1,0))</x:f>
        <x:v>0</x:v>
      </x:c>
      <x:c r="J28" s="2" t="n">
        <x:f>IF(OR(B28="",C28="",A28="",A28&gt;'Panel'!$N$5,A28&lt;'Panel'!$N$5-WEEKDAY('Panel'!$N$5,2)+1),0,IF(COUNTIFS($B$7:B28,B28,$C$7:C28,C28,$A$7:A28,"&gt;="&amp;('Panel'!$N$5-WEEKDAY('Panel'!$N$5,2)+1),$A$7:A28,"&lt;="&amp;'Panel'!$N$5)=1,1,0))</x:f>
        <x:v>0</x:v>
      </x:c>
    </x:row>
    <x:row r="29" ht="22" customHeight="1">
      <x:c r="A29" s="7" t="n">
        <x:v>46303</x:v>
      </x:c>
      <x:c r="B29" s="6" t="str">
        <x:v>PRJ-001</x:v>
      </x:c>
      <x:c r="C29" s="6" t="str">
        <x:v>P003</x:v>
      </x:c>
      <x:c r="D29" s="6" t="str">
        <x:v>Can Akın</x:v>
      </x:c>
      <x:c r="E29" s="6" t="str">
        <x:v>Satın Alma</x:v>
      </x:c>
      <x:c r="F29" s="17" t="n">
        <x:v>26</x:v>
      </x:c>
      <x:c r="G29" s="13" t="n">
        <x:v>750</x:v>
      </x:c>
      <x:c r="H29" s="14" t="n">
        <x:f>IF(B29="","",IF(OR(A29="",C29="",NOT(ISNUMBER(F29)),NOT(ISNUMBER(G29))),"Eksik efor",F29*G29))</x:f>
        <x:v>19500</x:v>
      </x:c>
      <x:c r="I29" s="2" t="n">
        <x:f>IF(OR(B29="",C29="",A29="",A29&gt;'Panel'!$N$5),0,IF(COUNTIFS($B$7:B29,B29,$C$7:C29,C29,$A$7:A29,"&lt;="&amp;'Panel'!$N$5)=1,1,0))</x:f>
        <x:v>0</x:v>
      </x:c>
      <x:c r="J29" s="2" t="n">
        <x:f>IF(OR(B29="",C29="",A29="",A29&gt;'Panel'!$N$5,A29&lt;'Panel'!$N$5-WEEKDAY('Panel'!$N$5,2)+1),0,IF(COUNTIFS($B$7:B29,B29,$C$7:C29,C29,$A$7:A29,"&gt;="&amp;('Panel'!$N$5-WEEKDAY('Panel'!$N$5,2)+1),$A$7:A29,"&lt;="&amp;'Panel'!$N$5)=1,1,0))</x:f>
        <x:v>0</x:v>
      </x:c>
    </x:row>
    <x:row r="30" ht="22" customHeight="1">
      <x:c r="A30" s="7" t="n">
        <x:v>46303</x:v>
      </x:c>
      <x:c r="B30" s="6" t="str">
        <x:v>PRJ-001</x:v>
      </x:c>
      <x:c r="C30" s="6" t="str">
        <x:v>P004</x:v>
      </x:c>
      <x:c r="D30" s="6" t="str">
        <x:v>Bora Işık</x:v>
      </x:c>
      <x:c r="E30" s="6" t="str">
        <x:v>Kalite</x:v>
      </x:c>
      <x:c r="F30" s="17" t="n">
        <x:v>29</x:v>
      </x:c>
      <x:c r="G30" s="13" t="n">
        <x:v>800</x:v>
      </x:c>
      <x:c r="H30" s="14" t="n">
        <x:f>IF(B30="","",IF(OR(A30="",C30="",NOT(ISNUMBER(F30)),NOT(ISNUMBER(G30))),"Eksik efor",F30*G30))</x:f>
        <x:v>23200</x:v>
      </x:c>
      <x:c r="I30" s="2" t="n">
        <x:f>IF(OR(B30="",C30="",A30="",A30&gt;'Panel'!$N$5),0,IF(COUNTIFS($B$7:B30,B30,$C$7:C30,C30,$A$7:A30,"&lt;="&amp;'Panel'!$N$5)=1,1,0))</x:f>
        <x:v>0</x:v>
      </x:c>
      <x:c r="J30" s="2" t="n">
        <x:f>IF(OR(B30="",C30="",A30="",A30&gt;'Panel'!$N$5,A30&lt;'Panel'!$N$5-WEEKDAY('Panel'!$N$5,2)+1),0,IF(COUNTIFS($B$7:B30,B30,$C$7:C30,C30,$A$7:A30,"&gt;="&amp;('Panel'!$N$5-WEEKDAY('Panel'!$N$5,2)+1),$A$7:A30,"&lt;="&amp;'Panel'!$N$5)=1,1,0))</x:f>
        <x:v>0</x:v>
      </x:c>
    </x:row>
    <x:row r="31" ht="22" customHeight="1">
      <x:c r="A31" s="7" t="n">
        <x:v>46303</x:v>
      </x:c>
      <x:c r="B31" s="6" t="str">
        <x:v>PRJ-001</x:v>
      </x:c>
      <x:c r="C31" s="6" t="str">
        <x:v>P005</x:v>
      </x:c>
      <x:c r="D31" s="6" t="str">
        <x:v>İpek Acar</x:v>
      </x:c>
      <x:c r="E31" s="6" t="str">
        <x:v>Proje Yönetimi</x:v>
      </x:c>
      <x:c r="F31" s="17" t="n">
        <x:v>20</x:v>
      </x:c>
      <x:c r="G31" s="13" t="n">
        <x:v>1000</x:v>
      </x:c>
      <x:c r="H31" s="14" t="n">
        <x:f>IF(B31="","",IF(OR(A31="",C31="",NOT(ISNUMBER(F31)),NOT(ISNUMBER(G31))),"Eksik efor",F31*G31))</x:f>
        <x:v>20000</x:v>
      </x:c>
      <x:c r="I31" s="2" t="n">
        <x:f>IF(OR(B31="",C31="",A31="",A31&gt;'Panel'!$N$5),0,IF(COUNTIFS($B$7:B31,B31,$C$7:C31,C31,$A$7:A31,"&lt;="&amp;'Panel'!$N$5)=1,1,0))</x:f>
        <x:v>0</x:v>
      </x:c>
      <x:c r="J31" s="2" t="n">
        <x:f>IF(OR(B31="",C31="",A31="",A31&gt;'Panel'!$N$5,A31&lt;'Panel'!$N$5-WEEKDAY('Panel'!$N$5,2)+1),0,IF(COUNTIFS($B$7:B31,B31,$C$7:C31,C31,$A$7:A31,"&gt;="&amp;('Panel'!$N$5-WEEKDAY('Panel'!$N$5,2)+1),$A$7:A31,"&lt;="&amp;'Panel'!$N$5)=1,1,0))</x:f>
        <x:v>0</x:v>
      </x:c>
    </x:row>
    <x:row r="32" ht="22" customHeight="1">
      <x:c r="A32" s="7" t="n">
        <x:v>46310</x:v>
      </x:c>
      <x:c r="B32" s="6" t="str">
        <x:v>PRJ-001</x:v>
      </x:c>
      <x:c r="C32" s="6" t="str">
        <x:v>P001</x:v>
      </x:c>
      <x:c r="D32" s="6" t="str">
        <x:v>Deniz Aras</x:v>
      </x:c>
      <x:c r="E32" s="6" t="str">
        <x:v>Mühendislik</x:v>
      </x:c>
      <x:c r="F32" s="17" t="n">
        <x:v>10</x:v>
      </x:c>
      <x:c r="G32" s="13" t="n">
        <x:v>850</x:v>
      </x:c>
      <x:c r="H32" s="14" t="n">
        <x:f>IF(B32="","",IF(OR(A32="",C32="",NOT(ISNUMBER(F32)),NOT(ISNUMBER(G32))),"Eksik efor",F32*G32))</x:f>
        <x:v>8500</x:v>
      </x:c>
      <x:c r="I32" s="2" t="n">
        <x:f>IF(OR(B32="",C32="",A32="",A32&gt;'Panel'!$N$5),0,IF(COUNTIFS($B$7:B32,B32,$C$7:C32,C32,$A$7:A32,"&lt;="&amp;'Panel'!$N$5)=1,1,0))</x:f>
        <x:v>0</x:v>
      </x:c>
      <x:c r="J32" s="2" t="n">
        <x:f>IF(OR(B32="",C32="",A32="",A32&gt;'Panel'!$N$5,A32&lt;'Panel'!$N$5-WEEKDAY('Panel'!$N$5,2)+1),0,IF(COUNTIFS($B$7:B32,B32,$C$7:C32,C32,$A$7:A32,"&gt;="&amp;('Panel'!$N$5-WEEKDAY('Panel'!$N$5,2)+1),$A$7:A32,"&lt;="&amp;'Panel'!$N$5)=1,1,0))</x:f>
        <x:v>1</x:v>
      </x:c>
    </x:row>
    <x:row r="33" ht="22" customHeight="1">
      <x:c r="A33" s="7" t="n">
        <x:v>46310</x:v>
      </x:c>
      <x:c r="B33" s="6" t="str">
        <x:v>PRJ-001</x:v>
      </x:c>
      <x:c r="C33" s="6" t="str">
        <x:v>P002</x:v>
      </x:c>
      <x:c r="D33" s="6" t="str">
        <x:v>Ece Tan</x:v>
      </x:c>
      <x:c r="E33" s="6" t="str">
        <x:v>Üretim</x:v>
      </x:c>
      <x:c r="F33" s="17" t="n">
        <x:v>12</x:v>
      </x:c>
      <x:c r="G33" s="13" t="n">
        <x:v>700</x:v>
      </x:c>
      <x:c r="H33" s="14" t="n">
        <x:f>IF(B33="","",IF(OR(A33="",C33="",NOT(ISNUMBER(F33)),NOT(ISNUMBER(G33))),"Eksik efor",F33*G33))</x:f>
        <x:v>8400</x:v>
      </x:c>
      <x:c r="I33" s="2" t="n">
        <x:f>IF(OR(B33="",C33="",A33="",A33&gt;'Panel'!$N$5),0,IF(COUNTIFS($B$7:B33,B33,$C$7:C33,C33,$A$7:A33,"&lt;="&amp;'Panel'!$N$5)=1,1,0))</x:f>
        <x:v>0</x:v>
      </x:c>
      <x:c r="J33" s="2" t="n">
        <x:f>IF(OR(B33="",C33="",A33="",A33&gt;'Panel'!$N$5,A33&lt;'Panel'!$N$5-WEEKDAY('Panel'!$N$5,2)+1),0,IF(COUNTIFS($B$7:B33,B33,$C$7:C33,C33,$A$7:A33,"&gt;="&amp;('Panel'!$N$5-WEEKDAY('Panel'!$N$5,2)+1),$A$7:A33,"&lt;="&amp;'Panel'!$N$5)=1,1,0))</x:f>
        <x:v>1</x:v>
      </x:c>
    </x:row>
    <x:row r="34" ht="22" customHeight="1">
      <x:c r="A34" s="7" t="n">
        <x:v>46310</x:v>
      </x:c>
      <x:c r="B34" s="6" t="str">
        <x:v>PRJ-001</x:v>
      </x:c>
      <x:c r="C34" s="6" t="str">
        <x:v>P003</x:v>
      </x:c>
      <x:c r="D34" s="6" t="str">
        <x:v>Can Akın</x:v>
      </x:c>
      <x:c r="E34" s="6" t="str">
        <x:v>Satın Alma</x:v>
      </x:c>
      <x:c r="F34" s="17" t="n">
        <x:v>14</x:v>
      </x:c>
      <x:c r="G34" s="13" t="n">
        <x:v>750</x:v>
      </x:c>
      <x:c r="H34" s="14" t="n">
        <x:f>IF(B34="","",IF(OR(A34="",C34="",NOT(ISNUMBER(F34)),NOT(ISNUMBER(G34))),"Eksik efor",F34*G34))</x:f>
        <x:v>10500</x:v>
      </x:c>
      <x:c r="I34" s="2" t="n">
        <x:f>IF(OR(B34="",C34="",A34="",A34&gt;'Panel'!$N$5),0,IF(COUNTIFS($B$7:B34,B34,$C$7:C34,C34,$A$7:A34,"&lt;="&amp;'Panel'!$N$5)=1,1,0))</x:f>
        <x:v>0</x:v>
      </x:c>
      <x:c r="J34" s="2" t="n">
        <x:f>IF(OR(B34="",C34="",A34="",A34&gt;'Panel'!$N$5,A34&lt;'Panel'!$N$5-WEEKDAY('Panel'!$N$5,2)+1),0,IF(COUNTIFS($B$7:B34,B34,$C$7:C34,C34,$A$7:A34,"&gt;="&amp;('Panel'!$N$5-WEEKDAY('Panel'!$N$5,2)+1),$A$7:A34,"&lt;="&amp;'Panel'!$N$5)=1,1,0))</x:f>
        <x:v>1</x:v>
      </x:c>
    </x:row>
    <x:row r="35" ht="22" customHeight="1">
      <x:c r="A35" s="7" t="n">
        <x:v>46310</x:v>
      </x:c>
      <x:c r="B35" s="6" t="str">
        <x:v>PRJ-001</x:v>
      </x:c>
      <x:c r="C35" s="6" t="str">
        <x:v>P004</x:v>
      </x:c>
      <x:c r="D35" s="6" t="str">
        <x:v>Bora Işık</x:v>
      </x:c>
      <x:c r="E35" s="6" t="str">
        <x:v>Kalite</x:v>
      </x:c>
      <x:c r="F35" s="17" t="n">
        <x:v>10</x:v>
      </x:c>
      <x:c r="G35" s="13" t="n">
        <x:v>800</x:v>
      </x:c>
      <x:c r="H35" s="14" t="n">
        <x:f>IF(B35="","",IF(OR(A35="",C35="",NOT(ISNUMBER(F35)),NOT(ISNUMBER(G35))),"Eksik efor",F35*G35))</x:f>
        <x:v>8000</x:v>
      </x:c>
      <x:c r="I35" s="2" t="n">
        <x:f>IF(OR(B35="",C35="",A35="",A35&gt;'Panel'!$N$5),0,IF(COUNTIFS($B$7:B35,B35,$C$7:C35,C35,$A$7:A35,"&lt;="&amp;'Panel'!$N$5)=1,1,0))</x:f>
        <x:v>0</x:v>
      </x:c>
      <x:c r="J35" s="2" t="n">
        <x:f>IF(OR(B35="",C35="",A35="",A35&gt;'Panel'!$N$5,A35&lt;'Panel'!$N$5-WEEKDAY('Panel'!$N$5,2)+1),0,IF(COUNTIFS($B$7:B35,B35,$C$7:C35,C35,$A$7:A35,"&gt;="&amp;('Panel'!$N$5-WEEKDAY('Panel'!$N$5,2)+1),$A$7:A35,"&lt;="&amp;'Panel'!$N$5)=1,1,0))</x:f>
        <x:v>1</x:v>
      </x:c>
    </x:row>
    <x:row r="36" ht="22" customHeight="1">
      <x:c r="A36" s="7" t="n">
        <x:v>46310</x:v>
      </x:c>
      <x:c r="B36" s="6" t="str">
        <x:v>PRJ-001</x:v>
      </x:c>
      <x:c r="C36" s="6" t="str">
        <x:v>P005</x:v>
      </x:c>
      <x:c r="D36" s="6" t="str">
        <x:v>İpek Acar</x:v>
      </x:c>
      <x:c r="E36" s="6" t="str">
        <x:v>Proje Yönetimi</x:v>
      </x:c>
      <x:c r="F36" s="17" t="n">
        <x:v>12</x:v>
      </x:c>
      <x:c r="G36" s="13" t="n">
        <x:v>1000</x:v>
      </x:c>
      <x:c r="H36" s="14" t="n">
        <x:f>IF(B36="","",IF(OR(A36="",C36="",NOT(ISNUMBER(F36)),NOT(ISNUMBER(G36))),"Eksik efor",F36*G36))</x:f>
        <x:v>12000</x:v>
      </x:c>
      <x:c r="I36" s="2" t="n">
        <x:f>IF(OR(B36="",C36="",A36="",A36&gt;'Panel'!$N$5),0,IF(COUNTIFS($B$7:B36,B36,$C$7:C36,C36,$A$7:A36,"&lt;="&amp;'Panel'!$N$5)=1,1,0))</x:f>
        <x:v>0</x:v>
      </x:c>
      <x:c r="J36" s="2" t="n">
        <x:f>IF(OR(B36="",C36="",A36="",A36&gt;'Panel'!$N$5,A36&lt;'Panel'!$N$5-WEEKDAY('Panel'!$N$5,2)+1),0,IF(COUNTIFS($B$7:B36,B36,$C$7:C36,C36,$A$7:A36,"&gt;="&amp;('Panel'!$N$5-WEEKDAY('Panel'!$N$5,2)+1),$A$7:A36,"&lt;="&amp;'Panel'!$N$5)=1,1,0))</x:f>
        <x:v>1</x:v>
      </x:c>
    </x:row>
    <x:row r="37" ht="22" customHeight="1">
      <x:c r="A37" s="7" t="n">
        <x:v>46275</x:v>
      </x:c>
      <x:c r="B37" s="6" t="str">
        <x:v>PRJ-002</x:v>
      </x:c>
      <x:c r="C37" s="6" t="str">
        <x:v>P006</x:v>
      </x:c>
      <x:c r="D37" s="6" t="str">
        <x:v>Ali Eren</x:v>
      </x:c>
      <x:c r="E37" s="6" t="str">
        <x:v>Bilgi Teknolojileri</x:v>
      </x:c>
      <x:c r="F37" s="17" t="n">
        <x:v>23</x:v>
      </x:c>
      <x:c r="G37" s="13" t="n">
        <x:v>950</x:v>
      </x:c>
      <x:c r="H37" s="14" t="n">
        <x:f>IF(B37="","",IF(OR(A37="",C37="",NOT(ISNUMBER(F37)),NOT(ISNUMBER(G37))),"Eksik efor",F37*G37))</x:f>
        <x:v>21850</x:v>
      </x:c>
      <x:c r="I37" s="2" t="n">
        <x:f>IF(OR(B37="",C37="",A37="",A37&gt;'Panel'!$N$5),0,IF(COUNTIFS($B$7:B37,B37,$C$7:C37,C37,$A$7:A37,"&lt;="&amp;'Panel'!$N$5)=1,1,0))</x:f>
        <x:v>1</x:v>
      </x:c>
      <x:c r="J37" s="2" t="n">
        <x:f>IF(OR(B37="",C37="",A37="",A37&gt;'Panel'!$N$5,A37&lt;'Panel'!$N$5-WEEKDAY('Panel'!$N$5,2)+1),0,IF(COUNTIFS($B$7:B37,B37,$C$7:C37,C37,$A$7:A37,"&gt;="&amp;('Panel'!$N$5-WEEKDAY('Panel'!$N$5,2)+1),$A$7:A37,"&lt;="&amp;'Panel'!$N$5)=1,1,0))</x:f>
        <x:v>0</x:v>
      </x:c>
    </x:row>
    <x:row r="38" ht="22" customHeight="1">
      <x:c r="A38" s="7" t="n">
        <x:v>46275</x:v>
      </x:c>
      <x:c r="B38" s="6" t="str">
        <x:v>PRJ-002</x:v>
      </x:c>
      <x:c r="C38" s="6" t="str">
        <x:v>P007</x:v>
      </x:c>
      <x:c r="D38" s="6" t="str">
        <x:v>Zeynep Çelik</x:v>
      </x:c>
      <x:c r="E38" s="6" t="str">
        <x:v>Bilgi Teknolojileri</x:v>
      </x:c>
      <x:c r="F38" s="17" t="n">
        <x:v>26</x:v>
      </x:c>
      <x:c r="G38" s="13" t="n">
        <x:v>900</x:v>
      </x:c>
      <x:c r="H38" s="14" t="n">
        <x:f>IF(B38="","",IF(OR(A38="",C38="",NOT(ISNUMBER(F38)),NOT(ISNUMBER(G38))),"Eksik efor",F38*G38))</x:f>
        <x:v>23400</x:v>
      </x:c>
      <x:c r="I38" s="2" t="n">
        <x:f>IF(OR(B38="",C38="",A38="",A38&gt;'Panel'!$N$5),0,IF(COUNTIFS($B$7:B38,B38,$C$7:C38,C38,$A$7:A38,"&lt;="&amp;'Panel'!$N$5)=1,1,0))</x:f>
        <x:v>1</x:v>
      </x:c>
      <x:c r="J38" s="2" t="n">
        <x:f>IF(OR(B38="",C38="",A38="",A38&gt;'Panel'!$N$5,A38&lt;'Panel'!$N$5-WEEKDAY('Panel'!$N$5,2)+1),0,IF(COUNTIFS($B$7:B38,B38,$C$7:C38,C38,$A$7:A38,"&gt;="&amp;('Panel'!$N$5-WEEKDAY('Panel'!$N$5,2)+1),$A$7:A38,"&lt;="&amp;'Panel'!$N$5)=1,1,0))</x:f>
        <x:v>0</x:v>
      </x:c>
    </x:row>
    <x:row r="39" ht="22" customHeight="1">
      <x:c r="A39" s="7" t="n">
        <x:v>46275</x:v>
      </x:c>
      <x:c r="B39" s="6" t="str">
        <x:v>PRJ-002</x:v>
      </x:c>
      <x:c r="C39" s="6" t="str">
        <x:v>P004</x:v>
      </x:c>
      <x:c r="D39" s="6" t="str">
        <x:v>Bora Işık</x:v>
      </x:c>
      <x:c r="E39" s="6" t="str">
        <x:v>Kalite</x:v>
      </x:c>
      <x:c r="F39" s="17" t="n">
        <x:v>29</x:v>
      </x:c>
      <x:c r="G39" s="13" t="n">
        <x:v>800</x:v>
      </x:c>
      <x:c r="H39" s="14" t="n">
        <x:f>IF(B39="","",IF(OR(A39="",C39="",NOT(ISNUMBER(F39)),NOT(ISNUMBER(G39))),"Eksik efor",F39*G39))</x:f>
        <x:v>23200</x:v>
      </x:c>
      <x:c r="I39" s="2" t="n">
        <x:f>IF(OR(B39="",C39="",A39="",A39&gt;'Panel'!$N$5),0,IF(COUNTIFS($B$7:B39,B39,$C$7:C39,C39,$A$7:A39,"&lt;="&amp;'Panel'!$N$5)=1,1,0))</x:f>
        <x:v>1</x:v>
      </x:c>
      <x:c r="J39" s="2" t="n">
        <x:f>IF(OR(B39="",C39="",A39="",A39&gt;'Panel'!$N$5,A39&lt;'Panel'!$N$5-WEEKDAY('Panel'!$N$5,2)+1),0,IF(COUNTIFS($B$7:B39,B39,$C$7:C39,C39,$A$7:A39,"&gt;="&amp;('Panel'!$N$5-WEEKDAY('Panel'!$N$5,2)+1),$A$7:A39,"&lt;="&amp;'Panel'!$N$5)=1,1,0))</x:f>
        <x:v>0</x:v>
      </x:c>
    </x:row>
    <x:row r="40" ht="22" customHeight="1">
      <x:c r="A40" s="7" t="n">
        <x:v>46275</x:v>
      </x:c>
      <x:c r="B40" s="6" t="str">
        <x:v>PRJ-002</x:v>
      </x:c>
      <x:c r="C40" s="6" t="str">
        <x:v>P005</x:v>
      </x:c>
      <x:c r="D40" s="6" t="str">
        <x:v>İpek Acar</x:v>
      </x:c>
      <x:c r="E40" s="6" t="str">
        <x:v>Proje Yönetimi</x:v>
      </x:c>
      <x:c r="F40" s="17" t="n">
        <x:v>20</x:v>
      </x:c>
      <x:c r="G40" s="13" t="n">
        <x:v>1000</x:v>
      </x:c>
      <x:c r="H40" s="14" t="n">
        <x:f>IF(B40="","",IF(OR(A40="",C40="",NOT(ISNUMBER(F40)),NOT(ISNUMBER(G40))),"Eksik efor",F40*G40))</x:f>
        <x:v>20000</x:v>
      </x:c>
      <x:c r="I40" s="2" t="n">
        <x:f>IF(OR(B40="",C40="",A40="",A40&gt;'Panel'!$N$5),0,IF(COUNTIFS($B$7:B40,B40,$C$7:C40,C40,$A$7:A40,"&lt;="&amp;'Panel'!$N$5)=1,1,0))</x:f>
        <x:v>1</x:v>
      </x:c>
      <x:c r="J40" s="2" t="n">
        <x:f>IF(OR(B40="",C40="",A40="",A40&gt;'Panel'!$N$5,A40&lt;'Panel'!$N$5-WEEKDAY('Panel'!$N$5,2)+1),0,IF(COUNTIFS($B$7:B40,B40,$C$7:C40,C40,$A$7:A40,"&gt;="&amp;('Panel'!$N$5-WEEKDAY('Panel'!$N$5,2)+1),$A$7:A40,"&lt;="&amp;'Panel'!$N$5)=1,1,0))</x:f>
        <x:v>0</x:v>
      </x:c>
    </x:row>
    <x:row r="41" ht="22" customHeight="1">
      <x:c r="A41" s="7" t="n">
        <x:v>46282</x:v>
      </x:c>
      <x:c r="B41" s="6" t="str">
        <x:v>PRJ-002</x:v>
      </x:c>
      <x:c r="C41" s="6" t="str">
        <x:v>P006</x:v>
      </x:c>
      <x:c r="D41" s="6" t="str">
        <x:v>Ali Eren</x:v>
      </x:c>
      <x:c r="E41" s="6" t="str">
        <x:v>Bilgi Teknolojileri</x:v>
      </x:c>
      <x:c r="F41" s="17" t="n">
        <x:v>23</x:v>
      </x:c>
      <x:c r="G41" s="13" t="n">
        <x:v>950</x:v>
      </x:c>
      <x:c r="H41" s="14" t="n">
        <x:f>IF(B41="","",IF(OR(A41="",C41="",NOT(ISNUMBER(F41)),NOT(ISNUMBER(G41))),"Eksik efor",F41*G41))</x:f>
        <x:v>21850</x:v>
      </x:c>
      <x:c r="I41" s="2" t="n">
        <x:f>IF(OR(B41="",C41="",A41="",A41&gt;'Panel'!$N$5),0,IF(COUNTIFS($B$7:B41,B41,$C$7:C41,C41,$A$7:A41,"&lt;="&amp;'Panel'!$N$5)=1,1,0))</x:f>
        <x:v>0</x:v>
      </x:c>
      <x:c r="J41" s="2" t="n">
        <x:f>IF(OR(B41="",C41="",A41="",A41&gt;'Panel'!$N$5,A41&lt;'Panel'!$N$5-WEEKDAY('Panel'!$N$5,2)+1),0,IF(COUNTIFS($B$7:B41,B41,$C$7:C41,C41,$A$7:A41,"&gt;="&amp;('Panel'!$N$5-WEEKDAY('Panel'!$N$5,2)+1),$A$7:A41,"&lt;="&amp;'Panel'!$N$5)=1,1,0))</x:f>
        <x:v>0</x:v>
      </x:c>
    </x:row>
    <x:row r="42" ht="22" customHeight="1">
      <x:c r="A42" s="7" t="n">
        <x:v>46282</x:v>
      </x:c>
      <x:c r="B42" s="6" t="str">
        <x:v>PRJ-002</x:v>
      </x:c>
      <x:c r="C42" s="6" t="str">
        <x:v>P007</x:v>
      </x:c>
      <x:c r="D42" s="6" t="str">
        <x:v>Zeynep Çelik</x:v>
      </x:c>
      <x:c r="E42" s="6" t="str">
        <x:v>Bilgi Teknolojileri</x:v>
      </x:c>
      <x:c r="F42" s="17" t="n">
        <x:v>26</x:v>
      </x:c>
      <x:c r="G42" s="13" t="n">
        <x:v>900</x:v>
      </x:c>
      <x:c r="H42" s="14" t="n">
        <x:f>IF(B42="","",IF(OR(A42="",C42="",NOT(ISNUMBER(F42)),NOT(ISNUMBER(G42))),"Eksik efor",F42*G42))</x:f>
        <x:v>23400</x:v>
      </x:c>
      <x:c r="I42" s="2" t="n">
        <x:f>IF(OR(B42="",C42="",A42="",A42&gt;'Panel'!$N$5),0,IF(COUNTIFS($B$7:B42,B42,$C$7:C42,C42,$A$7:A42,"&lt;="&amp;'Panel'!$N$5)=1,1,0))</x:f>
        <x:v>0</x:v>
      </x:c>
      <x:c r="J42" s="2" t="n">
        <x:f>IF(OR(B42="",C42="",A42="",A42&gt;'Panel'!$N$5,A42&lt;'Panel'!$N$5-WEEKDAY('Panel'!$N$5,2)+1),0,IF(COUNTIFS($B$7:B42,B42,$C$7:C42,C42,$A$7:A42,"&gt;="&amp;('Panel'!$N$5-WEEKDAY('Panel'!$N$5,2)+1),$A$7:A42,"&lt;="&amp;'Panel'!$N$5)=1,1,0))</x:f>
        <x:v>0</x:v>
      </x:c>
    </x:row>
    <x:row r="43" ht="22" customHeight="1">
      <x:c r="A43" s="7" t="n">
        <x:v>46282</x:v>
      </x:c>
      <x:c r="B43" s="6" t="str">
        <x:v>PRJ-002</x:v>
      </x:c>
      <x:c r="C43" s="6" t="str">
        <x:v>P004</x:v>
      </x:c>
      <x:c r="D43" s="6" t="str">
        <x:v>Bora Işık</x:v>
      </x:c>
      <x:c r="E43" s="6" t="str">
        <x:v>Kalite</x:v>
      </x:c>
      <x:c r="F43" s="17" t="n">
        <x:v>29</x:v>
      </x:c>
      <x:c r="G43" s="13" t="n">
        <x:v>800</x:v>
      </x:c>
      <x:c r="H43" s="14" t="n">
        <x:f>IF(B43="","",IF(OR(A43="",C43="",NOT(ISNUMBER(F43)),NOT(ISNUMBER(G43))),"Eksik efor",F43*G43))</x:f>
        <x:v>23200</x:v>
      </x:c>
      <x:c r="I43" s="2" t="n">
        <x:f>IF(OR(B43="",C43="",A43="",A43&gt;'Panel'!$N$5),0,IF(COUNTIFS($B$7:B43,B43,$C$7:C43,C43,$A$7:A43,"&lt;="&amp;'Panel'!$N$5)=1,1,0))</x:f>
        <x:v>0</x:v>
      </x:c>
      <x:c r="J43" s="2" t="n">
        <x:f>IF(OR(B43="",C43="",A43="",A43&gt;'Panel'!$N$5,A43&lt;'Panel'!$N$5-WEEKDAY('Panel'!$N$5,2)+1),0,IF(COUNTIFS($B$7:B43,B43,$C$7:C43,C43,$A$7:A43,"&gt;="&amp;('Panel'!$N$5-WEEKDAY('Panel'!$N$5,2)+1),$A$7:A43,"&lt;="&amp;'Panel'!$N$5)=1,1,0))</x:f>
        <x:v>0</x:v>
      </x:c>
    </x:row>
    <x:row r="44" ht="22" customHeight="1">
      <x:c r="A44" s="7" t="n">
        <x:v>46282</x:v>
      </x:c>
      <x:c r="B44" s="6" t="str">
        <x:v>PRJ-002</x:v>
      </x:c>
      <x:c r="C44" s="6" t="str">
        <x:v>P005</x:v>
      </x:c>
      <x:c r="D44" s="6" t="str">
        <x:v>İpek Acar</x:v>
      </x:c>
      <x:c r="E44" s="6" t="str">
        <x:v>Proje Yönetimi</x:v>
      </x:c>
      <x:c r="F44" s="17" t="n">
        <x:v>20</x:v>
      </x:c>
      <x:c r="G44" s="13" t="n">
        <x:v>1000</x:v>
      </x:c>
      <x:c r="H44" s="14" t="n">
        <x:f>IF(B44="","",IF(OR(A44="",C44="",NOT(ISNUMBER(F44)),NOT(ISNUMBER(G44))),"Eksik efor",F44*G44))</x:f>
        <x:v>20000</x:v>
      </x:c>
      <x:c r="I44" s="2" t="n">
        <x:f>IF(OR(B44="",C44="",A44="",A44&gt;'Panel'!$N$5),0,IF(COUNTIFS($B$7:B44,B44,$C$7:C44,C44,$A$7:A44,"&lt;="&amp;'Panel'!$N$5)=1,1,0))</x:f>
        <x:v>0</x:v>
      </x:c>
      <x:c r="J44" s="2" t="n">
        <x:f>IF(OR(B44="",C44="",A44="",A44&gt;'Panel'!$N$5,A44&lt;'Panel'!$N$5-WEEKDAY('Panel'!$N$5,2)+1),0,IF(COUNTIFS($B$7:B44,B44,$C$7:C44,C44,$A$7:A44,"&gt;="&amp;('Panel'!$N$5-WEEKDAY('Panel'!$N$5,2)+1),$A$7:A44,"&lt;="&amp;'Panel'!$N$5)=1,1,0))</x:f>
        <x:v>0</x:v>
      </x:c>
    </x:row>
    <x:row r="45" ht="22" customHeight="1">
      <x:c r="A45" s="7" t="n">
        <x:v>46289</x:v>
      </x:c>
      <x:c r="B45" s="6" t="str">
        <x:v>PRJ-002</x:v>
      </x:c>
      <x:c r="C45" s="6" t="str">
        <x:v>P006</x:v>
      </x:c>
      <x:c r="D45" s="6" t="str">
        <x:v>Ali Eren</x:v>
      </x:c>
      <x:c r="E45" s="6" t="str">
        <x:v>Bilgi Teknolojileri</x:v>
      </x:c>
      <x:c r="F45" s="17" t="n">
        <x:v>23</x:v>
      </x:c>
      <x:c r="G45" s="13" t="n">
        <x:v>950</x:v>
      </x:c>
      <x:c r="H45" s="14" t="n">
        <x:f>IF(B45="","",IF(OR(A45="",C45="",NOT(ISNUMBER(F45)),NOT(ISNUMBER(G45))),"Eksik efor",F45*G45))</x:f>
        <x:v>21850</x:v>
      </x:c>
      <x:c r="I45" s="2" t="n">
        <x:f>IF(OR(B45="",C45="",A45="",A45&gt;'Panel'!$N$5),0,IF(COUNTIFS($B$7:B45,B45,$C$7:C45,C45,$A$7:A45,"&lt;="&amp;'Panel'!$N$5)=1,1,0))</x:f>
        <x:v>0</x:v>
      </x:c>
      <x:c r="J45" s="2" t="n">
        <x:f>IF(OR(B45="",C45="",A45="",A45&gt;'Panel'!$N$5,A45&lt;'Panel'!$N$5-WEEKDAY('Panel'!$N$5,2)+1),0,IF(COUNTIFS($B$7:B45,B45,$C$7:C45,C45,$A$7:A45,"&gt;="&amp;('Panel'!$N$5-WEEKDAY('Panel'!$N$5,2)+1),$A$7:A45,"&lt;="&amp;'Panel'!$N$5)=1,1,0))</x:f>
        <x:v>0</x:v>
      </x:c>
    </x:row>
    <x:row r="46" ht="22" customHeight="1">
      <x:c r="A46" s="7" t="n">
        <x:v>46289</x:v>
      </x:c>
      <x:c r="B46" s="6" t="str">
        <x:v>PRJ-002</x:v>
      </x:c>
      <x:c r="C46" s="6" t="str">
        <x:v>P007</x:v>
      </x:c>
      <x:c r="D46" s="6" t="str">
        <x:v>Zeynep Çelik</x:v>
      </x:c>
      <x:c r="E46" s="6" t="str">
        <x:v>Bilgi Teknolojileri</x:v>
      </x:c>
      <x:c r="F46" s="17" t="n">
        <x:v>26</x:v>
      </x:c>
      <x:c r="G46" s="13" t="n">
        <x:v>900</x:v>
      </x:c>
      <x:c r="H46" s="14" t="n">
        <x:f>IF(B46="","",IF(OR(A46="",C46="",NOT(ISNUMBER(F46)),NOT(ISNUMBER(G46))),"Eksik efor",F46*G46))</x:f>
        <x:v>23400</x:v>
      </x:c>
      <x:c r="I46" s="2" t="n">
        <x:f>IF(OR(B46="",C46="",A46="",A46&gt;'Panel'!$N$5),0,IF(COUNTIFS($B$7:B46,B46,$C$7:C46,C46,$A$7:A46,"&lt;="&amp;'Panel'!$N$5)=1,1,0))</x:f>
        <x:v>0</x:v>
      </x:c>
      <x:c r="J46" s="2" t="n">
        <x:f>IF(OR(B46="",C46="",A46="",A46&gt;'Panel'!$N$5,A46&lt;'Panel'!$N$5-WEEKDAY('Panel'!$N$5,2)+1),0,IF(COUNTIFS($B$7:B46,B46,$C$7:C46,C46,$A$7:A46,"&gt;="&amp;('Panel'!$N$5-WEEKDAY('Panel'!$N$5,2)+1),$A$7:A46,"&lt;="&amp;'Panel'!$N$5)=1,1,0))</x:f>
        <x:v>0</x:v>
      </x:c>
    </x:row>
    <x:row r="47" ht="22" customHeight="1">
      <x:c r="A47" s="7" t="n">
        <x:v>46289</x:v>
      </x:c>
      <x:c r="B47" s="6" t="str">
        <x:v>PRJ-002</x:v>
      </x:c>
      <x:c r="C47" s="6" t="str">
        <x:v>P004</x:v>
      </x:c>
      <x:c r="D47" s="6" t="str">
        <x:v>Bora Işık</x:v>
      </x:c>
      <x:c r="E47" s="6" t="str">
        <x:v>Kalite</x:v>
      </x:c>
      <x:c r="F47" s="17" t="n">
        <x:v>29</x:v>
      </x:c>
      <x:c r="G47" s="13" t="n">
        <x:v>800</x:v>
      </x:c>
      <x:c r="H47" s="14" t="n">
        <x:f>IF(B47="","",IF(OR(A47="",C47="",NOT(ISNUMBER(F47)),NOT(ISNUMBER(G47))),"Eksik efor",F47*G47))</x:f>
        <x:v>23200</x:v>
      </x:c>
      <x:c r="I47" s="2" t="n">
        <x:f>IF(OR(B47="",C47="",A47="",A47&gt;'Panel'!$N$5),0,IF(COUNTIFS($B$7:B47,B47,$C$7:C47,C47,$A$7:A47,"&lt;="&amp;'Panel'!$N$5)=1,1,0))</x:f>
        <x:v>0</x:v>
      </x:c>
      <x:c r="J47" s="2" t="n">
        <x:f>IF(OR(B47="",C47="",A47="",A47&gt;'Panel'!$N$5,A47&lt;'Panel'!$N$5-WEEKDAY('Panel'!$N$5,2)+1),0,IF(COUNTIFS($B$7:B47,B47,$C$7:C47,C47,$A$7:A47,"&gt;="&amp;('Panel'!$N$5-WEEKDAY('Panel'!$N$5,2)+1),$A$7:A47,"&lt;="&amp;'Panel'!$N$5)=1,1,0))</x:f>
        <x:v>0</x:v>
      </x:c>
    </x:row>
    <x:row r="48" ht="22" customHeight="1">
      <x:c r="A48" s="7" t="n">
        <x:v>46289</x:v>
      </x:c>
      <x:c r="B48" s="6" t="str">
        <x:v>PRJ-002</x:v>
      </x:c>
      <x:c r="C48" s="6" t="str">
        <x:v>P005</x:v>
      </x:c>
      <x:c r="D48" s="6" t="str">
        <x:v>İpek Acar</x:v>
      </x:c>
      <x:c r="E48" s="6" t="str">
        <x:v>Proje Yönetimi</x:v>
      </x:c>
      <x:c r="F48" s="17" t="n">
        <x:v>20</x:v>
      </x:c>
      <x:c r="G48" s="13" t="n">
        <x:v>1000</x:v>
      </x:c>
      <x:c r="H48" s="14" t="n">
        <x:f>IF(B48="","",IF(OR(A48="",C48="",NOT(ISNUMBER(F48)),NOT(ISNUMBER(G48))),"Eksik efor",F48*G48))</x:f>
        <x:v>20000</x:v>
      </x:c>
      <x:c r="I48" s="2" t="n">
        <x:f>IF(OR(B48="",C48="",A48="",A48&gt;'Panel'!$N$5),0,IF(COUNTIFS($B$7:B48,B48,$C$7:C48,C48,$A$7:A48,"&lt;="&amp;'Panel'!$N$5)=1,1,0))</x:f>
        <x:v>0</x:v>
      </x:c>
      <x:c r="J48" s="2" t="n">
        <x:f>IF(OR(B48="",C48="",A48="",A48&gt;'Panel'!$N$5,A48&lt;'Panel'!$N$5-WEEKDAY('Panel'!$N$5,2)+1),0,IF(COUNTIFS($B$7:B48,B48,$C$7:C48,C48,$A$7:A48,"&gt;="&amp;('Panel'!$N$5-WEEKDAY('Panel'!$N$5,2)+1),$A$7:A48,"&lt;="&amp;'Panel'!$N$5)=1,1,0))</x:f>
        <x:v>0</x:v>
      </x:c>
    </x:row>
    <x:row r="49" ht="22" customHeight="1">
      <x:c r="A49" s="7" t="n">
        <x:v>46296</x:v>
      </x:c>
      <x:c r="B49" s="6" t="str">
        <x:v>PRJ-002</x:v>
      </x:c>
      <x:c r="C49" s="6" t="str">
        <x:v>P006</x:v>
      </x:c>
      <x:c r="D49" s="6" t="str">
        <x:v>Ali Eren</x:v>
      </x:c>
      <x:c r="E49" s="6" t="str">
        <x:v>Bilgi Teknolojileri</x:v>
      </x:c>
      <x:c r="F49" s="17" t="n">
        <x:v>23</x:v>
      </x:c>
      <x:c r="G49" s="13" t="n">
        <x:v>950</x:v>
      </x:c>
      <x:c r="H49" s="14" t="n">
        <x:f>IF(B49="","",IF(OR(A49="",C49="",NOT(ISNUMBER(F49)),NOT(ISNUMBER(G49))),"Eksik efor",F49*G49))</x:f>
        <x:v>21850</x:v>
      </x:c>
      <x:c r="I49" s="2" t="n">
        <x:f>IF(OR(B49="",C49="",A49="",A49&gt;'Panel'!$N$5),0,IF(COUNTIFS($B$7:B49,B49,$C$7:C49,C49,$A$7:A49,"&lt;="&amp;'Panel'!$N$5)=1,1,0))</x:f>
        <x:v>0</x:v>
      </x:c>
      <x:c r="J49" s="2" t="n">
        <x:f>IF(OR(B49="",C49="",A49="",A49&gt;'Panel'!$N$5,A49&lt;'Panel'!$N$5-WEEKDAY('Panel'!$N$5,2)+1),0,IF(COUNTIFS($B$7:B49,B49,$C$7:C49,C49,$A$7:A49,"&gt;="&amp;('Panel'!$N$5-WEEKDAY('Panel'!$N$5,2)+1),$A$7:A49,"&lt;="&amp;'Panel'!$N$5)=1,1,0))</x:f>
        <x:v>0</x:v>
      </x:c>
    </x:row>
    <x:row r="50" ht="22" customHeight="1">
      <x:c r="A50" s="7" t="n">
        <x:v>46296</x:v>
      </x:c>
      <x:c r="B50" s="6" t="str">
        <x:v>PRJ-002</x:v>
      </x:c>
      <x:c r="C50" s="6" t="str">
        <x:v>P007</x:v>
      </x:c>
      <x:c r="D50" s="6" t="str">
        <x:v>Zeynep Çelik</x:v>
      </x:c>
      <x:c r="E50" s="6" t="str">
        <x:v>Bilgi Teknolojileri</x:v>
      </x:c>
      <x:c r="F50" s="17" t="n">
        <x:v>26</x:v>
      </x:c>
      <x:c r="G50" s="13" t="n">
        <x:v>900</x:v>
      </x:c>
      <x:c r="H50" s="14" t="n">
        <x:f>IF(B50="","",IF(OR(A50="",C50="",NOT(ISNUMBER(F50)),NOT(ISNUMBER(G50))),"Eksik efor",F50*G50))</x:f>
        <x:v>23400</x:v>
      </x:c>
      <x:c r="I50" s="2" t="n">
        <x:f>IF(OR(B50="",C50="",A50="",A50&gt;'Panel'!$N$5),0,IF(COUNTIFS($B$7:B50,B50,$C$7:C50,C50,$A$7:A50,"&lt;="&amp;'Panel'!$N$5)=1,1,0))</x:f>
        <x:v>0</x:v>
      </x:c>
      <x:c r="J50" s="2" t="n">
        <x:f>IF(OR(B50="",C50="",A50="",A50&gt;'Panel'!$N$5,A50&lt;'Panel'!$N$5-WEEKDAY('Panel'!$N$5,2)+1),0,IF(COUNTIFS($B$7:B50,B50,$C$7:C50,C50,$A$7:A50,"&gt;="&amp;('Panel'!$N$5-WEEKDAY('Panel'!$N$5,2)+1),$A$7:A50,"&lt;="&amp;'Panel'!$N$5)=1,1,0))</x:f>
        <x:v>0</x:v>
      </x:c>
    </x:row>
    <x:row r="51" ht="22" customHeight="1">
      <x:c r="A51" s="7" t="n">
        <x:v>46296</x:v>
      </x:c>
      <x:c r="B51" s="6" t="str">
        <x:v>PRJ-002</x:v>
      </x:c>
      <x:c r="C51" s="6" t="str">
        <x:v>P004</x:v>
      </x:c>
      <x:c r="D51" s="6" t="str">
        <x:v>Bora Işık</x:v>
      </x:c>
      <x:c r="E51" s="6" t="str">
        <x:v>Kalite</x:v>
      </x:c>
      <x:c r="F51" s="17" t="n">
        <x:v>29</x:v>
      </x:c>
      <x:c r="G51" s="13" t="n">
        <x:v>800</x:v>
      </x:c>
      <x:c r="H51" s="14" t="n">
        <x:f>IF(B51="","",IF(OR(A51="",C51="",NOT(ISNUMBER(F51)),NOT(ISNUMBER(G51))),"Eksik efor",F51*G51))</x:f>
        <x:v>23200</x:v>
      </x:c>
      <x:c r="I51" s="2" t="n">
        <x:f>IF(OR(B51="",C51="",A51="",A51&gt;'Panel'!$N$5),0,IF(COUNTIFS($B$7:B51,B51,$C$7:C51,C51,$A$7:A51,"&lt;="&amp;'Panel'!$N$5)=1,1,0))</x:f>
        <x:v>0</x:v>
      </x:c>
      <x:c r="J51" s="2" t="n">
        <x:f>IF(OR(B51="",C51="",A51="",A51&gt;'Panel'!$N$5,A51&lt;'Panel'!$N$5-WEEKDAY('Panel'!$N$5,2)+1),0,IF(COUNTIFS($B$7:B51,B51,$C$7:C51,C51,$A$7:A51,"&gt;="&amp;('Panel'!$N$5-WEEKDAY('Panel'!$N$5,2)+1),$A$7:A51,"&lt;="&amp;'Panel'!$N$5)=1,1,0))</x:f>
        <x:v>0</x:v>
      </x:c>
    </x:row>
    <x:row r="52" ht="22" customHeight="1">
      <x:c r="A52" s="7" t="n">
        <x:v>46296</x:v>
      </x:c>
      <x:c r="B52" s="6" t="str">
        <x:v>PRJ-002</x:v>
      </x:c>
      <x:c r="C52" s="6" t="str">
        <x:v>P005</x:v>
      </x:c>
      <x:c r="D52" s="6" t="str">
        <x:v>İpek Acar</x:v>
      </x:c>
      <x:c r="E52" s="6" t="str">
        <x:v>Proje Yönetimi</x:v>
      </x:c>
      <x:c r="F52" s="17" t="n">
        <x:v>20</x:v>
      </x:c>
      <x:c r="G52" s="13" t="n">
        <x:v>1000</x:v>
      </x:c>
      <x:c r="H52" s="14" t="n">
        <x:f>IF(B52="","",IF(OR(A52="",C52="",NOT(ISNUMBER(F52)),NOT(ISNUMBER(G52))),"Eksik efor",F52*G52))</x:f>
        <x:v>20000</x:v>
      </x:c>
      <x:c r="I52" s="2" t="n">
        <x:f>IF(OR(B52="",C52="",A52="",A52&gt;'Panel'!$N$5),0,IF(COUNTIFS($B$7:B52,B52,$C$7:C52,C52,$A$7:A52,"&lt;="&amp;'Panel'!$N$5)=1,1,0))</x:f>
        <x:v>0</x:v>
      </x:c>
      <x:c r="J52" s="2" t="n">
        <x:f>IF(OR(B52="",C52="",A52="",A52&gt;'Panel'!$N$5,A52&lt;'Panel'!$N$5-WEEKDAY('Panel'!$N$5,2)+1),0,IF(COUNTIFS($B$7:B52,B52,$C$7:C52,C52,$A$7:A52,"&gt;="&amp;('Panel'!$N$5-WEEKDAY('Panel'!$N$5,2)+1),$A$7:A52,"&lt;="&amp;'Panel'!$N$5)=1,1,0))</x:f>
        <x:v>0</x:v>
      </x:c>
    </x:row>
    <x:row r="53" ht="22" customHeight="1">
      <x:c r="A53" s="7" t="n">
        <x:v>46303</x:v>
      </x:c>
      <x:c r="B53" s="6" t="str">
        <x:v>PRJ-002</x:v>
      </x:c>
      <x:c r="C53" s="6" t="str">
        <x:v>P006</x:v>
      </x:c>
      <x:c r="D53" s="6" t="str">
        <x:v>Ali Eren</x:v>
      </x:c>
      <x:c r="E53" s="6" t="str">
        <x:v>Bilgi Teknolojileri</x:v>
      </x:c>
      <x:c r="F53" s="17" t="n">
        <x:v>23</x:v>
      </x:c>
      <x:c r="G53" s="13" t="n">
        <x:v>950</x:v>
      </x:c>
      <x:c r="H53" s="14" t="n">
        <x:f>IF(B53="","",IF(OR(A53="",C53="",NOT(ISNUMBER(F53)),NOT(ISNUMBER(G53))),"Eksik efor",F53*G53))</x:f>
        <x:v>21850</x:v>
      </x:c>
      <x:c r="I53" s="2" t="n">
        <x:f>IF(OR(B53="",C53="",A53="",A53&gt;'Panel'!$N$5),0,IF(COUNTIFS($B$7:B53,B53,$C$7:C53,C53,$A$7:A53,"&lt;="&amp;'Panel'!$N$5)=1,1,0))</x:f>
        <x:v>0</x:v>
      </x:c>
      <x:c r="J53" s="2" t="n">
        <x:f>IF(OR(B53="",C53="",A53="",A53&gt;'Panel'!$N$5,A53&lt;'Panel'!$N$5-WEEKDAY('Panel'!$N$5,2)+1),0,IF(COUNTIFS($B$7:B53,B53,$C$7:C53,C53,$A$7:A53,"&gt;="&amp;('Panel'!$N$5-WEEKDAY('Panel'!$N$5,2)+1),$A$7:A53,"&lt;="&amp;'Panel'!$N$5)=1,1,0))</x:f>
        <x:v>0</x:v>
      </x:c>
    </x:row>
    <x:row r="54" ht="22" customHeight="1">
      <x:c r="A54" s="7" t="n">
        <x:v>46303</x:v>
      </x:c>
      <x:c r="B54" s="6" t="str">
        <x:v>PRJ-002</x:v>
      </x:c>
      <x:c r="C54" s="6" t="str">
        <x:v>P007</x:v>
      </x:c>
      <x:c r="D54" s="6" t="str">
        <x:v>Zeynep Çelik</x:v>
      </x:c>
      <x:c r="E54" s="6" t="str">
        <x:v>Bilgi Teknolojileri</x:v>
      </x:c>
      <x:c r="F54" s="17" t="n">
        <x:v>26</x:v>
      </x:c>
      <x:c r="G54" s="13" t="n">
        <x:v>900</x:v>
      </x:c>
      <x:c r="H54" s="14" t="n">
        <x:f>IF(B54="","",IF(OR(A54="",C54="",NOT(ISNUMBER(F54)),NOT(ISNUMBER(G54))),"Eksik efor",F54*G54))</x:f>
        <x:v>23400</x:v>
      </x:c>
      <x:c r="I54" s="2" t="n">
        <x:f>IF(OR(B54="",C54="",A54="",A54&gt;'Panel'!$N$5),0,IF(COUNTIFS($B$7:B54,B54,$C$7:C54,C54,$A$7:A54,"&lt;="&amp;'Panel'!$N$5)=1,1,0))</x:f>
        <x:v>0</x:v>
      </x:c>
      <x:c r="J54" s="2" t="n">
        <x:f>IF(OR(B54="",C54="",A54="",A54&gt;'Panel'!$N$5,A54&lt;'Panel'!$N$5-WEEKDAY('Panel'!$N$5,2)+1),0,IF(COUNTIFS($B$7:B54,B54,$C$7:C54,C54,$A$7:A54,"&gt;="&amp;('Panel'!$N$5-WEEKDAY('Panel'!$N$5,2)+1),$A$7:A54,"&lt;="&amp;'Panel'!$N$5)=1,1,0))</x:f>
        <x:v>0</x:v>
      </x:c>
    </x:row>
    <x:row r="55" ht="22" customHeight="1">
      <x:c r="A55" s="7" t="n">
        <x:v>46303</x:v>
      </x:c>
      <x:c r="B55" s="6" t="str">
        <x:v>PRJ-002</x:v>
      </x:c>
      <x:c r="C55" s="6" t="str">
        <x:v>P004</x:v>
      </x:c>
      <x:c r="D55" s="6" t="str">
        <x:v>Bora Işık</x:v>
      </x:c>
      <x:c r="E55" s="6" t="str">
        <x:v>Kalite</x:v>
      </x:c>
      <x:c r="F55" s="17" t="n">
        <x:v>29</x:v>
      </x:c>
      <x:c r="G55" s="13" t="n">
        <x:v>800</x:v>
      </x:c>
      <x:c r="H55" s="14" t="n">
        <x:f>IF(B55="","",IF(OR(A55="",C55="",NOT(ISNUMBER(F55)),NOT(ISNUMBER(G55))),"Eksik efor",F55*G55))</x:f>
        <x:v>23200</x:v>
      </x:c>
      <x:c r="I55" s="2" t="n">
        <x:f>IF(OR(B55="",C55="",A55="",A55&gt;'Panel'!$N$5),0,IF(COUNTIFS($B$7:B55,B55,$C$7:C55,C55,$A$7:A55,"&lt;="&amp;'Panel'!$N$5)=1,1,0))</x:f>
        <x:v>0</x:v>
      </x:c>
      <x:c r="J55" s="2" t="n">
        <x:f>IF(OR(B55="",C55="",A55="",A55&gt;'Panel'!$N$5,A55&lt;'Panel'!$N$5-WEEKDAY('Panel'!$N$5,2)+1),0,IF(COUNTIFS($B$7:B55,B55,$C$7:C55,C55,$A$7:A55,"&gt;="&amp;('Panel'!$N$5-WEEKDAY('Panel'!$N$5,2)+1),$A$7:A55,"&lt;="&amp;'Panel'!$N$5)=1,1,0))</x:f>
        <x:v>0</x:v>
      </x:c>
    </x:row>
    <x:row r="56" ht="22" customHeight="1">
      <x:c r="A56" s="7" t="n">
        <x:v>46303</x:v>
      </x:c>
      <x:c r="B56" s="6" t="str">
        <x:v>PRJ-002</x:v>
      </x:c>
      <x:c r="C56" s="6" t="str">
        <x:v>P005</x:v>
      </x:c>
      <x:c r="D56" s="6" t="str">
        <x:v>İpek Acar</x:v>
      </x:c>
      <x:c r="E56" s="6" t="str">
        <x:v>Proje Yönetimi</x:v>
      </x:c>
      <x:c r="F56" s="17" t="n">
        <x:v>20</x:v>
      </x:c>
      <x:c r="G56" s="13" t="n">
        <x:v>1000</x:v>
      </x:c>
      <x:c r="H56" s="14" t="n">
        <x:f>IF(B56="","",IF(OR(A56="",C56="",NOT(ISNUMBER(F56)),NOT(ISNUMBER(G56))),"Eksik efor",F56*G56))</x:f>
        <x:v>20000</x:v>
      </x:c>
      <x:c r="I56" s="2" t="n">
        <x:f>IF(OR(B56="",C56="",A56="",A56&gt;'Panel'!$N$5),0,IF(COUNTIFS($B$7:B56,B56,$C$7:C56,C56,$A$7:A56,"&lt;="&amp;'Panel'!$N$5)=1,1,0))</x:f>
        <x:v>0</x:v>
      </x:c>
      <x:c r="J56" s="2" t="n">
        <x:f>IF(OR(B56="",C56="",A56="",A56&gt;'Panel'!$N$5,A56&lt;'Panel'!$N$5-WEEKDAY('Panel'!$N$5,2)+1),0,IF(COUNTIFS($B$7:B56,B56,$C$7:C56,C56,$A$7:A56,"&gt;="&amp;('Panel'!$N$5-WEEKDAY('Panel'!$N$5,2)+1),$A$7:A56,"&lt;="&amp;'Panel'!$N$5)=1,1,0))</x:f>
        <x:v>0</x:v>
      </x:c>
    </x:row>
    <x:row r="57" ht="22" customHeight="1">
      <x:c r="A57" s="7" t="n">
        <x:v>46310</x:v>
      </x:c>
      <x:c r="B57" s="6" t="str">
        <x:v>PRJ-002</x:v>
      </x:c>
      <x:c r="C57" s="6" t="str">
        <x:v>P006</x:v>
      </x:c>
      <x:c r="D57" s="6" t="str">
        <x:v>Ali Eren</x:v>
      </x:c>
      <x:c r="E57" s="6" t="str">
        <x:v>Bilgi Teknolojileri</x:v>
      </x:c>
      <x:c r="F57" s="17" t="n">
        <x:v>14</x:v>
      </x:c>
      <x:c r="G57" s="13" t="n">
        <x:v>950</x:v>
      </x:c>
      <x:c r="H57" s="14" t="n">
        <x:f>IF(B57="","",IF(OR(A57="",C57="",NOT(ISNUMBER(F57)),NOT(ISNUMBER(G57))),"Eksik efor",F57*G57))</x:f>
        <x:v>13300</x:v>
      </x:c>
      <x:c r="I57" s="2" t="n">
        <x:f>IF(OR(B57="",C57="",A57="",A57&gt;'Panel'!$N$5),0,IF(COUNTIFS($B$7:B57,B57,$C$7:C57,C57,$A$7:A57,"&lt;="&amp;'Panel'!$N$5)=1,1,0))</x:f>
        <x:v>0</x:v>
      </x:c>
      <x:c r="J57" s="2" t="n">
        <x:f>IF(OR(B57="",C57="",A57="",A57&gt;'Panel'!$N$5,A57&lt;'Panel'!$N$5-WEEKDAY('Panel'!$N$5,2)+1),0,IF(COUNTIFS($B$7:B57,B57,$C$7:C57,C57,$A$7:A57,"&gt;="&amp;('Panel'!$N$5-WEEKDAY('Panel'!$N$5,2)+1),$A$7:A57,"&lt;="&amp;'Panel'!$N$5)=1,1,0))</x:f>
        <x:v>1</x:v>
      </x:c>
    </x:row>
    <x:row r="58" ht="22" customHeight="1">
      <x:c r="A58" s="7" t="n">
        <x:v>46310</x:v>
      </x:c>
      <x:c r="B58" s="6" t="str">
        <x:v>PRJ-002</x:v>
      </x:c>
      <x:c r="C58" s="6" t="str">
        <x:v>P007</x:v>
      </x:c>
      <x:c r="D58" s="6" t="str">
        <x:v>Zeynep Çelik</x:v>
      </x:c>
      <x:c r="E58" s="6" t="str">
        <x:v>Bilgi Teknolojileri</x:v>
      </x:c>
      <x:c r="F58" s="17" t="n">
        <x:v>10</x:v>
      </x:c>
      <x:c r="G58" s="13" t="n">
        <x:v>900</x:v>
      </x:c>
      <x:c r="H58" s="14" t="n">
        <x:f>IF(B58="","",IF(OR(A58="",C58="",NOT(ISNUMBER(F58)),NOT(ISNUMBER(G58))),"Eksik efor",F58*G58))</x:f>
        <x:v>9000</x:v>
      </x:c>
      <x:c r="I58" s="2" t="n">
        <x:f>IF(OR(B58="",C58="",A58="",A58&gt;'Panel'!$N$5),0,IF(COUNTIFS($B$7:B58,B58,$C$7:C58,C58,$A$7:A58,"&lt;="&amp;'Panel'!$N$5)=1,1,0))</x:f>
        <x:v>0</x:v>
      </x:c>
      <x:c r="J58" s="2" t="n">
        <x:f>IF(OR(B58="",C58="",A58="",A58&gt;'Panel'!$N$5,A58&lt;'Panel'!$N$5-WEEKDAY('Panel'!$N$5,2)+1),0,IF(COUNTIFS($B$7:B58,B58,$C$7:C58,C58,$A$7:A58,"&gt;="&amp;('Panel'!$N$5-WEEKDAY('Panel'!$N$5,2)+1),$A$7:A58,"&lt;="&amp;'Panel'!$N$5)=1,1,0))</x:f>
        <x:v>1</x:v>
      </x:c>
    </x:row>
    <x:row r="59" ht="22" customHeight="1">
      <x:c r="A59" s="7" t="n">
        <x:v>46310</x:v>
      </x:c>
      <x:c r="B59" s="6" t="str">
        <x:v>PRJ-002</x:v>
      </x:c>
      <x:c r="C59" s="6" t="str">
        <x:v>P004</x:v>
      </x:c>
      <x:c r="D59" s="6" t="str">
        <x:v>Bora Işık</x:v>
      </x:c>
      <x:c r="E59" s="6" t="str">
        <x:v>Kalite</x:v>
      </x:c>
      <x:c r="F59" s="17" t="n">
        <x:v>10</x:v>
      </x:c>
      <x:c r="G59" s="13" t="n">
        <x:v>800</x:v>
      </x:c>
      <x:c r="H59" s="14" t="n">
        <x:f>IF(B59="","",IF(OR(A59="",C59="",NOT(ISNUMBER(F59)),NOT(ISNUMBER(G59))),"Eksik efor",F59*G59))</x:f>
        <x:v>8000</x:v>
      </x:c>
      <x:c r="I59" s="2" t="n">
        <x:f>IF(OR(B59="",C59="",A59="",A59&gt;'Panel'!$N$5),0,IF(COUNTIFS($B$7:B59,B59,$C$7:C59,C59,$A$7:A59,"&lt;="&amp;'Panel'!$N$5)=1,1,0))</x:f>
        <x:v>0</x:v>
      </x:c>
      <x:c r="J59" s="2" t="n">
        <x:f>IF(OR(B59="",C59="",A59="",A59&gt;'Panel'!$N$5,A59&lt;'Panel'!$N$5-WEEKDAY('Panel'!$N$5,2)+1),0,IF(COUNTIFS($B$7:B59,B59,$C$7:C59,C59,$A$7:A59,"&gt;="&amp;('Panel'!$N$5-WEEKDAY('Panel'!$N$5,2)+1),$A$7:A59,"&lt;="&amp;'Panel'!$N$5)=1,1,0))</x:f>
        <x:v>1</x:v>
      </x:c>
    </x:row>
    <x:row r="60" ht="22" customHeight="1">
      <x:c r="A60" s="7" t="n">
        <x:v>46310</x:v>
      </x:c>
      <x:c r="B60" s="6" t="str">
        <x:v>PRJ-002</x:v>
      </x:c>
      <x:c r="C60" s="6" t="str">
        <x:v>P005</x:v>
      </x:c>
      <x:c r="D60" s="6" t="str">
        <x:v>İpek Acar</x:v>
      </x:c>
      <x:c r="E60" s="6" t="str">
        <x:v>Proje Yönetimi</x:v>
      </x:c>
      <x:c r="F60" s="17" t="n">
        <x:v>12</x:v>
      </x:c>
      <x:c r="G60" s="13" t="n">
        <x:v>1000</x:v>
      </x:c>
      <x:c r="H60" s="14" t="n">
        <x:f>IF(B60="","",IF(OR(A60="",C60="",NOT(ISNUMBER(F60)),NOT(ISNUMBER(G60))),"Eksik efor",F60*G60))</x:f>
        <x:v>12000</x:v>
      </x:c>
      <x:c r="I60" s="2" t="n">
        <x:f>IF(OR(B60="",C60="",A60="",A60&gt;'Panel'!$N$5),0,IF(COUNTIFS($B$7:B60,B60,$C$7:C60,C60,$A$7:A60,"&lt;="&amp;'Panel'!$N$5)=1,1,0))</x:f>
        <x:v>0</x:v>
      </x:c>
      <x:c r="J60" s="2" t="n">
        <x:f>IF(OR(B60="",C60="",A60="",A60&gt;'Panel'!$N$5,A60&lt;'Panel'!$N$5-WEEKDAY('Panel'!$N$5,2)+1),0,IF(COUNTIFS($B$7:B60,B60,$C$7:C60,C60,$A$7:A60,"&gt;="&amp;('Panel'!$N$5-WEEKDAY('Panel'!$N$5,2)+1),$A$7:A60,"&lt;="&amp;'Panel'!$N$5)=1,1,0))</x:f>
        <x:v>1</x:v>
      </x:c>
    </x:row>
    <x:row r="61" ht="22" customHeight="1">
      <x:c r="A61" s="7" t="n">
        <x:v>46275</x:v>
      </x:c>
      <x:c r="B61" s="6" t="str">
        <x:v>PRJ-003</x:v>
      </x:c>
      <x:c r="C61" s="6" t="str">
        <x:v>P008</x:v>
      </x:c>
      <x:c r="D61" s="6" t="str">
        <x:v>Okan Yıldız</x:v>
      </x:c>
      <x:c r="E61" s="6" t="str">
        <x:v>Mühendislik</x:v>
      </x:c>
      <x:c r="F61" s="17" t="n">
        <x:v>29</x:v>
      </x:c>
      <x:c r="G61" s="13" t="n">
        <x:v>850</x:v>
      </x:c>
      <x:c r="H61" s="14" t="n">
        <x:f>IF(B61="","",IF(OR(A61="",C61="",NOT(ISNUMBER(F61)),NOT(ISNUMBER(G61))),"Eksik efor",F61*G61))</x:f>
        <x:v>24650</x:v>
      </x:c>
      <x:c r="I61" s="2" t="n">
        <x:f>IF(OR(B61="",C61="",A61="",A61&gt;'Panel'!$N$5),0,IF(COUNTIFS($B$7:B61,B61,$C$7:C61,C61,$A$7:A61,"&lt;="&amp;'Panel'!$N$5)=1,1,0))</x:f>
        <x:v>1</x:v>
      </x:c>
      <x:c r="J61" s="2" t="n">
        <x:f>IF(OR(B61="",C61="",A61="",A61&gt;'Panel'!$N$5,A61&lt;'Panel'!$N$5-WEEKDAY('Panel'!$N$5,2)+1),0,IF(COUNTIFS($B$7:B61,B61,$C$7:C61,C61,$A$7:A61,"&gt;="&amp;('Panel'!$N$5-WEEKDAY('Panel'!$N$5,2)+1),$A$7:A61,"&lt;="&amp;'Panel'!$N$5)=1,1,0))</x:f>
        <x:v>0</x:v>
      </x:c>
    </x:row>
    <x:row r="62" ht="22" customHeight="1">
      <x:c r="A62" s="7" t="n">
        <x:v>46275</x:v>
      </x:c>
      <x:c r="B62" s="6" t="str">
        <x:v>PRJ-003</x:v>
      </x:c>
      <x:c r="C62" s="6" t="str">
        <x:v>P009</x:v>
      </x:c>
      <x:c r="D62" s="6" t="str">
        <x:v>Derya Ak</x:v>
      </x:c>
      <x:c r="E62" s="6" t="str">
        <x:v>Üretim</x:v>
      </x:c>
      <x:c r="F62" s="17" t="n">
        <x:v>20</x:v>
      </x:c>
      <x:c r="G62" s="13" t="n">
        <x:v>700</x:v>
      </x:c>
      <x:c r="H62" s="14" t="n">
        <x:f>IF(B62="","",IF(OR(A62="",C62="",NOT(ISNUMBER(F62)),NOT(ISNUMBER(G62))),"Eksik efor",F62*G62))</x:f>
        <x:v>14000</x:v>
      </x:c>
      <x:c r="I62" s="2" t="n">
        <x:f>IF(OR(B62="",C62="",A62="",A62&gt;'Panel'!$N$5),0,IF(COUNTIFS($B$7:B62,B62,$C$7:C62,C62,$A$7:A62,"&lt;="&amp;'Panel'!$N$5)=1,1,0))</x:f>
        <x:v>1</x:v>
      </x:c>
      <x:c r="J62" s="2" t="n">
        <x:f>IF(OR(B62="",C62="",A62="",A62&gt;'Panel'!$N$5,A62&lt;'Panel'!$N$5-WEEKDAY('Panel'!$N$5,2)+1),0,IF(COUNTIFS($B$7:B62,B62,$C$7:C62,C62,$A$7:A62,"&gt;="&amp;('Panel'!$N$5-WEEKDAY('Panel'!$N$5,2)+1),$A$7:A62,"&lt;="&amp;'Panel'!$N$5)=1,1,0))</x:f>
        <x:v>0</x:v>
      </x:c>
    </x:row>
    <x:row r="63" ht="22" customHeight="1">
      <x:c r="A63" s="7" t="n">
        <x:v>46275</x:v>
      </x:c>
      <x:c r="B63" s="6" t="str">
        <x:v>PRJ-003</x:v>
      </x:c>
      <x:c r="C63" s="6" t="str">
        <x:v>P003</x:v>
      </x:c>
      <x:c r="D63" s="6" t="str">
        <x:v>Can Akın</x:v>
      </x:c>
      <x:c r="E63" s="6" t="str">
        <x:v>Satın Alma</x:v>
      </x:c>
      <x:c r="F63" s="17" t="n">
        <x:v>26</x:v>
      </x:c>
      <x:c r="G63" s="13" t="n">
        <x:v>750</x:v>
      </x:c>
      <x:c r="H63" s="14" t="n">
        <x:f>IF(B63="","",IF(OR(A63="",C63="",NOT(ISNUMBER(F63)),NOT(ISNUMBER(G63))),"Eksik efor",F63*G63))</x:f>
        <x:v>19500</x:v>
      </x:c>
      <x:c r="I63" s="2" t="n">
        <x:f>IF(OR(B63="",C63="",A63="",A63&gt;'Panel'!$N$5),0,IF(COUNTIFS($B$7:B63,B63,$C$7:C63,C63,$A$7:A63,"&lt;="&amp;'Panel'!$N$5)=1,1,0))</x:f>
        <x:v>1</x:v>
      </x:c>
      <x:c r="J63" s="2" t="n">
        <x:f>IF(OR(B63="",C63="",A63="",A63&gt;'Panel'!$N$5,A63&lt;'Panel'!$N$5-WEEKDAY('Panel'!$N$5,2)+1),0,IF(COUNTIFS($B$7:B63,B63,$C$7:C63,C63,$A$7:A63,"&gt;="&amp;('Panel'!$N$5-WEEKDAY('Panel'!$N$5,2)+1),$A$7:A63,"&lt;="&amp;'Panel'!$N$5)=1,1,0))</x:f>
        <x:v>0</x:v>
      </x:c>
    </x:row>
    <x:row r="64" ht="22" customHeight="1">
      <x:c r="A64" s="7" t="n">
        <x:v>46275</x:v>
      </x:c>
      <x:c r="B64" s="6" t="str">
        <x:v>PRJ-003</x:v>
      </x:c>
      <x:c r="C64" s="6" t="str">
        <x:v>P004</x:v>
      </x:c>
      <x:c r="D64" s="6" t="str">
        <x:v>Bora Işık</x:v>
      </x:c>
      <x:c r="E64" s="6" t="str">
        <x:v>Kalite</x:v>
      </x:c>
      <x:c r="F64" s="17" t="n">
        <x:v>29</x:v>
      </x:c>
      <x:c r="G64" s="13" t="n">
        <x:v>800</x:v>
      </x:c>
      <x:c r="H64" s="14" t="n">
        <x:f>IF(B64="","",IF(OR(A64="",C64="",NOT(ISNUMBER(F64)),NOT(ISNUMBER(G64))),"Eksik efor",F64*G64))</x:f>
        <x:v>23200</x:v>
      </x:c>
      <x:c r="I64" s="2" t="n">
        <x:f>IF(OR(B64="",C64="",A64="",A64&gt;'Panel'!$N$5),0,IF(COUNTIFS($B$7:B64,B64,$C$7:C64,C64,$A$7:A64,"&lt;="&amp;'Panel'!$N$5)=1,1,0))</x:f>
        <x:v>1</x:v>
      </x:c>
      <x:c r="J64" s="2" t="n">
        <x:f>IF(OR(B64="",C64="",A64="",A64&gt;'Panel'!$N$5,A64&lt;'Panel'!$N$5-WEEKDAY('Panel'!$N$5,2)+1),0,IF(COUNTIFS($B$7:B64,B64,$C$7:C64,C64,$A$7:A64,"&gt;="&amp;('Panel'!$N$5-WEEKDAY('Panel'!$N$5,2)+1),$A$7:A64,"&lt;="&amp;'Panel'!$N$5)=1,1,0))</x:f>
        <x:v>0</x:v>
      </x:c>
    </x:row>
    <x:row r="65" ht="22" customHeight="1">
      <x:c r="A65" s="7" t="n">
        <x:v>46275</x:v>
      </x:c>
      <x:c r="B65" s="6" t="str">
        <x:v>PRJ-003</x:v>
      </x:c>
      <x:c r="C65" s="6" t="str">
        <x:v>P005</x:v>
      </x:c>
      <x:c r="D65" s="6" t="str">
        <x:v>İpek Acar</x:v>
      </x:c>
      <x:c r="E65" s="6" t="str">
        <x:v>Proje Yönetimi</x:v>
      </x:c>
      <x:c r="F65" s="17" t="n">
        <x:v>20</x:v>
      </x:c>
      <x:c r="G65" s="13" t="n">
        <x:v>1000</x:v>
      </x:c>
      <x:c r="H65" s="14" t="n">
        <x:f>IF(B65="","",IF(OR(A65="",C65="",NOT(ISNUMBER(F65)),NOT(ISNUMBER(G65))),"Eksik efor",F65*G65))</x:f>
        <x:v>20000</x:v>
      </x:c>
      <x:c r="I65" s="2" t="n">
        <x:f>IF(OR(B65="",C65="",A65="",A65&gt;'Panel'!$N$5),0,IF(COUNTIFS($B$7:B65,B65,$C$7:C65,C65,$A$7:A65,"&lt;="&amp;'Panel'!$N$5)=1,1,0))</x:f>
        <x:v>1</x:v>
      </x:c>
      <x:c r="J65" s="2" t="n">
        <x:f>IF(OR(B65="",C65="",A65="",A65&gt;'Panel'!$N$5,A65&lt;'Panel'!$N$5-WEEKDAY('Panel'!$N$5,2)+1),0,IF(COUNTIFS($B$7:B65,B65,$C$7:C65,C65,$A$7:A65,"&gt;="&amp;('Panel'!$N$5-WEEKDAY('Panel'!$N$5,2)+1),$A$7:A65,"&lt;="&amp;'Panel'!$N$5)=1,1,0))</x:f>
        <x:v>0</x:v>
      </x:c>
    </x:row>
    <x:row r="66" ht="22" customHeight="1">
      <x:c r="A66" s="7" t="n">
        <x:v>46275</x:v>
      </x:c>
      <x:c r="B66" s="6" t="str">
        <x:v>PRJ-003</x:v>
      </x:c>
      <x:c r="C66" s="6" t="str">
        <x:v>P006</x:v>
      </x:c>
      <x:c r="D66" s="6" t="str">
        <x:v>Ali Eren</x:v>
      </x:c>
      <x:c r="E66" s="6" t="str">
        <x:v>Bilgi Teknolojileri</x:v>
      </x:c>
      <x:c r="F66" s="17" t="n">
        <x:v>23</x:v>
      </x:c>
      <x:c r="G66" s="13" t="n">
        <x:v>950</x:v>
      </x:c>
      <x:c r="H66" s="14" t="n">
        <x:f>IF(B66="","",IF(OR(A66="",C66="",NOT(ISNUMBER(F66)),NOT(ISNUMBER(G66))),"Eksik efor",F66*G66))</x:f>
        <x:v>21850</x:v>
      </x:c>
      <x:c r="I66" s="2" t="n">
        <x:f>IF(OR(B66="",C66="",A66="",A66&gt;'Panel'!$N$5),0,IF(COUNTIFS($B$7:B66,B66,$C$7:C66,C66,$A$7:A66,"&lt;="&amp;'Panel'!$N$5)=1,1,0))</x:f>
        <x:v>1</x:v>
      </x:c>
      <x:c r="J66" s="2" t="n">
        <x:f>IF(OR(B66="",C66="",A66="",A66&gt;'Panel'!$N$5,A66&lt;'Panel'!$N$5-WEEKDAY('Panel'!$N$5,2)+1),0,IF(COUNTIFS($B$7:B66,B66,$C$7:C66,C66,$A$7:A66,"&gt;="&amp;('Panel'!$N$5-WEEKDAY('Panel'!$N$5,2)+1),$A$7:A66,"&lt;="&amp;'Panel'!$N$5)=1,1,0))</x:f>
        <x:v>0</x:v>
      </x:c>
    </x:row>
    <x:row r="67" ht="22" customHeight="1">
      <x:c r="A67" s="7" t="n">
        <x:v>46282</x:v>
      </x:c>
      <x:c r="B67" s="6" t="str">
        <x:v>PRJ-003</x:v>
      </x:c>
      <x:c r="C67" s="6" t="str">
        <x:v>P008</x:v>
      </x:c>
      <x:c r="D67" s="6" t="str">
        <x:v>Okan Yıldız</x:v>
      </x:c>
      <x:c r="E67" s="6" t="str">
        <x:v>Mühendislik</x:v>
      </x:c>
      <x:c r="F67" s="17" t="n">
        <x:v>29</x:v>
      </x:c>
      <x:c r="G67" s="13" t="n">
        <x:v>850</x:v>
      </x:c>
      <x:c r="H67" s="14" t="n">
        <x:f>IF(B67="","",IF(OR(A67="",C67="",NOT(ISNUMBER(F67)),NOT(ISNUMBER(G67))),"Eksik efor",F67*G67))</x:f>
        <x:v>24650</x:v>
      </x:c>
      <x:c r="I67" s="2" t="n">
        <x:f>IF(OR(B67="",C67="",A67="",A67&gt;'Panel'!$N$5),0,IF(COUNTIFS($B$7:B67,B67,$C$7:C67,C67,$A$7:A67,"&lt;="&amp;'Panel'!$N$5)=1,1,0))</x:f>
        <x:v>0</x:v>
      </x:c>
      <x:c r="J67" s="2" t="n">
        <x:f>IF(OR(B67="",C67="",A67="",A67&gt;'Panel'!$N$5,A67&lt;'Panel'!$N$5-WEEKDAY('Panel'!$N$5,2)+1),0,IF(COUNTIFS($B$7:B67,B67,$C$7:C67,C67,$A$7:A67,"&gt;="&amp;('Panel'!$N$5-WEEKDAY('Panel'!$N$5,2)+1),$A$7:A67,"&lt;="&amp;'Panel'!$N$5)=1,1,0))</x:f>
        <x:v>0</x:v>
      </x:c>
    </x:row>
    <x:row r="68" ht="22" customHeight="1">
      <x:c r="A68" s="7" t="n">
        <x:v>46282</x:v>
      </x:c>
      <x:c r="B68" s="6" t="str">
        <x:v>PRJ-003</x:v>
      </x:c>
      <x:c r="C68" s="6" t="str">
        <x:v>P009</x:v>
      </x:c>
      <x:c r="D68" s="6" t="str">
        <x:v>Derya Ak</x:v>
      </x:c>
      <x:c r="E68" s="6" t="str">
        <x:v>Üretim</x:v>
      </x:c>
      <x:c r="F68" s="17" t="n">
        <x:v>20</x:v>
      </x:c>
      <x:c r="G68" s="13" t="n">
        <x:v>700</x:v>
      </x:c>
      <x:c r="H68" s="14" t="n">
        <x:f>IF(B68="","",IF(OR(A68="",C68="",NOT(ISNUMBER(F68)),NOT(ISNUMBER(G68))),"Eksik efor",F68*G68))</x:f>
        <x:v>14000</x:v>
      </x:c>
      <x:c r="I68" s="2" t="n">
        <x:f>IF(OR(B68="",C68="",A68="",A68&gt;'Panel'!$N$5),0,IF(COUNTIFS($B$7:B68,B68,$C$7:C68,C68,$A$7:A68,"&lt;="&amp;'Panel'!$N$5)=1,1,0))</x:f>
        <x:v>0</x:v>
      </x:c>
      <x:c r="J68" s="2" t="n">
        <x:f>IF(OR(B68="",C68="",A68="",A68&gt;'Panel'!$N$5,A68&lt;'Panel'!$N$5-WEEKDAY('Panel'!$N$5,2)+1),0,IF(COUNTIFS($B$7:B68,B68,$C$7:C68,C68,$A$7:A68,"&gt;="&amp;('Panel'!$N$5-WEEKDAY('Panel'!$N$5,2)+1),$A$7:A68,"&lt;="&amp;'Panel'!$N$5)=1,1,0))</x:f>
        <x:v>0</x:v>
      </x:c>
    </x:row>
    <x:row r="69" ht="22" customHeight="1">
      <x:c r="A69" s="7" t="n">
        <x:v>46282</x:v>
      </x:c>
      <x:c r="B69" s="6" t="str">
        <x:v>PRJ-003</x:v>
      </x:c>
      <x:c r="C69" s="6" t="str">
        <x:v>P003</x:v>
      </x:c>
      <x:c r="D69" s="6" t="str">
        <x:v>Can Akın</x:v>
      </x:c>
      <x:c r="E69" s="6" t="str">
        <x:v>Satın Alma</x:v>
      </x:c>
      <x:c r="F69" s="17" t="n">
        <x:v>26</x:v>
      </x:c>
      <x:c r="G69" s="13" t="n">
        <x:v>750</x:v>
      </x:c>
      <x:c r="H69" s="14" t="n">
        <x:f>IF(B69="","",IF(OR(A69="",C69="",NOT(ISNUMBER(F69)),NOT(ISNUMBER(G69))),"Eksik efor",F69*G69))</x:f>
        <x:v>19500</x:v>
      </x:c>
      <x:c r="I69" s="2" t="n">
        <x:f>IF(OR(B69="",C69="",A69="",A69&gt;'Panel'!$N$5),0,IF(COUNTIFS($B$7:B69,B69,$C$7:C69,C69,$A$7:A69,"&lt;="&amp;'Panel'!$N$5)=1,1,0))</x:f>
        <x:v>0</x:v>
      </x:c>
      <x:c r="J69" s="2" t="n">
        <x:f>IF(OR(B69="",C69="",A69="",A69&gt;'Panel'!$N$5,A69&lt;'Panel'!$N$5-WEEKDAY('Panel'!$N$5,2)+1),0,IF(COUNTIFS($B$7:B69,B69,$C$7:C69,C69,$A$7:A69,"&gt;="&amp;('Panel'!$N$5-WEEKDAY('Panel'!$N$5,2)+1),$A$7:A69,"&lt;="&amp;'Panel'!$N$5)=1,1,0))</x:f>
        <x:v>0</x:v>
      </x:c>
    </x:row>
    <x:row r="70" ht="22" customHeight="1">
      <x:c r="A70" s="7" t="n">
        <x:v>46282</x:v>
      </x:c>
      <x:c r="B70" s="6" t="str">
        <x:v>PRJ-003</x:v>
      </x:c>
      <x:c r="C70" s="6" t="str">
        <x:v>P004</x:v>
      </x:c>
      <x:c r="D70" s="6" t="str">
        <x:v>Bora Işık</x:v>
      </x:c>
      <x:c r="E70" s="6" t="str">
        <x:v>Kalite</x:v>
      </x:c>
      <x:c r="F70" s="17" t="n">
        <x:v>29</x:v>
      </x:c>
      <x:c r="G70" s="13" t="n">
        <x:v>800</x:v>
      </x:c>
      <x:c r="H70" s="14" t="n">
        <x:f>IF(B70="","",IF(OR(A70="",C70="",NOT(ISNUMBER(F70)),NOT(ISNUMBER(G70))),"Eksik efor",F70*G70))</x:f>
        <x:v>23200</x:v>
      </x:c>
      <x:c r="I70" s="2" t="n">
        <x:f>IF(OR(B70="",C70="",A70="",A70&gt;'Panel'!$N$5),0,IF(COUNTIFS($B$7:B70,B70,$C$7:C70,C70,$A$7:A70,"&lt;="&amp;'Panel'!$N$5)=1,1,0))</x:f>
        <x:v>0</x:v>
      </x:c>
      <x:c r="J70" s="2" t="n">
        <x:f>IF(OR(B70="",C70="",A70="",A70&gt;'Panel'!$N$5,A70&lt;'Panel'!$N$5-WEEKDAY('Panel'!$N$5,2)+1),0,IF(COUNTIFS($B$7:B70,B70,$C$7:C70,C70,$A$7:A70,"&gt;="&amp;('Panel'!$N$5-WEEKDAY('Panel'!$N$5,2)+1),$A$7:A70,"&lt;="&amp;'Panel'!$N$5)=1,1,0))</x:f>
        <x:v>0</x:v>
      </x:c>
    </x:row>
    <x:row r="71" ht="22" customHeight="1">
      <x:c r="A71" s="7" t="n">
        <x:v>46282</x:v>
      </x:c>
      <x:c r="B71" s="6" t="str">
        <x:v>PRJ-003</x:v>
      </x:c>
      <x:c r="C71" s="6" t="str">
        <x:v>P005</x:v>
      </x:c>
      <x:c r="D71" s="6" t="str">
        <x:v>İpek Acar</x:v>
      </x:c>
      <x:c r="E71" s="6" t="str">
        <x:v>Proje Yönetimi</x:v>
      </x:c>
      <x:c r="F71" s="17" t="n">
        <x:v>20</x:v>
      </x:c>
      <x:c r="G71" s="13" t="n">
        <x:v>1000</x:v>
      </x:c>
      <x:c r="H71" s="14" t="n">
        <x:f>IF(B71="","",IF(OR(A71="",C71="",NOT(ISNUMBER(F71)),NOT(ISNUMBER(G71))),"Eksik efor",F71*G71))</x:f>
        <x:v>20000</x:v>
      </x:c>
      <x:c r="I71" s="2" t="n">
        <x:f>IF(OR(B71="",C71="",A71="",A71&gt;'Panel'!$N$5),0,IF(COUNTIFS($B$7:B71,B71,$C$7:C71,C71,$A$7:A71,"&lt;="&amp;'Panel'!$N$5)=1,1,0))</x:f>
        <x:v>0</x:v>
      </x:c>
      <x:c r="J71" s="2" t="n">
        <x:f>IF(OR(B71="",C71="",A71="",A71&gt;'Panel'!$N$5,A71&lt;'Panel'!$N$5-WEEKDAY('Panel'!$N$5,2)+1),0,IF(COUNTIFS($B$7:B71,B71,$C$7:C71,C71,$A$7:A71,"&gt;="&amp;('Panel'!$N$5-WEEKDAY('Panel'!$N$5,2)+1),$A$7:A71,"&lt;="&amp;'Panel'!$N$5)=1,1,0))</x:f>
        <x:v>0</x:v>
      </x:c>
    </x:row>
    <x:row r="72" ht="22" customHeight="1">
      <x:c r="A72" s="7" t="n">
        <x:v>46282</x:v>
      </x:c>
      <x:c r="B72" s="6" t="str">
        <x:v>PRJ-003</x:v>
      </x:c>
      <x:c r="C72" s="6" t="str">
        <x:v>P006</x:v>
      </x:c>
      <x:c r="D72" s="6" t="str">
        <x:v>Ali Eren</x:v>
      </x:c>
      <x:c r="E72" s="6" t="str">
        <x:v>Bilgi Teknolojileri</x:v>
      </x:c>
      <x:c r="F72" s="17" t="n">
        <x:v>23</x:v>
      </x:c>
      <x:c r="G72" s="13" t="n">
        <x:v>950</x:v>
      </x:c>
      <x:c r="H72" s="14" t="n">
        <x:f>IF(B72="","",IF(OR(A72="",C72="",NOT(ISNUMBER(F72)),NOT(ISNUMBER(G72))),"Eksik efor",F72*G72))</x:f>
        <x:v>21850</x:v>
      </x:c>
      <x:c r="I72" s="2" t="n">
        <x:f>IF(OR(B72="",C72="",A72="",A72&gt;'Panel'!$N$5),0,IF(COUNTIFS($B$7:B72,B72,$C$7:C72,C72,$A$7:A72,"&lt;="&amp;'Panel'!$N$5)=1,1,0))</x:f>
        <x:v>0</x:v>
      </x:c>
      <x:c r="J72" s="2" t="n">
        <x:f>IF(OR(B72="",C72="",A72="",A72&gt;'Panel'!$N$5,A72&lt;'Panel'!$N$5-WEEKDAY('Panel'!$N$5,2)+1),0,IF(COUNTIFS($B$7:B72,B72,$C$7:C72,C72,$A$7:A72,"&gt;="&amp;('Panel'!$N$5-WEEKDAY('Panel'!$N$5,2)+1),$A$7:A72,"&lt;="&amp;'Panel'!$N$5)=1,1,0))</x:f>
        <x:v>0</x:v>
      </x:c>
    </x:row>
    <x:row r="73" ht="22" customHeight="1">
      <x:c r="A73" s="7" t="n">
        <x:v>46289</x:v>
      </x:c>
      <x:c r="B73" s="6" t="str">
        <x:v>PRJ-003</x:v>
      </x:c>
      <x:c r="C73" s="6" t="str">
        <x:v>P008</x:v>
      </x:c>
      <x:c r="D73" s="6" t="str">
        <x:v>Okan Yıldız</x:v>
      </x:c>
      <x:c r="E73" s="6" t="str">
        <x:v>Mühendislik</x:v>
      </x:c>
      <x:c r="F73" s="17" t="n">
        <x:v>29</x:v>
      </x:c>
      <x:c r="G73" s="13" t="n">
        <x:v>850</x:v>
      </x:c>
      <x:c r="H73" s="14" t="n">
        <x:f>IF(B73="","",IF(OR(A73="",C73="",NOT(ISNUMBER(F73)),NOT(ISNUMBER(G73))),"Eksik efor",F73*G73))</x:f>
        <x:v>24650</x:v>
      </x:c>
      <x:c r="I73" s="2" t="n">
        <x:f>IF(OR(B73="",C73="",A73="",A73&gt;'Panel'!$N$5),0,IF(COUNTIFS($B$7:B73,B73,$C$7:C73,C73,$A$7:A73,"&lt;="&amp;'Panel'!$N$5)=1,1,0))</x:f>
        <x:v>0</x:v>
      </x:c>
      <x:c r="J73" s="2" t="n">
        <x:f>IF(OR(B73="",C73="",A73="",A73&gt;'Panel'!$N$5,A73&lt;'Panel'!$N$5-WEEKDAY('Panel'!$N$5,2)+1),0,IF(COUNTIFS($B$7:B73,B73,$C$7:C73,C73,$A$7:A73,"&gt;="&amp;('Panel'!$N$5-WEEKDAY('Panel'!$N$5,2)+1),$A$7:A73,"&lt;="&amp;'Panel'!$N$5)=1,1,0))</x:f>
        <x:v>0</x:v>
      </x:c>
    </x:row>
    <x:row r="74" ht="22" customHeight="1">
      <x:c r="A74" s="7" t="n">
        <x:v>46289</x:v>
      </x:c>
      <x:c r="B74" s="6" t="str">
        <x:v>PRJ-003</x:v>
      </x:c>
      <x:c r="C74" s="6" t="str">
        <x:v>P009</x:v>
      </x:c>
      <x:c r="D74" s="6" t="str">
        <x:v>Derya Ak</x:v>
      </x:c>
      <x:c r="E74" s="6" t="str">
        <x:v>Üretim</x:v>
      </x:c>
      <x:c r="F74" s="17" t="n">
        <x:v>20</x:v>
      </x:c>
      <x:c r="G74" s="13" t="n">
        <x:v>700</x:v>
      </x:c>
      <x:c r="H74" s="14" t="n">
        <x:f>IF(B74="","",IF(OR(A74="",C74="",NOT(ISNUMBER(F74)),NOT(ISNUMBER(G74))),"Eksik efor",F74*G74))</x:f>
        <x:v>14000</x:v>
      </x:c>
      <x:c r="I74" s="2" t="n">
        <x:f>IF(OR(B74="",C74="",A74="",A74&gt;'Panel'!$N$5),0,IF(COUNTIFS($B$7:B74,B74,$C$7:C74,C74,$A$7:A74,"&lt;="&amp;'Panel'!$N$5)=1,1,0))</x:f>
        <x:v>0</x:v>
      </x:c>
      <x:c r="J74" s="2" t="n">
        <x:f>IF(OR(B74="",C74="",A74="",A74&gt;'Panel'!$N$5,A74&lt;'Panel'!$N$5-WEEKDAY('Panel'!$N$5,2)+1),0,IF(COUNTIFS($B$7:B74,B74,$C$7:C74,C74,$A$7:A74,"&gt;="&amp;('Panel'!$N$5-WEEKDAY('Panel'!$N$5,2)+1),$A$7:A74,"&lt;="&amp;'Panel'!$N$5)=1,1,0))</x:f>
        <x:v>0</x:v>
      </x:c>
    </x:row>
    <x:row r="75" ht="22" customHeight="1">
      <x:c r="A75" s="7" t="n">
        <x:v>46289</x:v>
      </x:c>
      <x:c r="B75" s="6" t="str">
        <x:v>PRJ-003</x:v>
      </x:c>
      <x:c r="C75" s="6" t="str">
        <x:v>P003</x:v>
      </x:c>
      <x:c r="D75" s="6" t="str">
        <x:v>Can Akın</x:v>
      </x:c>
      <x:c r="E75" s="6" t="str">
        <x:v>Satın Alma</x:v>
      </x:c>
      <x:c r="F75" s="17" t="n">
        <x:v>26</x:v>
      </x:c>
      <x:c r="G75" s="13" t="n">
        <x:v>750</x:v>
      </x:c>
      <x:c r="H75" s="14" t="n">
        <x:f>IF(B75="","",IF(OR(A75="",C75="",NOT(ISNUMBER(F75)),NOT(ISNUMBER(G75))),"Eksik efor",F75*G75))</x:f>
        <x:v>19500</x:v>
      </x:c>
      <x:c r="I75" s="2" t="n">
        <x:f>IF(OR(B75="",C75="",A75="",A75&gt;'Panel'!$N$5),0,IF(COUNTIFS($B$7:B75,B75,$C$7:C75,C75,$A$7:A75,"&lt;="&amp;'Panel'!$N$5)=1,1,0))</x:f>
        <x:v>0</x:v>
      </x:c>
      <x:c r="J75" s="2" t="n">
        <x:f>IF(OR(B75="",C75="",A75="",A75&gt;'Panel'!$N$5,A75&lt;'Panel'!$N$5-WEEKDAY('Panel'!$N$5,2)+1),0,IF(COUNTIFS($B$7:B75,B75,$C$7:C75,C75,$A$7:A75,"&gt;="&amp;('Panel'!$N$5-WEEKDAY('Panel'!$N$5,2)+1),$A$7:A75,"&lt;="&amp;'Panel'!$N$5)=1,1,0))</x:f>
        <x:v>0</x:v>
      </x:c>
    </x:row>
    <x:row r="76" ht="22" customHeight="1">
      <x:c r="A76" s="7" t="n">
        <x:v>46289</x:v>
      </x:c>
      <x:c r="B76" s="6" t="str">
        <x:v>PRJ-003</x:v>
      </x:c>
      <x:c r="C76" s="6" t="str">
        <x:v>P004</x:v>
      </x:c>
      <x:c r="D76" s="6" t="str">
        <x:v>Bora Işık</x:v>
      </x:c>
      <x:c r="E76" s="6" t="str">
        <x:v>Kalite</x:v>
      </x:c>
      <x:c r="F76" s="17" t="n">
        <x:v>29</x:v>
      </x:c>
      <x:c r="G76" s="13" t="n">
        <x:v>800</x:v>
      </x:c>
      <x:c r="H76" s="14" t="n">
        <x:f>IF(B76="","",IF(OR(A76="",C76="",NOT(ISNUMBER(F76)),NOT(ISNUMBER(G76))),"Eksik efor",F76*G76))</x:f>
        <x:v>23200</x:v>
      </x:c>
      <x:c r="I76" s="2" t="n">
        <x:f>IF(OR(B76="",C76="",A76="",A76&gt;'Panel'!$N$5),0,IF(COUNTIFS($B$7:B76,B76,$C$7:C76,C76,$A$7:A76,"&lt;="&amp;'Panel'!$N$5)=1,1,0))</x:f>
        <x:v>0</x:v>
      </x:c>
      <x:c r="J76" s="2" t="n">
        <x:f>IF(OR(B76="",C76="",A76="",A76&gt;'Panel'!$N$5,A76&lt;'Panel'!$N$5-WEEKDAY('Panel'!$N$5,2)+1),0,IF(COUNTIFS($B$7:B76,B76,$C$7:C76,C76,$A$7:A76,"&gt;="&amp;('Panel'!$N$5-WEEKDAY('Panel'!$N$5,2)+1),$A$7:A76,"&lt;="&amp;'Panel'!$N$5)=1,1,0))</x:f>
        <x:v>0</x:v>
      </x:c>
    </x:row>
    <x:row r="77" ht="22" customHeight="1">
      <x:c r="A77" s="7" t="n">
        <x:v>46289</x:v>
      </x:c>
      <x:c r="B77" s="6" t="str">
        <x:v>PRJ-003</x:v>
      </x:c>
      <x:c r="C77" s="6" t="str">
        <x:v>P005</x:v>
      </x:c>
      <x:c r="D77" s="6" t="str">
        <x:v>İpek Acar</x:v>
      </x:c>
      <x:c r="E77" s="6" t="str">
        <x:v>Proje Yönetimi</x:v>
      </x:c>
      <x:c r="F77" s="17" t="n">
        <x:v>20</x:v>
      </x:c>
      <x:c r="G77" s="13" t="n">
        <x:v>1000</x:v>
      </x:c>
      <x:c r="H77" s="14" t="n">
        <x:f>IF(B77="","",IF(OR(A77="",C77="",NOT(ISNUMBER(F77)),NOT(ISNUMBER(G77))),"Eksik efor",F77*G77))</x:f>
        <x:v>20000</x:v>
      </x:c>
      <x:c r="I77" s="2" t="n">
        <x:f>IF(OR(B77="",C77="",A77="",A77&gt;'Panel'!$N$5),0,IF(COUNTIFS($B$7:B77,B77,$C$7:C77,C77,$A$7:A77,"&lt;="&amp;'Panel'!$N$5)=1,1,0))</x:f>
        <x:v>0</x:v>
      </x:c>
      <x:c r="J77" s="2" t="n">
        <x:f>IF(OR(B77="",C77="",A77="",A77&gt;'Panel'!$N$5,A77&lt;'Panel'!$N$5-WEEKDAY('Panel'!$N$5,2)+1),0,IF(COUNTIFS($B$7:B77,B77,$C$7:C77,C77,$A$7:A77,"&gt;="&amp;('Panel'!$N$5-WEEKDAY('Panel'!$N$5,2)+1),$A$7:A77,"&lt;="&amp;'Panel'!$N$5)=1,1,0))</x:f>
        <x:v>0</x:v>
      </x:c>
    </x:row>
    <x:row r="78" ht="22" customHeight="1">
      <x:c r="A78" s="7" t="n">
        <x:v>46289</x:v>
      </x:c>
      <x:c r="B78" s="6" t="str">
        <x:v>PRJ-003</x:v>
      </x:c>
      <x:c r="C78" s="6" t="str">
        <x:v>P006</x:v>
      </x:c>
      <x:c r="D78" s="6" t="str">
        <x:v>Ali Eren</x:v>
      </x:c>
      <x:c r="E78" s="6" t="str">
        <x:v>Bilgi Teknolojileri</x:v>
      </x:c>
      <x:c r="F78" s="17" t="n">
        <x:v>23</x:v>
      </x:c>
      <x:c r="G78" s="13" t="n">
        <x:v>950</x:v>
      </x:c>
      <x:c r="H78" s="14" t="n">
        <x:f>IF(B78="","",IF(OR(A78="",C78="",NOT(ISNUMBER(F78)),NOT(ISNUMBER(G78))),"Eksik efor",F78*G78))</x:f>
        <x:v>21850</x:v>
      </x:c>
      <x:c r="I78" s="2" t="n">
        <x:f>IF(OR(B78="",C78="",A78="",A78&gt;'Panel'!$N$5),0,IF(COUNTIFS($B$7:B78,B78,$C$7:C78,C78,$A$7:A78,"&lt;="&amp;'Panel'!$N$5)=1,1,0))</x:f>
        <x:v>0</x:v>
      </x:c>
      <x:c r="J78" s="2" t="n">
        <x:f>IF(OR(B78="",C78="",A78="",A78&gt;'Panel'!$N$5,A78&lt;'Panel'!$N$5-WEEKDAY('Panel'!$N$5,2)+1),0,IF(COUNTIFS($B$7:B78,B78,$C$7:C78,C78,$A$7:A78,"&gt;="&amp;('Panel'!$N$5-WEEKDAY('Panel'!$N$5,2)+1),$A$7:A78,"&lt;="&amp;'Panel'!$N$5)=1,1,0))</x:f>
        <x:v>0</x:v>
      </x:c>
    </x:row>
    <x:row r="79" ht="22" customHeight="1">
      <x:c r="A79" s="7" t="n">
        <x:v>46296</x:v>
      </x:c>
      <x:c r="B79" s="6" t="str">
        <x:v>PRJ-003</x:v>
      </x:c>
      <x:c r="C79" s="6" t="str">
        <x:v>P008</x:v>
      </x:c>
      <x:c r="D79" s="6" t="str">
        <x:v>Okan Yıldız</x:v>
      </x:c>
      <x:c r="E79" s="6" t="str">
        <x:v>Mühendislik</x:v>
      </x:c>
      <x:c r="F79" s="17" t="n">
        <x:v>29</x:v>
      </x:c>
      <x:c r="G79" s="13" t="n">
        <x:v>850</x:v>
      </x:c>
      <x:c r="H79" s="14" t="n">
        <x:f>IF(B79="","",IF(OR(A79="",C79="",NOT(ISNUMBER(F79)),NOT(ISNUMBER(G79))),"Eksik efor",F79*G79))</x:f>
        <x:v>24650</x:v>
      </x:c>
      <x:c r="I79" s="2" t="n">
        <x:f>IF(OR(B79="",C79="",A79="",A79&gt;'Panel'!$N$5),0,IF(COUNTIFS($B$7:B79,B79,$C$7:C79,C79,$A$7:A79,"&lt;="&amp;'Panel'!$N$5)=1,1,0))</x:f>
        <x:v>0</x:v>
      </x:c>
      <x:c r="J79" s="2" t="n">
        <x:f>IF(OR(B79="",C79="",A79="",A79&gt;'Panel'!$N$5,A79&lt;'Panel'!$N$5-WEEKDAY('Panel'!$N$5,2)+1),0,IF(COUNTIFS($B$7:B79,B79,$C$7:C79,C79,$A$7:A79,"&gt;="&amp;('Panel'!$N$5-WEEKDAY('Panel'!$N$5,2)+1),$A$7:A79,"&lt;="&amp;'Panel'!$N$5)=1,1,0))</x:f>
        <x:v>0</x:v>
      </x:c>
    </x:row>
    <x:row r="80" ht="22" customHeight="1">
      <x:c r="A80" s="7" t="n">
        <x:v>46296</x:v>
      </x:c>
      <x:c r="B80" s="6" t="str">
        <x:v>PRJ-003</x:v>
      </x:c>
      <x:c r="C80" s="6" t="str">
        <x:v>P009</x:v>
      </x:c>
      <x:c r="D80" s="6" t="str">
        <x:v>Derya Ak</x:v>
      </x:c>
      <x:c r="E80" s="6" t="str">
        <x:v>Üretim</x:v>
      </x:c>
      <x:c r="F80" s="17" t="n">
        <x:v>20</x:v>
      </x:c>
      <x:c r="G80" s="13" t="n">
        <x:v>700</x:v>
      </x:c>
      <x:c r="H80" s="14" t="n">
        <x:f>IF(B80="","",IF(OR(A80="",C80="",NOT(ISNUMBER(F80)),NOT(ISNUMBER(G80))),"Eksik efor",F80*G80))</x:f>
        <x:v>14000</x:v>
      </x:c>
      <x:c r="I80" s="2" t="n">
        <x:f>IF(OR(B80="",C80="",A80="",A80&gt;'Panel'!$N$5),0,IF(COUNTIFS($B$7:B80,B80,$C$7:C80,C80,$A$7:A80,"&lt;="&amp;'Panel'!$N$5)=1,1,0))</x:f>
        <x:v>0</x:v>
      </x:c>
      <x:c r="J80" s="2" t="n">
        <x:f>IF(OR(B80="",C80="",A80="",A80&gt;'Panel'!$N$5,A80&lt;'Panel'!$N$5-WEEKDAY('Panel'!$N$5,2)+1),0,IF(COUNTIFS($B$7:B80,B80,$C$7:C80,C80,$A$7:A80,"&gt;="&amp;('Panel'!$N$5-WEEKDAY('Panel'!$N$5,2)+1),$A$7:A80,"&lt;="&amp;'Panel'!$N$5)=1,1,0))</x:f>
        <x:v>0</x:v>
      </x:c>
    </x:row>
    <x:row r="81" ht="22" customHeight="1">
      <x:c r="A81" s="7" t="n">
        <x:v>46296</x:v>
      </x:c>
      <x:c r="B81" s="6" t="str">
        <x:v>PRJ-003</x:v>
      </x:c>
      <x:c r="C81" s="6" t="str">
        <x:v>P003</x:v>
      </x:c>
      <x:c r="D81" s="6" t="str">
        <x:v>Can Akın</x:v>
      </x:c>
      <x:c r="E81" s="6" t="str">
        <x:v>Satın Alma</x:v>
      </x:c>
      <x:c r="F81" s="17" t="n">
        <x:v>26</x:v>
      </x:c>
      <x:c r="G81" s="13" t="n">
        <x:v>750</x:v>
      </x:c>
      <x:c r="H81" s="14" t="n">
        <x:f>IF(B81="","",IF(OR(A81="",C81="",NOT(ISNUMBER(F81)),NOT(ISNUMBER(G81))),"Eksik efor",F81*G81))</x:f>
        <x:v>19500</x:v>
      </x:c>
      <x:c r="I81" s="2" t="n">
        <x:f>IF(OR(B81="",C81="",A81="",A81&gt;'Panel'!$N$5),0,IF(COUNTIFS($B$7:B81,B81,$C$7:C81,C81,$A$7:A81,"&lt;="&amp;'Panel'!$N$5)=1,1,0))</x:f>
        <x:v>0</x:v>
      </x:c>
      <x:c r="J81" s="2" t="n">
        <x:f>IF(OR(B81="",C81="",A81="",A81&gt;'Panel'!$N$5,A81&lt;'Panel'!$N$5-WEEKDAY('Panel'!$N$5,2)+1),0,IF(COUNTIFS($B$7:B81,B81,$C$7:C81,C81,$A$7:A81,"&gt;="&amp;('Panel'!$N$5-WEEKDAY('Panel'!$N$5,2)+1),$A$7:A81,"&lt;="&amp;'Panel'!$N$5)=1,1,0))</x:f>
        <x:v>0</x:v>
      </x:c>
    </x:row>
    <x:row r="82" ht="22" customHeight="1">
      <x:c r="A82" s="7" t="n">
        <x:v>46296</x:v>
      </x:c>
      <x:c r="B82" s="6" t="str">
        <x:v>PRJ-003</x:v>
      </x:c>
      <x:c r="C82" s="6" t="str">
        <x:v>P004</x:v>
      </x:c>
      <x:c r="D82" s="6" t="str">
        <x:v>Bora Işık</x:v>
      </x:c>
      <x:c r="E82" s="6" t="str">
        <x:v>Kalite</x:v>
      </x:c>
      <x:c r="F82" s="17" t="n">
        <x:v>29</x:v>
      </x:c>
      <x:c r="G82" s="13" t="n">
        <x:v>800</x:v>
      </x:c>
      <x:c r="H82" s="14" t="n">
        <x:f>IF(B82="","",IF(OR(A82="",C82="",NOT(ISNUMBER(F82)),NOT(ISNUMBER(G82))),"Eksik efor",F82*G82))</x:f>
        <x:v>23200</x:v>
      </x:c>
      <x:c r="I82" s="2" t="n">
        <x:f>IF(OR(B82="",C82="",A82="",A82&gt;'Panel'!$N$5),0,IF(COUNTIFS($B$7:B82,B82,$C$7:C82,C82,$A$7:A82,"&lt;="&amp;'Panel'!$N$5)=1,1,0))</x:f>
        <x:v>0</x:v>
      </x:c>
      <x:c r="J82" s="2" t="n">
        <x:f>IF(OR(B82="",C82="",A82="",A82&gt;'Panel'!$N$5,A82&lt;'Panel'!$N$5-WEEKDAY('Panel'!$N$5,2)+1),0,IF(COUNTIFS($B$7:B82,B82,$C$7:C82,C82,$A$7:A82,"&gt;="&amp;('Panel'!$N$5-WEEKDAY('Panel'!$N$5,2)+1),$A$7:A82,"&lt;="&amp;'Panel'!$N$5)=1,1,0))</x:f>
        <x:v>0</x:v>
      </x:c>
    </x:row>
    <x:row r="83" ht="22" customHeight="1">
      <x:c r="A83" s="7" t="n">
        <x:v>46296</x:v>
      </x:c>
      <x:c r="B83" s="6" t="str">
        <x:v>PRJ-003</x:v>
      </x:c>
      <x:c r="C83" s="6" t="str">
        <x:v>P005</x:v>
      </x:c>
      <x:c r="D83" s="6" t="str">
        <x:v>İpek Acar</x:v>
      </x:c>
      <x:c r="E83" s="6" t="str">
        <x:v>Proje Yönetimi</x:v>
      </x:c>
      <x:c r="F83" s="17" t="n">
        <x:v>20</x:v>
      </x:c>
      <x:c r="G83" s="13" t="n">
        <x:v>1000</x:v>
      </x:c>
      <x:c r="H83" s="14" t="n">
        <x:f>IF(B83="","",IF(OR(A83="",C83="",NOT(ISNUMBER(F83)),NOT(ISNUMBER(G83))),"Eksik efor",F83*G83))</x:f>
        <x:v>20000</x:v>
      </x:c>
      <x:c r="I83" s="2" t="n">
        <x:f>IF(OR(B83="",C83="",A83="",A83&gt;'Panel'!$N$5),0,IF(COUNTIFS($B$7:B83,B83,$C$7:C83,C83,$A$7:A83,"&lt;="&amp;'Panel'!$N$5)=1,1,0))</x:f>
        <x:v>0</x:v>
      </x:c>
      <x:c r="J83" s="2" t="n">
        <x:f>IF(OR(B83="",C83="",A83="",A83&gt;'Panel'!$N$5,A83&lt;'Panel'!$N$5-WEEKDAY('Panel'!$N$5,2)+1),0,IF(COUNTIFS($B$7:B83,B83,$C$7:C83,C83,$A$7:A83,"&gt;="&amp;('Panel'!$N$5-WEEKDAY('Panel'!$N$5,2)+1),$A$7:A83,"&lt;="&amp;'Panel'!$N$5)=1,1,0))</x:f>
        <x:v>0</x:v>
      </x:c>
    </x:row>
    <x:row r="84" ht="22" customHeight="1">
      <x:c r="A84" s="7" t="n">
        <x:v>46296</x:v>
      </x:c>
      <x:c r="B84" s="6" t="str">
        <x:v>PRJ-003</x:v>
      </x:c>
      <x:c r="C84" s="6" t="str">
        <x:v>P006</x:v>
      </x:c>
      <x:c r="D84" s="6" t="str">
        <x:v>Ali Eren</x:v>
      </x:c>
      <x:c r="E84" s="6" t="str">
        <x:v>Bilgi Teknolojileri</x:v>
      </x:c>
      <x:c r="F84" s="17" t="n">
        <x:v>23</x:v>
      </x:c>
      <x:c r="G84" s="13" t="n">
        <x:v>950</x:v>
      </x:c>
      <x:c r="H84" s="14" t="n">
        <x:f>IF(B84="","",IF(OR(A84="",C84="",NOT(ISNUMBER(F84)),NOT(ISNUMBER(G84))),"Eksik efor",F84*G84))</x:f>
        <x:v>21850</x:v>
      </x:c>
      <x:c r="I84" s="2" t="n">
        <x:f>IF(OR(B84="",C84="",A84="",A84&gt;'Panel'!$N$5),0,IF(COUNTIFS($B$7:B84,B84,$C$7:C84,C84,$A$7:A84,"&lt;="&amp;'Panel'!$N$5)=1,1,0))</x:f>
        <x:v>0</x:v>
      </x:c>
      <x:c r="J84" s="2" t="n">
        <x:f>IF(OR(B84="",C84="",A84="",A84&gt;'Panel'!$N$5,A84&lt;'Panel'!$N$5-WEEKDAY('Panel'!$N$5,2)+1),0,IF(COUNTIFS($B$7:B84,B84,$C$7:C84,C84,$A$7:A84,"&gt;="&amp;('Panel'!$N$5-WEEKDAY('Panel'!$N$5,2)+1),$A$7:A84,"&lt;="&amp;'Panel'!$N$5)=1,1,0))</x:f>
        <x:v>0</x:v>
      </x:c>
    </x:row>
    <x:row r="85" ht="22" customHeight="1">
      <x:c r="A85" s="7" t="n">
        <x:v>46303</x:v>
      </x:c>
      <x:c r="B85" s="6" t="str">
        <x:v>PRJ-003</x:v>
      </x:c>
      <x:c r="C85" s="6" t="str">
        <x:v>P008</x:v>
      </x:c>
      <x:c r="D85" s="6" t="str">
        <x:v>Okan Yıldız</x:v>
      </x:c>
      <x:c r="E85" s="6" t="str">
        <x:v>Mühendislik</x:v>
      </x:c>
      <x:c r="F85" s="17" t="n">
        <x:v>29</x:v>
      </x:c>
      <x:c r="G85" s="13" t="n">
        <x:v>850</x:v>
      </x:c>
      <x:c r="H85" s="14" t="n">
        <x:f>IF(B85="","",IF(OR(A85="",C85="",NOT(ISNUMBER(F85)),NOT(ISNUMBER(G85))),"Eksik efor",F85*G85))</x:f>
        <x:v>24650</x:v>
      </x:c>
      <x:c r="I85" s="2" t="n">
        <x:f>IF(OR(B85="",C85="",A85="",A85&gt;'Panel'!$N$5),0,IF(COUNTIFS($B$7:B85,B85,$C$7:C85,C85,$A$7:A85,"&lt;="&amp;'Panel'!$N$5)=1,1,0))</x:f>
        <x:v>0</x:v>
      </x:c>
      <x:c r="J85" s="2" t="n">
        <x:f>IF(OR(B85="",C85="",A85="",A85&gt;'Panel'!$N$5,A85&lt;'Panel'!$N$5-WEEKDAY('Panel'!$N$5,2)+1),0,IF(COUNTIFS($B$7:B85,B85,$C$7:C85,C85,$A$7:A85,"&gt;="&amp;('Panel'!$N$5-WEEKDAY('Panel'!$N$5,2)+1),$A$7:A85,"&lt;="&amp;'Panel'!$N$5)=1,1,0))</x:f>
        <x:v>0</x:v>
      </x:c>
    </x:row>
    <x:row r="86" ht="22" customHeight="1">
      <x:c r="A86" s="7" t="n">
        <x:v>46303</x:v>
      </x:c>
      <x:c r="B86" s="6" t="str">
        <x:v>PRJ-003</x:v>
      </x:c>
      <x:c r="C86" s="6" t="str">
        <x:v>P009</x:v>
      </x:c>
      <x:c r="D86" s="6" t="str">
        <x:v>Derya Ak</x:v>
      </x:c>
      <x:c r="E86" s="6" t="str">
        <x:v>Üretim</x:v>
      </x:c>
      <x:c r="F86" s="17" t="n">
        <x:v>20</x:v>
      </x:c>
      <x:c r="G86" s="13" t="n">
        <x:v>700</x:v>
      </x:c>
      <x:c r="H86" s="14" t="n">
        <x:f>IF(B86="","",IF(OR(A86="",C86="",NOT(ISNUMBER(F86)),NOT(ISNUMBER(G86))),"Eksik efor",F86*G86))</x:f>
        <x:v>14000</x:v>
      </x:c>
      <x:c r="I86" s="2" t="n">
        <x:f>IF(OR(B86="",C86="",A86="",A86&gt;'Panel'!$N$5),0,IF(COUNTIFS($B$7:B86,B86,$C$7:C86,C86,$A$7:A86,"&lt;="&amp;'Panel'!$N$5)=1,1,0))</x:f>
        <x:v>0</x:v>
      </x:c>
      <x:c r="J86" s="2" t="n">
        <x:f>IF(OR(B86="",C86="",A86="",A86&gt;'Panel'!$N$5,A86&lt;'Panel'!$N$5-WEEKDAY('Panel'!$N$5,2)+1),0,IF(COUNTIFS($B$7:B86,B86,$C$7:C86,C86,$A$7:A86,"&gt;="&amp;('Panel'!$N$5-WEEKDAY('Panel'!$N$5,2)+1),$A$7:A86,"&lt;="&amp;'Panel'!$N$5)=1,1,0))</x:f>
        <x:v>0</x:v>
      </x:c>
    </x:row>
    <x:row r="87" ht="22" customHeight="1">
      <x:c r="A87" s="7" t="n">
        <x:v>46303</x:v>
      </x:c>
      <x:c r="B87" s="6" t="str">
        <x:v>PRJ-003</x:v>
      </x:c>
      <x:c r="C87" s="6" t="str">
        <x:v>P003</x:v>
      </x:c>
      <x:c r="D87" s="6" t="str">
        <x:v>Can Akın</x:v>
      </x:c>
      <x:c r="E87" s="6" t="str">
        <x:v>Satın Alma</x:v>
      </x:c>
      <x:c r="F87" s="17" t="n">
        <x:v>26</x:v>
      </x:c>
      <x:c r="G87" s="13" t="n">
        <x:v>750</x:v>
      </x:c>
      <x:c r="H87" s="14" t="n">
        <x:f>IF(B87="","",IF(OR(A87="",C87="",NOT(ISNUMBER(F87)),NOT(ISNUMBER(G87))),"Eksik efor",F87*G87))</x:f>
        <x:v>19500</x:v>
      </x:c>
      <x:c r="I87" s="2" t="n">
        <x:f>IF(OR(B87="",C87="",A87="",A87&gt;'Panel'!$N$5),0,IF(COUNTIFS($B$7:B87,B87,$C$7:C87,C87,$A$7:A87,"&lt;="&amp;'Panel'!$N$5)=1,1,0))</x:f>
        <x:v>0</x:v>
      </x:c>
      <x:c r="J87" s="2" t="n">
        <x:f>IF(OR(B87="",C87="",A87="",A87&gt;'Panel'!$N$5,A87&lt;'Panel'!$N$5-WEEKDAY('Panel'!$N$5,2)+1),0,IF(COUNTIFS($B$7:B87,B87,$C$7:C87,C87,$A$7:A87,"&gt;="&amp;('Panel'!$N$5-WEEKDAY('Panel'!$N$5,2)+1),$A$7:A87,"&lt;="&amp;'Panel'!$N$5)=1,1,0))</x:f>
        <x:v>0</x:v>
      </x:c>
    </x:row>
    <x:row r="88" ht="22" customHeight="1">
      <x:c r="A88" s="7" t="n">
        <x:v>46303</x:v>
      </x:c>
      <x:c r="B88" s="6" t="str">
        <x:v>PRJ-003</x:v>
      </x:c>
      <x:c r="C88" s="6" t="str">
        <x:v>P004</x:v>
      </x:c>
      <x:c r="D88" s="6" t="str">
        <x:v>Bora Işık</x:v>
      </x:c>
      <x:c r="E88" s="6" t="str">
        <x:v>Kalite</x:v>
      </x:c>
      <x:c r="F88" s="17" t="n">
        <x:v>29</x:v>
      </x:c>
      <x:c r="G88" s="13" t="n">
        <x:v>800</x:v>
      </x:c>
      <x:c r="H88" s="14" t="n">
        <x:f>IF(B88="","",IF(OR(A88="",C88="",NOT(ISNUMBER(F88)),NOT(ISNUMBER(G88))),"Eksik efor",F88*G88))</x:f>
        <x:v>23200</x:v>
      </x:c>
      <x:c r="I88" s="2" t="n">
        <x:f>IF(OR(B88="",C88="",A88="",A88&gt;'Panel'!$N$5),0,IF(COUNTIFS($B$7:B88,B88,$C$7:C88,C88,$A$7:A88,"&lt;="&amp;'Panel'!$N$5)=1,1,0))</x:f>
        <x:v>0</x:v>
      </x:c>
      <x:c r="J88" s="2" t="n">
        <x:f>IF(OR(B88="",C88="",A88="",A88&gt;'Panel'!$N$5,A88&lt;'Panel'!$N$5-WEEKDAY('Panel'!$N$5,2)+1),0,IF(COUNTIFS($B$7:B88,B88,$C$7:C88,C88,$A$7:A88,"&gt;="&amp;('Panel'!$N$5-WEEKDAY('Panel'!$N$5,2)+1),$A$7:A88,"&lt;="&amp;'Panel'!$N$5)=1,1,0))</x:f>
        <x:v>0</x:v>
      </x:c>
    </x:row>
    <x:row r="89" ht="22" customHeight="1">
      <x:c r="A89" s="7" t="n">
        <x:v>46303</x:v>
      </x:c>
      <x:c r="B89" s="6" t="str">
        <x:v>PRJ-003</x:v>
      </x:c>
      <x:c r="C89" s="6" t="str">
        <x:v>P005</x:v>
      </x:c>
      <x:c r="D89" s="6" t="str">
        <x:v>İpek Acar</x:v>
      </x:c>
      <x:c r="E89" s="6" t="str">
        <x:v>Proje Yönetimi</x:v>
      </x:c>
      <x:c r="F89" s="17" t="n">
        <x:v>20</x:v>
      </x:c>
      <x:c r="G89" s="13" t="n">
        <x:v>1000</x:v>
      </x:c>
      <x:c r="H89" s="14" t="n">
        <x:f>IF(B89="","",IF(OR(A89="",C89="",NOT(ISNUMBER(F89)),NOT(ISNUMBER(G89))),"Eksik efor",F89*G89))</x:f>
        <x:v>20000</x:v>
      </x:c>
      <x:c r="I89" s="2" t="n">
        <x:f>IF(OR(B89="",C89="",A89="",A89&gt;'Panel'!$N$5),0,IF(COUNTIFS($B$7:B89,B89,$C$7:C89,C89,$A$7:A89,"&lt;="&amp;'Panel'!$N$5)=1,1,0))</x:f>
        <x:v>0</x:v>
      </x:c>
      <x:c r="J89" s="2" t="n">
        <x:f>IF(OR(B89="",C89="",A89="",A89&gt;'Panel'!$N$5,A89&lt;'Panel'!$N$5-WEEKDAY('Panel'!$N$5,2)+1),0,IF(COUNTIFS($B$7:B89,B89,$C$7:C89,C89,$A$7:A89,"&gt;="&amp;('Panel'!$N$5-WEEKDAY('Panel'!$N$5,2)+1),$A$7:A89,"&lt;="&amp;'Panel'!$N$5)=1,1,0))</x:f>
        <x:v>0</x:v>
      </x:c>
    </x:row>
    <x:row r="90" ht="22" customHeight="1">
      <x:c r="A90" s="7" t="n">
        <x:v>46303</x:v>
      </x:c>
      <x:c r="B90" s="6" t="str">
        <x:v>PRJ-003</x:v>
      </x:c>
      <x:c r="C90" s="6" t="str">
        <x:v>P006</x:v>
      </x:c>
      <x:c r="D90" s="6" t="str">
        <x:v>Ali Eren</x:v>
      </x:c>
      <x:c r="E90" s="6" t="str">
        <x:v>Bilgi Teknolojileri</x:v>
      </x:c>
      <x:c r="F90" s="17" t="n">
        <x:v>23</x:v>
      </x:c>
      <x:c r="G90" s="13" t="n">
        <x:v>950</x:v>
      </x:c>
      <x:c r="H90" s="14" t="n">
        <x:f>IF(B90="","",IF(OR(A90="",C90="",NOT(ISNUMBER(F90)),NOT(ISNUMBER(G90))),"Eksik efor",F90*G90))</x:f>
        <x:v>21850</x:v>
      </x:c>
      <x:c r="I90" s="2" t="n">
        <x:f>IF(OR(B90="",C90="",A90="",A90&gt;'Panel'!$N$5),0,IF(COUNTIFS($B$7:B90,B90,$C$7:C90,C90,$A$7:A90,"&lt;="&amp;'Panel'!$N$5)=1,1,0))</x:f>
        <x:v>0</x:v>
      </x:c>
      <x:c r="J90" s="2" t="n">
        <x:f>IF(OR(B90="",C90="",A90="",A90&gt;'Panel'!$N$5,A90&lt;'Panel'!$N$5-WEEKDAY('Panel'!$N$5,2)+1),0,IF(COUNTIFS($B$7:B90,B90,$C$7:C90,C90,$A$7:A90,"&gt;="&amp;('Panel'!$N$5-WEEKDAY('Panel'!$N$5,2)+1),$A$7:A90,"&lt;="&amp;'Panel'!$N$5)=1,1,0))</x:f>
        <x:v>0</x:v>
      </x:c>
    </x:row>
    <x:row r="91" ht="22" customHeight="1">
      <x:c r="A91" s="7" t="n">
        <x:v>46310</x:v>
      </x:c>
      <x:c r="B91" s="6" t="str">
        <x:v>PRJ-003</x:v>
      </x:c>
      <x:c r="C91" s="6" t="str">
        <x:v>P008</x:v>
      </x:c>
      <x:c r="D91" s="6" t="str">
        <x:v>Okan Yıldız</x:v>
      </x:c>
      <x:c r="E91" s="6" t="str">
        <x:v>Mühendislik</x:v>
      </x:c>
      <x:c r="F91" s="17" t="n">
        <x:v>12</x:v>
      </x:c>
      <x:c r="G91" s="13" t="n">
        <x:v>850</x:v>
      </x:c>
      <x:c r="H91" s="14" t="n">
        <x:f>IF(B91="","",IF(OR(A91="",C91="",NOT(ISNUMBER(F91)),NOT(ISNUMBER(G91))),"Eksik efor",F91*G91))</x:f>
        <x:v>10200</x:v>
      </x:c>
      <x:c r="I91" s="2" t="n">
        <x:f>IF(OR(B91="",C91="",A91="",A91&gt;'Panel'!$N$5),0,IF(COUNTIFS($B$7:B91,B91,$C$7:C91,C91,$A$7:A91,"&lt;="&amp;'Panel'!$N$5)=1,1,0))</x:f>
        <x:v>0</x:v>
      </x:c>
      <x:c r="J91" s="2" t="n">
        <x:f>IF(OR(B91="",C91="",A91="",A91&gt;'Panel'!$N$5,A91&lt;'Panel'!$N$5-WEEKDAY('Panel'!$N$5,2)+1),0,IF(COUNTIFS($B$7:B91,B91,$C$7:C91,C91,$A$7:A91,"&gt;="&amp;('Panel'!$N$5-WEEKDAY('Panel'!$N$5,2)+1),$A$7:A91,"&lt;="&amp;'Panel'!$N$5)=1,1,0))</x:f>
        <x:v>1</x:v>
      </x:c>
    </x:row>
    <x:row r="92" ht="22" customHeight="1">
      <x:c r="A92" s="7" t="n">
        <x:v>46310</x:v>
      </x:c>
      <x:c r="B92" s="6" t="str">
        <x:v>PRJ-003</x:v>
      </x:c>
      <x:c r="C92" s="6" t="str">
        <x:v>P009</x:v>
      </x:c>
      <x:c r="D92" s="6" t="str">
        <x:v>Derya Ak</x:v>
      </x:c>
      <x:c r="E92" s="6" t="str">
        <x:v>Üretim</x:v>
      </x:c>
      <x:c r="F92" s="17" t="n">
        <x:v>14</x:v>
      </x:c>
      <x:c r="G92" s="13" t="n">
        <x:v>700</x:v>
      </x:c>
      <x:c r="H92" s="14" t="n">
        <x:f>IF(B92="","",IF(OR(A92="",C92="",NOT(ISNUMBER(F92)),NOT(ISNUMBER(G92))),"Eksik efor",F92*G92))</x:f>
        <x:v>9800</x:v>
      </x:c>
      <x:c r="I92" s="2" t="n">
        <x:f>IF(OR(B92="",C92="",A92="",A92&gt;'Panel'!$N$5),0,IF(COUNTIFS($B$7:B92,B92,$C$7:C92,C92,$A$7:A92,"&lt;="&amp;'Panel'!$N$5)=1,1,0))</x:f>
        <x:v>0</x:v>
      </x:c>
      <x:c r="J92" s="2" t="n">
        <x:f>IF(OR(B92="",C92="",A92="",A92&gt;'Panel'!$N$5,A92&lt;'Panel'!$N$5-WEEKDAY('Panel'!$N$5,2)+1),0,IF(COUNTIFS($B$7:B92,B92,$C$7:C92,C92,$A$7:A92,"&gt;="&amp;('Panel'!$N$5-WEEKDAY('Panel'!$N$5,2)+1),$A$7:A92,"&lt;="&amp;'Panel'!$N$5)=1,1,0))</x:f>
        <x:v>1</x:v>
      </x:c>
    </x:row>
    <x:row r="93" ht="22" customHeight="1">
      <x:c r="A93" s="7" t="n">
        <x:v>46310</x:v>
      </x:c>
      <x:c r="B93" s="6" t="str">
        <x:v>PRJ-003</x:v>
      </x:c>
      <x:c r="C93" s="6" t="str">
        <x:v>P003</x:v>
      </x:c>
      <x:c r="D93" s="6" t="str">
        <x:v>Can Akın</x:v>
      </x:c>
      <x:c r="E93" s="6" t="str">
        <x:v>Satın Alma</x:v>
      </x:c>
      <x:c r="F93" s="17" t="n">
        <x:v>14</x:v>
      </x:c>
      <x:c r="G93" s="13" t="n">
        <x:v>750</x:v>
      </x:c>
      <x:c r="H93" s="14" t="n">
        <x:f>IF(B93="","",IF(OR(A93="",C93="",NOT(ISNUMBER(F93)),NOT(ISNUMBER(G93))),"Eksik efor",F93*G93))</x:f>
        <x:v>10500</x:v>
      </x:c>
      <x:c r="I93" s="2" t="n">
        <x:f>IF(OR(B93="",C93="",A93="",A93&gt;'Panel'!$N$5),0,IF(COUNTIFS($B$7:B93,B93,$C$7:C93,C93,$A$7:A93,"&lt;="&amp;'Panel'!$N$5)=1,1,0))</x:f>
        <x:v>0</x:v>
      </x:c>
      <x:c r="J93" s="2" t="n">
        <x:f>IF(OR(B93="",C93="",A93="",A93&gt;'Panel'!$N$5,A93&lt;'Panel'!$N$5-WEEKDAY('Panel'!$N$5,2)+1),0,IF(COUNTIFS($B$7:B93,B93,$C$7:C93,C93,$A$7:A93,"&gt;="&amp;('Panel'!$N$5-WEEKDAY('Panel'!$N$5,2)+1),$A$7:A93,"&lt;="&amp;'Panel'!$N$5)=1,1,0))</x:f>
        <x:v>1</x:v>
      </x:c>
    </x:row>
    <x:row r="94" ht="22" customHeight="1">
      <x:c r="A94" s="7" t="n">
        <x:v>46310</x:v>
      </x:c>
      <x:c r="B94" s="6" t="str">
        <x:v>PRJ-003</x:v>
      </x:c>
      <x:c r="C94" s="6" t="str">
        <x:v>P004</x:v>
      </x:c>
      <x:c r="D94" s="6" t="str">
        <x:v>Bora Işık</x:v>
      </x:c>
      <x:c r="E94" s="6" t="str">
        <x:v>Kalite</x:v>
      </x:c>
      <x:c r="F94" s="17" t="n">
        <x:v>10</x:v>
      </x:c>
      <x:c r="G94" s="13" t="n">
        <x:v>800</x:v>
      </x:c>
      <x:c r="H94" s="14" t="n">
        <x:f>IF(B94="","",IF(OR(A94="",C94="",NOT(ISNUMBER(F94)),NOT(ISNUMBER(G94))),"Eksik efor",F94*G94))</x:f>
        <x:v>8000</x:v>
      </x:c>
      <x:c r="I94" s="2" t="n">
        <x:f>IF(OR(B94="",C94="",A94="",A94&gt;'Panel'!$N$5),0,IF(COUNTIFS($B$7:B94,B94,$C$7:C94,C94,$A$7:A94,"&lt;="&amp;'Panel'!$N$5)=1,1,0))</x:f>
        <x:v>0</x:v>
      </x:c>
      <x:c r="J94" s="2" t="n">
        <x:f>IF(OR(B94="",C94="",A94="",A94&gt;'Panel'!$N$5,A94&lt;'Panel'!$N$5-WEEKDAY('Panel'!$N$5,2)+1),0,IF(COUNTIFS($B$7:B94,B94,$C$7:C94,C94,$A$7:A94,"&gt;="&amp;('Panel'!$N$5-WEEKDAY('Panel'!$N$5,2)+1),$A$7:A94,"&lt;="&amp;'Panel'!$N$5)=1,1,0))</x:f>
        <x:v>1</x:v>
      </x:c>
    </x:row>
    <x:row r="95" ht="22" customHeight="1">
      <x:c r="A95" s="7" t="n">
        <x:v>46310</x:v>
      </x:c>
      <x:c r="B95" s="6" t="str">
        <x:v>PRJ-003</x:v>
      </x:c>
      <x:c r="C95" s="6" t="str">
        <x:v>P005</x:v>
      </x:c>
      <x:c r="D95" s="6" t="str">
        <x:v>İpek Acar</x:v>
      </x:c>
      <x:c r="E95" s="6" t="str">
        <x:v>Proje Yönetimi</x:v>
      </x:c>
      <x:c r="F95" s="17" t="n">
        <x:v>12</x:v>
      </x:c>
      <x:c r="G95" s="13" t="n">
        <x:v>1000</x:v>
      </x:c>
      <x:c r="H95" s="14" t="n">
        <x:f>IF(B95="","",IF(OR(A95="",C95="",NOT(ISNUMBER(F95)),NOT(ISNUMBER(G95))),"Eksik efor",F95*G95))</x:f>
        <x:v>12000</x:v>
      </x:c>
      <x:c r="I95" s="2" t="n">
        <x:f>IF(OR(B95="",C95="",A95="",A95&gt;'Panel'!$N$5),0,IF(COUNTIFS($B$7:B95,B95,$C$7:C95,C95,$A$7:A95,"&lt;="&amp;'Panel'!$N$5)=1,1,0))</x:f>
        <x:v>0</x:v>
      </x:c>
      <x:c r="J95" s="2" t="n">
        <x:f>IF(OR(B95="",C95="",A95="",A95&gt;'Panel'!$N$5,A95&lt;'Panel'!$N$5-WEEKDAY('Panel'!$N$5,2)+1),0,IF(COUNTIFS($B$7:B95,B95,$C$7:C95,C95,$A$7:A95,"&gt;="&amp;('Panel'!$N$5-WEEKDAY('Panel'!$N$5,2)+1),$A$7:A95,"&lt;="&amp;'Panel'!$N$5)=1,1,0))</x:f>
        <x:v>1</x:v>
      </x:c>
    </x:row>
    <x:row r="96" ht="22" customHeight="1">
      <x:c r="A96" s="7" t="n">
        <x:v>46310</x:v>
      </x:c>
      <x:c r="B96" s="6" t="str">
        <x:v>PRJ-003</x:v>
      </x:c>
      <x:c r="C96" s="6" t="str">
        <x:v>P006</x:v>
      </x:c>
      <x:c r="D96" s="6" t="str">
        <x:v>Ali Eren</x:v>
      </x:c>
      <x:c r="E96" s="6" t="str">
        <x:v>Bilgi Teknolojileri</x:v>
      </x:c>
      <x:c r="F96" s="17" t="n">
        <x:v>14</x:v>
      </x:c>
      <x:c r="G96" s="13" t="n">
        <x:v>950</x:v>
      </x:c>
      <x:c r="H96" s="14" t="n">
        <x:f>IF(B96="","",IF(OR(A96="",C96="",NOT(ISNUMBER(F96)),NOT(ISNUMBER(G96))),"Eksik efor",F96*G96))</x:f>
        <x:v>13300</x:v>
      </x:c>
      <x:c r="I96" s="2" t="n">
        <x:f>IF(OR(B96="",C96="",A96="",A96&gt;'Panel'!$N$5),0,IF(COUNTIFS($B$7:B96,B96,$C$7:C96,C96,$A$7:A96,"&lt;="&amp;'Panel'!$N$5)=1,1,0))</x:f>
        <x:v>0</x:v>
      </x:c>
      <x:c r="J96" s="2" t="n">
        <x:f>IF(OR(B96="",C96="",A96="",A96&gt;'Panel'!$N$5,A96&lt;'Panel'!$N$5-WEEKDAY('Panel'!$N$5,2)+1),0,IF(COUNTIFS($B$7:B96,B96,$C$7:C96,C96,$A$7:A96,"&gt;="&amp;('Panel'!$N$5-WEEKDAY('Panel'!$N$5,2)+1),$A$7:A96,"&lt;="&amp;'Panel'!$N$5)=1,1,0))</x:f>
        <x:v>1</x:v>
      </x:c>
    </x:row>
    <x:row r="97" ht="22" customHeight="1">
      <x:c r="A97" s="7"/>
      <x:c r="B97" s="6"/>
      <x:c r="C97" s="6"/>
      <x:c r="D97" s="6"/>
      <x:c r="E97" s="6"/>
      <x:c r="F97" s="17"/>
      <x:c r="G97" s="13"/>
      <x:c r="H97" s="14" t="str">
        <x:f>IF(B97="","",IF(OR(A97="",C97="",NOT(ISNUMBER(F97)),NOT(ISNUMBER(G97))),"Eksik efor",F97*G97))</x:f>
      </x:c>
      <x:c r="I97" s="2" t="n">
        <x:f>IF(OR(B97="",C97="",A97="",A97&gt;'Panel'!$N$5),0,IF(COUNTIFS($B$7:B97,B97,$C$7:C97,C97,$A$7:A97,"&lt;="&amp;'Panel'!$N$5)=1,1,0))</x:f>
        <x:v>0</x:v>
      </x:c>
      <x:c r="J97" s="2" t="n">
        <x:f>IF(OR(B97="",C97="",A97="",A97&gt;'Panel'!$N$5,A97&lt;'Panel'!$N$5-WEEKDAY('Panel'!$N$5,2)+1),0,IF(COUNTIFS($B$7:B97,B97,$C$7:C97,C97,$A$7:A97,"&gt;="&amp;('Panel'!$N$5-WEEKDAY('Panel'!$N$5,2)+1),$A$7:A97,"&lt;="&amp;'Panel'!$N$5)=1,1,0))</x:f>
        <x:v>0</x:v>
      </x:c>
    </x:row>
    <x:row r="98" ht="22" customHeight="1">
      <x:c r="A98" s="7"/>
      <x:c r="B98" s="6"/>
      <x:c r="C98" s="6"/>
      <x:c r="D98" s="6"/>
      <x:c r="E98" s="6"/>
      <x:c r="F98" s="17"/>
      <x:c r="G98" s="13"/>
      <x:c r="H98" s="14" t="str">
        <x:f>IF(B98="","",IF(OR(A98="",C98="",NOT(ISNUMBER(F98)),NOT(ISNUMBER(G98))),"Eksik efor",F98*G98))</x:f>
      </x:c>
      <x:c r="I98" s="2" t="n">
        <x:f>IF(OR(B98="",C98="",A98="",A98&gt;'Panel'!$N$5),0,IF(COUNTIFS($B$7:B98,B98,$C$7:C98,C98,$A$7:A98,"&lt;="&amp;'Panel'!$N$5)=1,1,0))</x:f>
        <x:v>0</x:v>
      </x:c>
      <x:c r="J98" s="2" t="n">
        <x:f>IF(OR(B98="",C98="",A98="",A98&gt;'Panel'!$N$5,A98&lt;'Panel'!$N$5-WEEKDAY('Panel'!$N$5,2)+1),0,IF(COUNTIFS($B$7:B98,B98,$C$7:C98,C98,$A$7:A98,"&gt;="&amp;('Panel'!$N$5-WEEKDAY('Panel'!$N$5,2)+1),$A$7:A98,"&lt;="&amp;'Panel'!$N$5)=1,1,0))</x:f>
        <x:v>0</x:v>
      </x:c>
    </x:row>
    <x:row r="99" ht="22" customHeight="1">
      <x:c r="A99" s="7"/>
      <x:c r="B99" s="6"/>
      <x:c r="C99" s="6"/>
      <x:c r="D99" s="6"/>
      <x:c r="E99" s="6"/>
      <x:c r="F99" s="17"/>
      <x:c r="G99" s="13"/>
      <x:c r="H99" s="14" t="str">
        <x:f>IF(B99="","",IF(OR(A99="",C99="",NOT(ISNUMBER(F99)),NOT(ISNUMBER(G99))),"Eksik efor",F99*G99))</x:f>
      </x:c>
      <x:c r="I99" s="2" t="n">
        <x:f>IF(OR(B99="",C99="",A99="",A99&gt;'Panel'!$N$5),0,IF(COUNTIFS($B$7:B99,B99,$C$7:C99,C99,$A$7:A99,"&lt;="&amp;'Panel'!$N$5)=1,1,0))</x:f>
        <x:v>0</x:v>
      </x:c>
      <x:c r="J99" s="2" t="n">
        <x:f>IF(OR(B99="",C99="",A99="",A99&gt;'Panel'!$N$5,A99&lt;'Panel'!$N$5-WEEKDAY('Panel'!$N$5,2)+1),0,IF(COUNTIFS($B$7:B99,B99,$C$7:C99,C99,$A$7:A99,"&gt;="&amp;('Panel'!$N$5-WEEKDAY('Panel'!$N$5,2)+1),$A$7:A99,"&lt;="&amp;'Panel'!$N$5)=1,1,0))</x:f>
        <x:v>0</x:v>
      </x:c>
    </x:row>
    <x:row r="100" ht="22" customHeight="1">
      <x:c r="A100" s="7"/>
      <x:c r="B100" s="6"/>
      <x:c r="C100" s="6"/>
      <x:c r="D100" s="6"/>
      <x:c r="E100" s="6"/>
      <x:c r="F100" s="17"/>
      <x:c r="G100" s="13"/>
      <x:c r="H100" s="14" t="str">
        <x:f>IF(B100="","",IF(OR(A100="",C100="",NOT(ISNUMBER(F100)),NOT(ISNUMBER(G100))),"Eksik efor",F100*G100))</x:f>
      </x:c>
      <x:c r="I100" s="2" t="n">
        <x:f>IF(OR(B100="",C100="",A100="",A100&gt;'Panel'!$N$5),0,IF(COUNTIFS($B$7:B100,B100,$C$7:C100,C100,$A$7:A100,"&lt;="&amp;'Panel'!$N$5)=1,1,0))</x:f>
        <x:v>0</x:v>
      </x:c>
      <x:c r="J100" s="2" t="n">
        <x:f>IF(OR(B100="",C100="",A100="",A100&gt;'Panel'!$N$5,A100&lt;'Panel'!$N$5-WEEKDAY('Panel'!$N$5,2)+1),0,IF(COUNTIFS($B$7:B100,B100,$C$7:C100,C100,$A$7:A100,"&gt;="&amp;('Panel'!$N$5-WEEKDAY('Panel'!$N$5,2)+1),$A$7:A100,"&lt;="&amp;'Panel'!$N$5)=1,1,0))</x:f>
        <x:v>0</x:v>
      </x:c>
    </x:row>
    <x:row r="101" ht="22" customHeight="1">
      <x:c r="A101" s="7"/>
      <x:c r="B101" s="6"/>
      <x:c r="C101" s="6"/>
      <x:c r="D101" s="6"/>
      <x:c r="E101" s="6"/>
      <x:c r="F101" s="17"/>
      <x:c r="G101" s="13"/>
      <x:c r="H101" s="14" t="str">
        <x:f>IF(B101="","",IF(OR(A101="",C101="",NOT(ISNUMBER(F101)),NOT(ISNUMBER(G101))),"Eksik efor",F101*G101))</x:f>
      </x:c>
      <x:c r="I101" s="2" t="n">
        <x:f>IF(OR(B101="",C101="",A101="",A101&gt;'Panel'!$N$5),0,IF(COUNTIFS($B$7:B101,B101,$C$7:C101,C101,$A$7:A101,"&lt;="&amp;'Panel'!$N$5)=1,1,0))</x:f>
        <x:v>0</x:v>
      </x:c>
      <x:c r="J101" s="2" t="n">
        <x:f>IF(OR(B101="",C101="",A101="",A101&gt;'Panel'!$N$5,A101&lt;'Panel'!$N$5-WEEKDAY('Panel'!$N$5,2)+1),0,IF(COUNTIFS($B$7:B101,B101,$C$7:C101,C101,$A$7:A101,"&gt;="&amp;('Panel'!$N$5-WEEKDAY('Panel'!$N$5,2)+1),$A$7:A101,"&lt;="&amp;'Panel'!$N$5)=1,1,0))</x:f>
        <x:v>0</x:v>
      </x:c>
    </x:row>
    <x:row r="102" ht="22" customHeight="1">
      <x:c r="A102" s="7"/>
      <x:c r="B102" s="6"/>
      <x:c r="C102" s="6"/>
      <x:c r="D102" s="6"/>
      <x:c r="E102" s="6"/>
      <x:c r="F102" s="17"/>
      <x:c r="G102" s="13"/>
      <x:c r="H102" s="14" t="str">
        <x:f>IF(B102="","",IF(OR(A102="",C102="",NOT(ISNUMBER(F102)),NOT(ISNUMBER(G102))),"Eksik efor",F102*G102))</x:f>
      </x:c>
      <x:c r="I102" s="2" t="n">
        <x:f>IF(OR(B102="",C102="",A102="",A102&gt;'Panel'!$N$5),0,IF(COUNTIFS($B$7:B102,B102,$C$7:C102,C102,$A$7:A102,"&lt;="&amp;'Panel'!$N$5)=1,1,0))</x:f>
        <x:v>0</x:v>
      </x:c>
      <x:c r="J102" s="2" t="n">
        <x:f>IF(OR(B102="",C102="",A102="",A102&gt;'Panel'!$N$5,A102&lt;'Panel'!$N$5-WEEKDAY('Panel'!$N$5,2)+1),0,IF(COUNTIFS($B$7:B102,B102,$C$7:C102,C102,$A$7:A102,"&gt;="&amp;('Panel'!$N$5-WEEKDAY('Panel'!$N$5,2)+1),$A$7:A102,"&lt;="&amp;'Panel'!$N$5)=1,1,0))</x:f>
        <x:v>0</x:v>
      </x:c>
    </x:row>
    <x:row r="103" ht="22" customHeight="1">
      <x:c r="A103" s="7"/>
      <x:c r="B103" s="6"/>
      <x:c r="C103" s="6"/>
      <x:c r="D103" s="6"/>
      <x:c r="E103" s="6"/>
      <x:c r="F103" s="17"/>
      <x:c r="G103" s="13"/>
      <x:c r="H103" s="14" t="str">
        <x:f>IF(B103="","",IF(OR(A103="",C103="",NOT(ISNUMBER(F103)),NOT(ISNUMBER(G103))),"Eksik efor",F103*G103))</x:f>
      </x:c>
      <x:c r="I103" s="2" t="n">
        <x:f>IF(OR(B103="",C103="",A103="",A103&gt;'Panel'!$N$5),0,IF(COUNTIFS($B$7:B103,B103,$C$7:C103,C103,$A$7:A103,"&lt;="&amp;'Panel'!$N$5)=1,1,0))</x:f>
        <x:v>0</x:v>
      </x:c>
      <x:c r="J103" s="2" t="n">
        <x:f>IF(OR(B103="",C103="",A103="",A103&gt;'Panel'!$N$5,A103&lt;'Panel'!$N$5-WEEKDAY('Panel'!$N$5,2)+1),0,IF(COUNTIFS($B$7:B103,B103,$C$7:C103,C103,$A$7:A103,"&gt;="&amp;('Panel'!$N$5-WEEKDAY('Panel'!$N$5,2)+1),$A$7:A103,"&lt;="&amp;'Panel'!$N$5)=1,1,0))</x:f>
        <x:v>0</x:v>
      </x:c>
    </x:row>
    <x:row r="104" ht="22" customHeight="1">
      <x:c r="A104" s="7"/>
      <x:c r="B104" s="6"/>
      <x:c r="C104" s="6"/>
      <x:c r="D104" s="6"/>
      <x:c r="E104" s="6"/>
      <x:c r="F104" s="17"/>
      <x:c r="G104" s="13"/>
      <x:c r="H104" s="14" t="str">
        <x:f>IF(B104="","",IF(OR(A104="",C104="",NOT(ISNUMBER(F104)),NOT(ISNUMBER(G104))),"Eksik efor",F104*G104))</x:f>
      </x:c>
      <x:c r="I104" s="2" t="n">
        <x:f>IF(OR(B104="",C104="",A104="",A104&gt;'Panel'!$N$5),0,IF(COUNTIFS($B$7:B104,B104,$C$7:C104,C104,$A$7:A104,"&lt;="&amp;'Panel'!$N$5)=1,1,0))</x:f>
        <x:v>0</x:v>
      </x:c>
      <x:c r="J104" s="2" t="n">
        <x:f>IF(OR(B104="",C104="",A104="",A104&gt;'Panel'!$N$5,A104&lt;'Panel'!$N$5-WEEKDAY('Panel'!$N$5,2)+1),0,IF(COUNTIFS($B$7:B104,B104,$C$7:C104,C104,$A$7:A104,"&gt;="&amp;('Panel'!$N$5-WEEKDAY('Panel'!$N$5,2)+1),$A$7:A104,"&lt;="&amp;'Panel'!$N$5)=1,1,0))</x:f>
        <x:v>0</x:v>
      </x:c>
    </x:row>
    <x:row r="105" ht="22" customHeight="1">
      <x:c r="A105" s="7"/>
      <x:c r="B105" s="6"/>
      <x:c r="C105" s="6"/>
      <x:c r="D105" s="6"/>
      <x:c r="E105" s="6"/>
      <x:c r="F105" s="17"/>
      <x:c r="G105" s="13"/>
      <x:c r="H105" s="14" t="str">
        <x:f>IF(B105="","",IF(OR(A105="",C105="",NOT(ISNUMBER(F105)),NOT(ISNUMBER(G105))),"Eksik efor",F105*G105))</x:f>
      </x:c>
      <x:c r="I105" s="2" t="n">
        <x:f>IF(OR(B105="",C105="",A105="",A105&gt;'Panel'!$N$5),0,IF(COUNTIFS($B$7:B105,B105,$C$7:C105,C105,$A$7:A105,"&lt;="&amp;'Panel'!$N$5)=1,1,0))</x:f>
        <x:v>0</x:v>
      </x:c>
      <x:c r="J105" s="2" t="n">
        <x:f>IF(OR(B105="",C105="",A105="",A105&gt;'Panel'!$N$5,A105&lt;'Panel'!$N$5-WEEKDAY('Panel'!$N$5,2)+1),0,IF(COUNTIFS($B$7:B105,B105,$C$7:C105,C105,$A$7:A105,"&gt;="&amp;('Panel'!$N$5-WEEKDAY('Panel'!$N$5,2)+1),$A$7:A105,"&lt;="&amp;'Panel'!$N$5)=1,1,0))</x:f>
        <x:v>0</x:v>
      </x:c>
    </x:row>
    <x:row r="106" ht="22" customHeight="1">
      <x:c r="A106" s="7"/>
      <x:c r="B106" s="6"/>
      <x:c r="C106" s="6"/>
      <x:c r="D106" s="6"/>
      <x:c r="E106" s="6"/>
      <x:c r="F106" s="17"/>
      <x:c r="G106" s="13"/>
      <x:c r="H106" s="14" t="str">
        <x:f>IF(B106="","",IF(OR(A106="",C106="",NOT(ISNUMBER(F106)),NOT(ISNUMBER(G106))),"Eksik efor",F106*G106))</x:f>
      </x:c>
      <x:c r="I106" s="2" t="n">
        <x:f>IF(OR(B106="",C106="",A106="",A106&gt;'Panel'!$N$5),0,IF(COUNTIFS($B$7:B106,B106,$C$7:C106,C106,$A$7:A106,"&lt;="&amp;'Panel'!$N$5)=1,1,0))</x:f>
        <x:v>0</x:v>
      </x:c>
      <x:c r="J106" s="2" t="n">
        <x:f>IF(OR(B106="",C106="",A106="",A106&gt;'Panel'!$N$5,A106&lt;'Panel'!$N$5-WEEKDAY('Panel'!$N$5,2)+1),0,IF(COUNTIFS($B$7:B106,B106,$C$7:C106,C106,$A$7:A106,"&gt;="&amp;('Panel'!$N$5-WEEKDAY('Panel'!$N$5,2)+1),$A$7:A106,"&lt;="&amp;'Panel'!$N$5)=1,1,0))</x:f>
        <x:v>0</x:v>
      </x:c>
    </x:row>
    <x:row r="107" ht="22" customHeight="1">
      <x:c r="A107" s="7"/>
      <x:c r="B107" s="6"/>
      <x:c r="C107" s="6"/>
      <x:c r="D107" s="6"/>
      <x:c r="E107" s="6"/>
      <x:c r="F107" s="17"/>
      <x:c r="G107" s="13"/>
      <x:c r="H107" s="14" t="str">
        <x:f>IF(B107="","",IF(OR(A107="",C107="",NOT(ISNUMBER(F107)),NOT(ISNUMBER(G107))),"Eksik efor",F107*G107))</x:f>
      </x:c>
      <x:c r="I107" s="2" t="n">
        <x:f>IF(OR(B107="",C107="",A107="",A107&gt;'Panel'!$N$5),0,IF(COUNTIFS($B$7:B107,B107,$C$7:C107,C107,$A$7:A107,"&lt;="&amp;'Panel'!$N$5)=1,1,0))</x:f>
        <x:v>0</x:v>
      </x:c>
      <x:c r="J107" s="2" t="n">
        <x:f>IF(OR(B107="",C107="",A107="",A107&gt;'Panel'!$N$5,A107&lt;'Panel'!$N$5-WEEKDAY('Panel'!$N$5,2)+1),0,IF(COUNTIFS($B$7:B107,B107,$C$7:C107,C107,$A$7:A107,"&gt;="&amp;('Panel'!$N$5-WEEKDAY('Panel'!$N$5,2)+1),$A$7:A107,"&lt;="&amp;'Panel'!$N$5)=1,1,0))</x:f>
        <x:v>0</x:v>
      </x:c>
    </x:row>
    <x:row r="108" ht="22" customHeight="1">
      <x:c r="A108" s="7"/>
      <x:c r="B108" s="6"/>
      <x:c r="C108" s="6"/>
      <x:c r="D108" s="6"/>
      <x:c r="E108" s="6"/>
      <x:c r="F108" s="17"/>
      <x:c r="G108" s="13"/>
      <x:c r="H108" s="14" t="str">
        <x:f>IF(B108="","",IF(OR(A108="",C108="",NOT(ISNUMBER(F108)),NOT(ISNUMBER(G108))),"Eksik efor",F108*G108))</x:f>
      </x:c>
      <x:c r="I108" s="2" t="n">
        <x:f>IF(OR(B108="",C108="",A108="",A108&gt;'Panel'!$N$5),0,IF(COUNTIFS($B$7:B108,B108,$C$7:C108,C108,$A$7:A108,"&lt;="&amp;'Panel'!$N$5)=1,1,0))</x:f>
        <x:v>0</x:v>
      </x:c>
      <x:c r="J108" s="2" t="n">
        <x:f>IF(OR(B108="",C108="",A108="",A108&gt;'Panel'!$N$5,A108&lt;'Panel'!$N$5-WEEKDAY('Panel'!$N$5,2)+1),0,IF(COUNTIFS($B$7:B108,B108,$C$7:C108,C108,$A$7:A108,"&gt;="&amp;('Panel'!$N$5-WEEKDAY('Panel'!$N$5,2)+1),$A$7:A108,"&lt;="&amp;'Panel'!$N$5)=1,1,0))</x:f>
        <x:v>0</x:v>
      </x:c>
    </x:row>
    <x:row r="109" ht="22" customHeight="1">
      <x:c r="A109" s="7"/>
      <x:c r="B109" s="6"/>
      <x:c r="C109" s="6"/>
      <x:c r="D109" s="6"/>
      <x:c r="E109" s="6"/>
      <x:c r="F109" s="17"/>
      <x:c r="G109" s="13"/>
      <x:c r="H109" s="14" t="str">
        <x:f>IF(B109="","",IF(OR(A109="",C109="",NOT(ISNUMBER(F109)),NOT(ISNUMBER(G109))),"Eksik efor",F109*G109))</x:f>
      </x:c>
      <x:c r="I109" s="2" t="n">
        <x:f>IF(OR(B109="",C109="",A109="",A109&gt;'Panel'!$N$5),0,IF(COUNTIFS($B$7:B109,B109,$C$7:C109,C109,$A$7:A109,"&lt;="&amp;'Panel'!$N$5)=1,1,0))</x:f>
        <x:v>0</x:v>
      </x:c>
      <x:c r="J109" s="2" t="n">
        <x:f>IF(OR(B109="",C109="",A109="",A109&gt;'Panel'!$N$5,A109&lt;'Panel'!$N$5-WEEKDAY('Panel'!$N$5,2)+1),0,IF(COUNTIFS($B$7:B109,B109,$C$7:C109,C109,$A$7:A109,"&gt;="&amp;('Panel'!$N$5-WEEKDAY('Panel'!$N$5,2)+1),$A$7:A109,"&lt;="&amp;'Panel'!$N$5)=1,1,0))</x:f>
        <x:v>0</x:v>
      </x:c>
    </x:row>
    <x:row r="110" ht="22" customHeight="1">
      <x:c r="A110" s="7"/>
      <x:c r="B110" s="6"/>
      <x:c r="C110" s="6"/>
      <x:c r="D110" s="6"/>
      <x:c r="E110" s="6"/>
      <x:c r="F110" s="17"/>
      <x:c r="G110" s="13"/>
      <x:c r="H110" s="14" t="str">
        <x:f>IF(B110="","",IF(OR(A110="",C110="",NOT(ISNUMBER(F110)),NOT(ISNUMBER(G110))),"Eksik efor",F110*G110))</x:f>
      </x:c>
      <x:c r="I110" s="2" t="n">
        <x:f>IF(OR(B110="",C110="",A110="",A110&gt;'Panel'!$N$5),0,IF(COUNTIFS($B$7:B110,B110,$C$7:C110,C110,$A$7:A110,"&lt;="&amp;'Panel'!$N$5)=1,1,0))</x:f>
        <x:v>0</x:v>
      </x:c>
      <x:c r="J110" s="2" t="n">
        <x:f>IF(OR(B110="",C110="",A110="",A110&gt;'Panel'!$N$5,A110&lt;'Panel'!$N$5-WEEKDAY('Panel'!$N$5,2)+1),0,IF(COUNTIFS($B$7:B110,B110,$C$7:C110,C110,$A$7:A110,"&gt;="&amp;('Panel'!$N$5-WEEKDAY('Panel'!$N$5,2)+1),$A$7:A110,"&lt;="&amp;'Panel'!$N$5)=1,1,0))</x:f>
        <x:v>0</x:v>
      </x:c>
    </x:row>
    <x:row r="111" ht="22" customHeight="1">
      <x:c r="A111" s="7"/>
      <x:c r="B111" s="6"/>
      <x:c r="C111" s="6"/>
      <x:c r="D111" s="6"/>
      <x:c r="E111" s="6"/>
      <x:c r="F111" s="17"/>
      <x:c r="G111" s="13"/>
      <x:c r="H111" s="14" t="str">
        <x:f>IF(B111="","",IF(OR(A111="",C111="",NOT(ISNUMBER(F111)),NOT(ISNUMBER(G111))),"Eksik efor",F111*G111))</x:f>
      </x:c>
      <x:c r="I111" s="2" t="n">
        <x:f>IF(OR(B111="",C111="",A111="",A111&gt;'Panel'!$N$5),0,IF(COUNTIFS($B$7:B111,B111,$C$7:C111,C111,$A$7:A111,"&lt;="&amp;'Panel'!$N$5)=1,1,0))</x:f>
        <x:v>0</x:v>
      </x:c>
      <x:c r="J111" s="2" t="n">
        <x:f>IF(OR(B111="",C111="",A111="",A111&gt;'Panel'!$N$5,A111&lt;'Panel'!$N$5-WEEKDAY('Panel'!$N$5,2)+1),0,IF(COUNTIFS($B$7:B111,B111,$C$7:C111,C111,$A$7:A111,"&gt;="&amp;('Panel'!$N$5-WEEKDAY('Panel'!$N$5,2)+1),$A$7:A111,"&lt;="&amp;'Panel'!$N$5)=1,1,0))</x:f>
        <x:v>0</x:v>
      </x:c>
    </x:row>
    <x:row r="112" ht="22" customHeight="1">
      <x:c r="A112" s="7"/>
      <x:c r="B112" s="6"/>
      <x:c r="C112" s="6"/>
      <x:c r="D112" s="6"/>
      <x:c r="E112" s="6"/>
      <x:c r="F112" s="17"/>
      <x:c r="G112" s="13"/>
      <x:c r="H112" s="14" t="str">
        <x:f>IF(B112="","",IF(OR(A112="",C112="",NOT(ISNUMBER(F112)),NOT(ISNUMBER(G112))),"Eksik efor",F112*G112))</x:f>
      </x:c>
      <x:c r="I112" s="2" t="n">
        <x:f>IF(OR(B112="",C112="",A112="",A112&gt;'Panel'!$N$5),0,IF(COUNTIFS($B$7:B112,B112,$C$7:C112,C112,$A$7:A112,"&lt;="&amp;'Panel'!$N$5)=1,1,0))</x:f>
        <x:v>0</x:v>
      </x:c>
      <x:c r="J112" s="2" t="n">
        <x:f>IF(OR(B112="",C112="",A112="",A112&gt;'Panel'!$N$5,A112&lt;'Panel'!$N$5-WEEKDAY('Panel'!$N$5,2)+1),0,IF(COUNTIFS($B$7:B112,B112,$C$7:C112,C112,$A$7:A112,"&gt;="&amp;('Panel'!$N$5-WEEKDAY('Panel'!$N$5,2)+1),$A$7:A112,"&lt;="&amp;'Panel'!$N$5)=1,1,0))</x:f>
        <x:v>0</x:v>
      </x:c>
    </x:row>
    <x:row r="113" ht="22" customHeight="1">
      <x:c r="A113" s="7"/>
      <x:c r="B113" s="6"/>
      <x:c r="C113" s="6"/>
      <x:c r="D113" s="6"/>
      <x:c r="E113" s="6"/>
      <x:c r="F113" s="17"/>
      <x:c r="G113" s="13"/>
      <x:c r="H113" s="14" t="str">
        <x:f>IF(B113="","",IF(OR(A113="",C113="",NOT(ISNUMBER(F113)),NOT(ISNUMBER(G113))),"Eksik efor",F113*G113))</x:f>
      </x:c>
      <x:c r="I113" s="2" t="n">
        <x:f>IF(OR(B113="",C113="",A113="",A113&gt;'Panel'!$N$5),0,IF(COUNTIFS($B$7:B113,B113,$C$7:C113,C113,$A$7:A113,"&lt;="&amp;'Panel'!$N$5)=1,1,0))</x:f>
        <x:v>0</x:v>
      </x:c>
      <x:c r="J113" s="2" t="n">
        <x:f>IF(OR(B113="",C113="",A113="",A113&gt;'Panel'!$N$5,A113&lt;'Panel'!$N$5-WEEKDAY('Panel'!$N$5,2)+1),0,IF(COUNTIFS($B$7:B113,B113,$C$7:C113,C113,$A$7:A113,"&gt;="&amp;('Panel'!$N$5-WEEKDAY('Panel'!$N$5,2)+1),$A$7:A113,"&lt;="&amp;'Panel'!$N$5)=1,1,0))</x:f>
        <x:v>0</x:v>
      </x:c>
    </x:row>
    <x:row r="114" ht="22" customHeight="1">
      <x:c r="A114" s="7"/>
      <x:c r="B114" s="6"/>
      <x:c r="C114" s="6"/>
      <x:c r="D114" s="6"/>
      <x:c r="E114" s="6"/>
      <x:c r="F114" s="17"/>
      <x:c r="G114" s="13"/>
      <x:c r="H114" s="14" t="str">
        <x:f>IF(B114="","",IF(OR(A114="",C114="",NOT(ISNUMBER(F114)),NOT(ISNUMBER(G114))),"Eksik efor",F114*G114))</x:f>
      </x:c>
      <x:c r="I114" s="2" t="n">
        <x:f>IF(OR(B114="",C114="",A114="",A114&gt;'Panel'!$N$5),0,IF(COUNTIFS($B$7:B114,B114,$C$7:C114,C114,$A$7:A114,"&lt;="&amp;'Panel'!$N$5)=1,1,0))</x:f>
        <x:v>0</x:v>
      </x:c>
      <x:c r="J114" s="2" t="n">
        <x:f>IF(OR(B114="",C114="",A114="",A114&gt;'Panel'!$N$5,A114&lt;'Panel'!$N$5-WEEKDAY('Panel'!$N$5,2)+1),0,IF(COUNTIFS($B$7:B114,B114,$C$7:C114,C114,$A$7:A114,"&gt;="&amp;('Panel'!$N$5-WEEKDAY('Panel'!$N$5,2)+1),$A$7:A114,"&lt;="&amp;'Panel'!$N$5)=1,1,0))</x:f>
        <x:v>0</x:v>
      </x:c>
    </x:row>
    <x:row r="115" ht="22" customHeight="1">
      <x:c r="A115" s="7"/>
      <x:c r="B115" s="6"/>
      <x:c r="C115" s="6"/>
      <x:c r="D115" s="6"/>
      <x:c r="E115" s="6"/>
      <x:c r="F115" s="17"/>
      <x:c r="G115" s="13"/>
      <x:c r="H115" s="14" t="str">
        <x:f>IF(B115="","",IF(OR(A115="",C115="",NOT(ISNUMBER(F115)),NOT(ISNUMBER(G115))),"Eksik efor",F115*G115))</x:f>
      </x:c>
      <x:c r="I115" s="2" t="n">
        <x:f>IF(OR(B115="",C115="",A115="",A115&gt;'Panel'!$N$5),0,IF(COUNTIFS($B$7:B115,B115,$C$7:C115,C115,$A$7:A115,"&lt;="&amp;'Panel'!$N$5)=1,1,0))</x:f>
        <x:v>0</x:v>
      </x:c>
      <x:c r="J115" s="2" t="n">
        <x:f>IF(OR(B115="",C115="",A115="",A115&gt;'Panel'!$N$5,A115&lt;'Panel'!$N$5-WEEKDAY('Panel'!$N$5,2)+1),0,IF(COUNTIFS($B$7:B115,B115,$C$7:C115,C115,$A$7:A115,"&gt;="&amp;('Panel'!$N$5-WEEKDAY('Panel'!$N$5,2)+1),$A$7:A115,"&lt;="&amp;'Panel'!$N$5)=1,1,0))</x:f>
        <x:v>0</x:v>
      </x:c>
    </x:row>
    <x:row r="116" ht="22" customHeight="1">
      <x:c r="A116" s="7"/>
      <x:c r="B116" s="6"/>
      <x:c r="C116" s="6"/>
      <x:c r="D116" s="6"/>
      <x:c r="E116" s="6"/>
      <x:c r="F116" s="17"/>
      <x:c r="G116" s="13"/>
      <x:c r="H116" s="14" t="str">
        <x:f>IF(B116="","",IF(OR(A116="",C116="",NOT(ISNUMBER(F116)),NOT(ISNUMBER(G116))),"Eksik efor",F116*G116))</x:f>
      </x:c>
      <x:c r="I116" s="2" t="n">
        <x:f>IF(OR(B116="",C116="",A116="",A116&gt;'Panel'!$N$5),0,IF(COUNTIFS($B$7:B116,B116,$C$7:C116,C116,$A$7:A116,"&lt;="&amp;'Panel'!$N$5)=1,1,0))</x:f>
        <x:v>0</x:v>
      </x:c>
      <x:c r="J116" s="2" t="n">
        <x:f>IF(OR(B116="",C116="",A116="",A116&gt;'Panel'!$N$5,A116&lt;'Panel'!$N$5-WEEKDAY('Panel'!$N$5,2)+1),0,IF(COUNTIFS($B$7:B116,B116,$C$7:C116,C116,$A$7:A116,"&gt;="&amp;('Panel'!$N$5-WEEKDAY('Panel'!$N$5,2)+1),$A$7:A116,"&lt;="&amp;'Panel'!$N$5)=1,1,0))</x:f>
        <x:v>0</x:v>
      </x:c>
    </x:row>
    <x:row r="117" ht="22" customHeight="1">
      <x:c r="A117" s="7"/>
      <x:c r="B117" s="6"/>
      <x:c r="C117" s="6"/>
      <x:c r="D117" s="6"/>
      <x:c r="E117" s="6"/>
      <x:c r="F117" s="17"/>
      <x:c r="G117" s="13"/>
      <x:c r="H117" s="14" t="str">
        <x:f>IF(B117="","",IF(OR(A117="",C117="",NOT(ISNUMBER(F117)),NOT(ISNUMBER(G117))),"Eksik efor",F117*G117))</x:f>
      </x:c>
      <x:c r="I117" s="2" t="n">
        <x:f>IF(OR(B117="",C117="",A117="",A117&gt;'Panel'!$N$5),0,IF(COUNTIFS($B$7:B117,B117,$C$7:C117,C117,$A$7:A117,"&lt;="&amp;'Panel'!$N$5)=1,1,0))</x:f>
        <x:v>0</x:v>
      </x:c>
      <x:c r="J117" s="2" t="n">
        <x:f>IF(OR(B117="",C117="",A117="",A117&gt;'Panel'!$N$5,A117&lt;'Panel'!$N$5-WEEKDAY('Panel'!$N$5,2)+1),0,IF(COUNTIFS($B$7:B117,B117,$C$7:C117,C117,$A$7:A117,"&gt;="&amp;('Panel'!$N$5-WEEKDAY('Panel'!$N$5,2)+1),$A$7:A117,"&lt;="&amp;'Panel'!$N$5)=1,1,0))</x:f>
        <x:v>0</x:v>
      </x:c>
    </x:row>
    <x:row r="118" ht="22" customHeight="1">
      <x:c r="A118" s="7"/>
      <x:c r="B118" s="6"/>
      <x:c r="C118" s="6"/>
      <x:c r="D118" s="6"/>
      <x:c r="E118" s="6"/>
      <x:c r="F118" s="17"/>
      <x:c r="G118" s="13"/>
      <x:c r="H118" s="14" t="str">
        <x:f>IF(B118="","",IF(OR(A118="",C118="",NOT(ISNUMBER(F118)),NOT(ISNUMBER(G118))),"Eksik efor",F118*G118))</x:f>
      </x:c>
      <x:c r="I118" s="2" t="n">
        <x:f>IF(OR(B118="",C118="",A118="",A118&gt;'Panel'!$N$5),0,IF(COUNTIFS($B$7:B118,B118,$C$7:C118,C118,$A$7:A118,"&lt;="&amp;'Panel'!$N$5)=1,1,0))</x:f>
        <x:v>0</x:v>
      </x:c>
      <x:c r="J118" s="2" t="n">
        <x:f>IF(OR(B118="",C118="",A118="",A118&gt;'Panel'!$N$5,A118&lt;'Panel'!$N$5-WEEKDAY('Panel'!$N$5,2)+1),0,IF(COUNTIFS($B$7:B118,B118,$C$7:C118,C118,$A$7:A118,"&gt;="&amp;('Panel'!$N$5-WEEKDAY('Panel'!$N$5,2)+1),$A$7:A118,"&lt;="&amp;'Panel'!$N$5)=1,1,0))</x:f>
        <x:v>0</x:v>
      </x:c>
    </x:row>
    <x:row r="119" ht="22" customHeight="1">
      <x:c r="A119" s="7"/>
      <x:c r="B119" s="6"/>
      <x:c r="C119" s="6"/>
      <x:c r="D119" s="6"/>
      <x:c r="E119" s="6"/>
      <x:c r="F119" s="17"/>
      <x:c r="G119" s="13"/>
      <x:c r="H119" s="14" t="str">
        <x:f>IF(B119="","",IF(OR(A119="",C119="",NOT(ISNUMBER(F119)),NOT(ISNUMBER(G119))),"Eksik efor",F119*G119))</x:f>
      </x:c>
      <x:c r="I119" s="2" t="n">
        <x:f>IF(OR(B119="",C119="",A119="",A119&gt;'Panel'!$N$5),0,IF(COUNTIFS($B$7:B119,B119,$C$7:C119,C119,$A$7:A119,"&lt;="&amp;'Panel'!$N$5)=1,1,0))</x:f>
        <x:v>0</x:v>
      </x:c>
      <x:c r="J119" s="2" t="n">
        <x:f>IF(OR(B119="",C119="",A119="",A119&gt;'Panel'!$N$5,A119&lt;'Panel'!$N$5-WEEKDAY('Panel'!$N$5,2)+1),0,IF(COUNTIFS($B$7:B119,B119,$C$7:C119,C119,$A$7:A119,"&gt;="&amp;('Panel'!$N$5-WEEKDAY('Panel'!$N$5,2)+1),$A$7:A119,"&lt;="&amp;'Panel'!$N$5)=1,1,0))</x:f>
        <x:v>0</x:v>
      </x:c>
    </x:row>
    <x:row r="120" ht="22" customHeight="1">
      <x:c r="A120" s="7"/>
      <x:c r="B120" s="6"/>
      <x:c r="C120" s="6"/>
      <x:c r="D120" s="6"/>
      <x:c r="E120" s="6"/>
      <x:c r="F120" s="17"/>
      <x:c r="G120" s="13"/>
      <x:c r="H120" s="14" t="str">
        <x:f>IF(B120="","",IF(OR(A120="",C120="",NOT(ISNUMBER(F120)),NOT(ISNUMBER(G120))),"Eksik efor",F120*G120))</x:f>
      </x:c>
      <x:c r="I120" s="2" t="n">
        <x:f>IF(OR(B120="",C120="",A120="",A120&gt;'Panel'!$N$5),0,IF(COUNTIFS($B$7:B120,B120,$C$7:C120,C120,$A$7:A120,"&lt;="&amp;'Panel'!$N$5)=1,1,0))</x:f>
        <x:v>0</x:v>
      </x:c>
      <x:c r="J120" s="2" t="n">
        <x:f>IF(OR(B120="",C120="",A120="",A120&gt;'Panel'!$N$5,A120&lt;'Panel'!$N$5-WEEKDAY('Panel'!$N$5,2)+1),0,IF(COUNTIFS($B$7:B120,B120,$C$7:C120,C120,$A$7:A120,"&gt;="&amp;('Panel'!$N$5-WEEKDAY('Panel'!$N$5,2)+1),$A$7:A120,"&lt;="&amp;'Panel'!$N$5)=1,1,0))</x:f>
        <x:v>0</x:v>
      </x:c>
    </x:row>
    <x:row r="121" ht="22" customHeight="1">
      <x:c r="A121" s="7"/>
      <x:c r="B121" s="6"/>
      <x:c r="C121" s="6"/>
      <x:c r="D121" s="6"/>
      <x:c r="E121" s="6"/>
      <x:c r="F121" s="17"/>
      <x:c r="G121" s="13"/>
      <x:c r="H121" s="14" t="str">
        <x:f>IF(B121="","",IF(OR(A121="",C121="",NOT(ISNUMBER(F121)),NOT(ISNUMBER(G121))),"Eksik efor",F121*G121))</x:f>
      </x:c>
      <x:c r="I121" s="2" t="n">
        <x:f>IF(OR(B121="",C121="",A121="",A121&gt;'Panel'!$N$5),0,IF(COUNTIFS($B$7:B121,B121,$C$7:C121,C121,$A$7:A121,"&lt;="&amp;'Panel'!$N$5)=1,1,0))</x:f>
        <x:v>0</x:v>
      </x:c>
      <x:c r="J121" s="2" t="n">
        <x:f>IF(OR(B121="",C121="",A121="",A121&gt;'Panel'!$N$5,A121&lt;'Panel'!$N$5-WEEKDAY('Panel'!$N$5,2)+1),0,IF(COUNTIFS($B$7:B121,B121,$C$7:C121,C121,$A$7:A121,"&gt;="&amp;('Panel'!$N$5-WEEKDAY('Panel'!$N$5,2)+1),$A$7:A121,"&lt;="&amp;'Panel'!$N$5)=1,1,0))</x:f>
        <x:v>0</x:v>
      </x:c>
    </x:row>
    <x:row r="122" ht="22" customHeight="1">
      <x:c r="A122" s="7"/>
      <x:c r="B122" s="6"/>
      <x:c r="C122" s="6"/>
      <x:c r="D122" s="6"/>
      <x:c r="E122" s="6"/>
      <x:c r="F122" s="17"/>
      <x:c r="G122" s="13"/>
      <x:c r="H122" s="14" t="str">
        <x:f>IF(B122="","",IF(OR(A122="",C122="",NOT(ISNUMBER(F122)),NOT(ISNUMBER(G122))),"Eksik efor",F122*G122))</x:f>
      </x:c>
      <x:c r="I122" s="2" t="n">
        <x:f>IF(OR(B122="",C122="",A122="",A122&gt;'Panel'!$N$5),0,IF(COUNTIFS($B$7:B122,B122,$C$7:C122,C122,$A$7:A122,"&lt;="&amp;'Panel'!$N$5)=1,1,0))</x:f>
        <x:v>0</x:v>
      </x:c>
      <x:c r="J122" s="2" t="n">
        <x:f>IF(OR(B122="",C122="",A122="",A122&gt;'Panel'!$N$5,A122&lt;'Panel'!$N$5-WEEKDAY('Panel'!$N$5,2)+1),0,IF(COUNTIFS($B$7:B122,B122,$C$7:C122,C122,$A$7:A122,"&gt;="&amp;('Panel'!$N$5-WEEKDAY('Panel'!$N$5,2)+1),$A$7:A122,"&lt;="&amp;'Panel'!$N$5)=1,1,0))</x:f>
        <x:v>0</x:v>
      </x:c>
    </x:row>
    <x:row r="123" ht="22" customHeight="1">
      <x:c r="A123" s="7"/>
      <x:c r="B123" s="6"/>
      <x:c r="C123" s="6"/>
      <x:c r="D123" s="6"/>
      <x:c r="E123" s="6"/>
      <x:c r="F123" s="17"/>
      <x:c r="G123" s="13"/>
      <x:c r="H123" s="14" t="str">
        <x:f>IF(B123="","",IF(OR(A123="",C123="",NOT(ISNUMBER(F123)),NOT(ISNUMBER(G123))),"Eksik efor",F123*G123))</x:f>
      </x:c>
      <x:c r="I123" s="2" t="n">
        <x:f>IF(OR(B123="",C123="",A123="",A123&gt;'Panel'!$N$5),0,IF(COUNTIFS($B$7:B123,B123,$C$7:C123,C123,$A$7:A123,"&lt;="&amp;'Panel'!$N$5)=1,1,0))</x:f>
        <x:v>0</x:v>
      </x:c>
      <x:c r="J123" s="2" t="n">
        <x:f>IF(OR(B123="",C123="",A123="",A123&gt;'Panel'!$N$5,A123&lt;'Panel'!$N$5-WEEKDAY('Panel'!$N$5,2)+1),0,IF(COUNTIFS($B$7:B123,B123,$C$7:C123,C123,$A$7:A123,"&gt;="&amp;('Panel'!$N$5-WEEKDAY('Panel'!$N$5,2)+1),$A$7:A123,"&lt;="&amp;'Panel'!$N$5)=1,1,0))</x:f>
        <x:v>0</x:v>
      </x:c>
    </x:row>
    <x:row r="124" ht="22" customHeight="1">
      <x:c r="A124" s="7"/>
      <x:c r="B124" s="6"/>
      <x:c r="C124" s="6"/>
      <x:c r="D124" s="6"/>
      <x:c r="E124" s="6"/>
      <x:c r="F124" s="17"/>
      <x:c r="G124" s="13"/>
      <x:c r="H124" s="14" t="str">
        <x:f>IF(B124="","",IF(OR(A124="",C124="",NOT(ISNUMBER(F124)),NOT(ISNUMBER(G124))),"Eksik efor",F124*G124))</x:f>
      </x:c>
      <x:c r="I124" s="2" t="n">
        <x:f>IF(OR(B124="",C124="",A124="",A124&gt;'Panel'!$N$5),0,IF(COUNTIFS($B$7:B124,B124,$C$7:C124,C124,$A$7:A124,"&lt;="&amp;'Panel'!$N$5)=1,1,0))</x:f>
        <x:v>0</x:v>
      </x:c>
      <x:c r="J124" s="2" t="n">
        <x:f>IF(OR(B124="",C124="",A124="",A124&gt;'Panel'!$N$5,A124&lt;'Panel'!$N$5-WEEKDAY('Panel'!$N$5,2)+1),0,IF(COUNTIFS($B$7:B124,B124,$C$7:C124,C124,$A$7:A124,"&gt;="&amp;('Panel'!$N$5-WEEKDAY('Panel'!$N$5,2)+1),$A$7:A124,"&lt;="&amp;'Panel'!$N$5)=1,1,0))</x:f>
        <x:v>0</x:v>
      </x:c>
    </x:row>
    <x:row r="125" ht="22" customHeight="1">
      <x:c r="A125" s="7"/>
      <x:c r="B125" s="6"/>
      <x:c r="C125" s="6"/>
      <x:c r="D125" s="6"/>
      <x:c r="E125" s="6"/>
      <x:c r="F125" s="17"/>
      <x:c r="G125" s="13"/>
      <x:c r="H125" s="14" t="str">
        <x:f>IF(B125="","",IF(OR(A125="",C125="",NOT(ISNUMBER(F125)),NOT(ISNUMBER(G125))),"Eksik efor",F125*G125))</x:f>
      </x:c>
      <x:c r="I125" s="2" t="n">
        <x:f>IF(OR(B125="",C125="",A125="",A125&gt;'Panel'!$N$5),0,IF(COUNTIFS($B$7:B125,B125,$C$7:C125,C125,$A$7:A125,"&lt;="&amp;'Panel'!$N$5)=1,1,0))</x:f>
        <x:v>0</x:v>
      </x:c>
      <x:c r="J125" s="2" t="n">
        <x:f>IF(OR(B125="",C125="",A125="",A125&gt;'Panel'!$N$5,A125&lt;'Panel'!$N$5-WEEKDAY('Panel'!$N$5,2)+1),0,IF(COUNTIFS($B$7:B125,B125,$C$7:C125,C125,$A$7:A125,"&gt;="&amp;('Panel'!$N$5-WEEKDAY('Panel'!$N$5,2)+1),$A$7:A125,"&lt;="&amp;'Panel'!$N$5)=1,1,0))</x:f>
        <x:v>0</x:v>
      </x:c>
    </x:row>
    <x:row r="126" ht="22" customHeight="1">
      <x:c r="A126" s="7"/>
      <x:c r="B126" s="6"/>
      <x:c r="C126" s="6"/>
      <x:c r="D126" s="6"/>
      <x:c r="E126" s="6"/>
      <x:c r="F126" s="17"/>
      <x:c r="G126" s="13"/>
      <x:c r="H126" s="14" t="str">
        <x:f>IF(B126="","",IF(OR(A126="",C126="",NOT(ISNUMBER(F126)),NOT(ISNUMBER(G126))),"Eksik efor",F126*G126))</x:f>
      </x:c>
      <x:c r="I126" s="2" t="n">
        <x:f>IF(OR(B126="",C126="",A126="",A126&gt;'Panel'!$N$5),0,IF(COUNTIFS($B$7:B126,B126,$C$7:C126,C126,$A$7:A126,"&lt;="&amp;'Panel'!$N$5)=1,1,0))</x:f>
        <x:v>0</x:v>
      </x:c>
      <x:c r="J126" s="2" t="n">
        <x:f>IF(OR(B126="",C126="",A126="",A126&gt;'Panel'!$N$5,A126&lt;'Panel'!$N$5-WEEKDAY('Panel'!$N$5,2)+1),0,IF(COUNTIFS($B$7:B126,B126,$C$7:C126,C126,$A$7:A126,"&gt;="&amp;('Panel'!$N$5-WEEKDAY('Panel'!$N$5,2)+1),$A$7:A126,"&lt;="&amp;'Panel'!$N$5)=1,1,0))</x:f>
        <x:v>0</x:v>
      </x:c>
    </x:row>
    <x:row r="127" ht="22" customHeight="1">
      <x:c r="A127" s="7"/>
      <x:c r="B127" s="6"/>
      <x:c r="C127" s="6"/>
      <x:c r="D127" s="6"/>
      <x:c r="E127" s="6"/>
      <x:c r="F127" s="17"/>
      <x:c r="G127" s="13"/>
      <x:c r="H127" s="14" t="str">
        <x:f>IF(B127="","",IF(OR(A127="",C127="",NOT(ISNUMBER(F127)),NOT(ISNUMBER(G127))),"Eksik efor",F127*G127))</x:f>
      </x:c>
      <x:c r="I127" s="2" t="n">
        <x:f>IF(OR(B127="",C127="",A127="",A127&gt;'Panel'!$N$5),0,IF(COUNTIFS($B$7:B127,B127,$C$7:C127,C127,$A$7:A127,"&lt;="&amp;'Panel'!$N$5)=1,1,0))</x:f>
        <x:v>0</x:v>
      </x:c>
      <x:c r="J127" s="2" t="n">
        <x:f>IF(OR(B127="",C127="",A127="",A127&gt;'Panel'!$N$5,A127&lt;'Panel'!$N$5-WEEKDAY('Panel'!$N$5,2)+1),0,IF(COUNTIFS($B$7:B127,B127,$C$7:C127,C127,$A$7:A127,"&gt;="&amp;('Panel'!$N$5-WEEKDAY('Panel'!$N$5,2)+1),$A$7:A127,"&lt;="&amp;'Panel'!$N$5)=1,1,0))</x:f>
        <x:v>0</x:v>
      </x:c>
    </x:row>
    <x:row r="128" ht="22" customHeight="1">
      <x:c r="A128" s="7"/>
      <x:c r="B128" s="6"/>
      <x:c r="C128" s="6"/>
      <x:c r="D128" s="6"/>
      <x:c r="E128" s="6"/>
      <x:c r="F128" s="17"/>
      <x:c r="G128" s="13"/>
      <x:c r="H128" s="14" t="str">
        <x:f>IF(B128="","",IF(OR(A128="",C128="",NOT(ISNUMBER(F128)),NOT(ISNUMBER(G128))),"Eksik efor",F128*G128))</x:f>
      </x:c>
      <x:c r="I128" s="2" t="n">
        <x:f>IF(OR(B128="",C128="",A128="",A128&gt;'Panel'!$N$5),0,IF(COUNTIFS($B$7:B128,B128,$C$7:C128,C128,$A$7:A128,"&lt;="&amp;'Panel'!$N$5)=1,1,0))</x:f>
        <x:v>0</x:v>
      </x:c>
      <x:c r="J128" s="2" t="n">
        <x:f>IF(OR(B128="",C128="",A128="",A128&gt;'Panel'!$N$5,A128&lt;'Panel'!$N$5-WEEKDAY('Panel'!$N$5,2)+1),0,IF(COUNTIFS($B$7:B128,B128,$C$7:C128,C128,$A$7:A128,"&gt;="&amp;('Panel'!$N$5-WEEKDAY('Panel'!$N$5,2)+1),$A$7:A128,"&lt;="&amp;'Panel'!$N$5)=1,1,0))</x:f>
        <x:v>0</x:v>
      </x:c>
    </x:row>
    <x:row r="129" ht="22" customHeight="1">
      <x:c r="A129" s="7"/>
      <x:c r="B129" s="6"/>
      <x:c r="C129" s="6"/>
      <x:c r="D129" s="6"/>
      <x:c r="E129" s="6"/>
      <x:c r="F129" s="17"/>
      <x:c r="G129" s="13"/>
      <x:c r="H129" s="14" t="str">
        <x:f>IF(B129="","",IF(OR(A129="",C129="",NOT(ISNUMBER(F129)),NOT(ISNUMBER(G129))),"Eksik efor",F129*G129))</x:f>
      </x:c>
      <x:c r="I129" s="2" t="n">
        <x:f>IF(OR(B129="",C129="",A129="",A129&gt;'Panel'!$N$5),0,IF(COUNTIFS($B$7:B129,B129,$C$7:C129,C129,$A$7:A129,"&lt;="&amp;'Panel'!$N$5)=1,1,0))</x:f>
        <x:v>0</x:v>
      </x:c>
      <x:c r="J129" s="2" t="n">
        <x:f>IF(OR(B129="",C129="",A129="",A129&gt;'Panel'!$N$5,A129&lt;'Panel'!$N$5-WEEKDAY('Panel'!$N$5,2)+1),0,IF(COUNTIFS($B$7:B129,B129,$C$7:C129,C129,$A$7:A129,"&gt;="&amp;('Panel'!$N$5-WEEKDAY('Panel'!$N$5,2)+1),$A$7:A129,"&lt;="&amp;'Panel'!$N$5)=1,1,0))</x:f>
        <x:v>0</x:v>
      </x:c>
    </x:row>
    <x:row r="130" ht="22" customHeight="1">
      <x:c r="A130" s="7"/>
      <x:c r="B130" s="6"/>
      <x:c r="C130" s="6"/>
      <x:c r="D130" s="6"/>
      <x:c r="E130" s="6"/>
      <x:c r="F130" s="17"/>
      <x:c r="G130" s="13"/>
      <x:c r="H130" s="14" t="str">
        <x:f>IF(B130="","",IF(OR(A130="",C130="",NOT(ISNUMBER(F130)),NOT(ISNUMBER(G130))),"Eksik efor",F130*G130))</x:f>
      </x:c>
      <x:c r="I130" s="2" t="n">
        <x:f>IF(OR(B130="",C130="",A130="",A130&gt;'Panel'!$N$5),0,IF(COUNTIFS($B$7:B130,B130,$C$7:C130,C130,$A$7:A130,"&lt;="&amp;'Panel'!$N$5)=1,1,0))</x:f>
        <x:v>0</x:v>
      </x:c>
      <x:c r="J130" s="2" t="n">
        <x:f>IF(OR(B130="",C130="",A130="",A130&gt;'Panel'!$N$5,A130&lt;'Panel'!$N$5-WEEKDAY('Panel'!$N$5,2)+1),0,IF(COUNTIFS($B$7:B130,B130,$C$7:C130,C130,$A$7:A130,"&gt;="&amp;('Panel'!$N$5-WEEKDAY('Panel'!$N$5,2)+1),$A$7:A130,"&lt;="&amp;'Panel'!$N$5)=1,1,0))</x:f>
        <x:v>0</x:v>
      </x:c>
    </x:row>
    <x:row r="131" ht="22" customHeight="1">
      <x:c r="A131" s="7"/>
      <x:c r="B131" s="6"/>
      <x:c r="C131" s="6"/>
      <x:c r="D131" s="6"/>
      <x:c r="E131" s="6"/>
      <x:c r="F131" s="17"/>
      <x:c r="G131" s="13"/>
      <x:c r="H131" s="14" t="str">
        <x:f>IF(B131="","",IF(OR(A131="",C131="",NOT(ISNUMBER(F131)),NOT(ISNUMBER(G131))),"Eksik efor",F131*G131))</x:f>
      </x:c>
      <x:c r="I131" s="2" t="n">
        <x:f>IF(OR(B131="",C131="",A131="",A131&gt;'Panel'!$N$5),0,IF(COUNTIFS($B$7:B131,B131,$C$7:C131,C131,$A$7:A131,"&lt;="&amp;'Panel'!$N$5)=1,1,0))</x:f>
        <x:v>0</x:v>
      </x:c>
      <x:c r="J131" s="2" t="n">
        <x:f>IF(OR(B131="",C131="",A131="",A131&gt;'Panel'!$N$5,A131&lt;'Panel'!$N$5-WEEKDAY('Panel'!$N$5,2)+1),0,IF(COUNTIFS($B$7:B131,B131,$C$7:C131,C131,$A$7:A131,"&gt;="&amp;('Panel'!$N$5-WEEKDAY('Panel'!$N$5,2)+1),$A$7:A131,"&lt;="&amp;'Panel'!$N$5)=1,1,0))</x:f>
        <x:v>0</x:v>
      </x:c>
    </x:row>
    <x:row r="132" ht="22" customHeight="1">
      <x:c r="A132" s="7"/>
      <x:c r="B132" s="6"/>
      <x:c r="C132" s="6"/>
      <x:c r="D132" s="6"/>
      <x:c r="E132" s="6"/>
      <x:c r="F132" s="17"/>
      <x:c r="G132" s="13"/>
      <x:c r="H132" s="14" t="str">
        <x:f>IF(B132="","",IF(OR(A132="",C132="",NOT(ISNUMBER(F132)),NOT(ISNUMBER(G132))),"Eksik efor",F132*G132))</x:f>
      </x:c>
      <x:c r="I132" s="2" t="n">
        <x:f>IF(OR(B132="",C132="",A132="",A132&gt;'Panel'!$N$5),0,IF(COUNTIFS($B$7:B132,B132,$C$7:C132,C132,$A$7:A132,"&lt;="&amp;'Panel'!$N$5)=1,1,0))</x:f>
        <x:v>0</x:v>
      </x:c>
      <x:c r="J132" s="2" t="n">
        <x:f>IF(OR(B132="",C132="",A132="",A132&gt;'Panel'!$N$5,A132&lt;'Panel'!$N$5-WEEKDAY('Panel'!$N$5,2)+1),0,IF(COUNTIFS($B$7:B132,B132,$C$7:C132,C132,$A$7:A132,"&gt;="&amp;('Panel'!$N$5-WEEKDAY('Panel'!$N$5,2)+1),$A$7:A132,"&lt;="&amp;'Panel'!$N$5)=1,1,0))</x:f>
        <x:v>0</x:v>
      </x:c>
    </x:row>
    <x:row r="133" ht="22" customHeight="1">
      <x:c r="A133" s="7"/>
      <x:c r="B133" s="6"/>
      <x:c r="C133" s="6"/>
      <x:c r="D133" s="6"/>
      <x:c r="E133" s="6"/>
      <x:c r="F133" s="17"/>
      <x:c r="G133" s="13"/>
      <x:c r="H133" s="14" t="str">
        <x:f>IF(B133="","",IF(OR(A133="",C133="",NOT(ISNUMBER(F133)),NOT(ISNUMBER(G133))),"Eksik efor",F133*G133))</x:f>
      </x:c>
      <x:c r="I133" s="2" t="n">
        <x:f>IF(OR(B133="",C133="",A133="",A133&gt;'Panel'!$N$5),0,IF(COUNTIFS($B$7:B133,B133,$C$7:C133,C133,$A$7:A133,"&lt;="&amp;'Panel'!$N$5)=1,1,0))</x:f>
        <x:v>0</x:v>
      </x:c>
      <x:c r="J133" s="2" t="n">
        <x:f>IF(OR(B133="",C133="",A133="",A133&gt;'Panel'!$N$5,A133&lt;'Panel'!$N$5-WEEKDAY('Panel'!$N$5,2)+1),0,IF(COUNTIFS($B$7:B133,B133,$C$7:C133,C133,$A$7:A133,"&gt;="&amp;('Panel'!$N$5-WEEKDAY('Panel'!$N$5,2)+1),$A$7:A133,"&lt;="&amp;'Panel'!$N$5)=1,1,0))</x:f>
        <x:v>0</x:v>
      </x:c>
    </x:row>
    <x:row r="134" ht="22" customHeight="1">
      <x:c r="A134" s="7"/>
      <x:c r="B134" s="6"/>
      <x:c r="C134" s="6"/>
      <x:c r="D134" s="6"/>
      <x:c r="E134" s="6"/>
      <x:c r="F134" s="17"/>
      <x:c r="G134" s="13"/>
      <x:c r="H134" s="14" t="str">
        <x:f>IF(B134="","",IF(OR(A134="",C134="",NOT(ISNUMBER(F134)),NOT(ISNUMBER(G134))),"Eksik efor",F134*G134))</x:f>
      </x:c>
      <x:c r="I134" s="2" t="n">
        <x:f>IF(OR(B134="",C134="",A134="",A134&gt;'Panel'!$N$5),0,IF(COUNTIFS($B$7:B134,B134,$C$7:C134,C134,$A$7:A134,"&lt;="&amp;'Panel'!$N$5)=1,1,0))</x:f>
        <x:v>0</x:v>
      </x:c>
      <x:c r="J134" s="2" t="n">
        <x:f>IF(OR(B134="",C134="",A134="",A134&gt;'Panel'!$N$5,A134&lt;'Panel'!$N$5-WEEKDAY('Panel'!$N$5,2)+1),0,IF(COUNTIFS($B$7:B134,B134,$C$7:C134,C134,$A$7:A134,"&gt;="&amp;('Panel'!$N$5-WEEKDAY('Panel'!$N$5,2)+1),$A$7:A134,"&lt;="&amp;'Panel'!$N$5)=1,1,0))</x:f>
        <x:v>0</x:v>
      </x:c>
    </x:row>
    <x:row r="135" ht="22" customHeight="1">
      <x:c r="A135" s="7"/>
      <x:c r="B135" s="6"/>
      <x:c r="C135" s="6"/>
      <x:c r="D135" s="6"/>
      <x:c r="E135" s="6"/>
      <x:c r="F135" s="17"/>
      <x:c r="G135" s="13"/>
      <x:c r="H135" s="14" t="str">
        <x:f>IF(B135="","",IF(OR(A135="",C135="",NOT(ISNUMBER(F135)),NOT(ISNUMBER(G135))),"Eksik efor",F135*G135))</x:f>
      </x:c>
      <x:c r="I135" s="2" t="n">
        <x:f>IF(OR(B135="",C135="",A135="",A135&gt;'Panel'!$N$5),0,IF(COUNTIFS($B$7:B135,B135,$C$7:C135,C135,$A$7:A135,"&lt;="&amp;'Panel'!$N$5)=1,1,0))</x:f>
        <x:v>0</x:v>
      </x:c>
      <x:c r="J135" s="2" t="n">
        <x:f>IF(OR(B135="",C135="",A135="",A135&gt;'Panel'!$N$5,A135&lt;'Panel'!$N$5-WEEKDAY('Panel'!$N$5,2)+1),0,IF(COUNTIFS($B$7:B135,B135,$C$7:C135,C135,$A$7:A135,"&gt;="&amp;('Panel'!$N$5-WEEKDAY('Panel'!$N$5,2)+1),$A$7:A135,"&lt;="&amp;'Panel'!$N$5)=1,1,0))</x:f>
        <x:v>0</x:v>
      </x:c>
    </x:row>
    <x:row r="136" ht="22" customHeight="1">
      <x:c r="A136" s="7"/>
      <x:c r="B136" s="6"/>
      <x:c r="C136" s="6"/>
      <x:c r="D136" s="6"/>
      <x:c r="E136" s="6"/>
      <x:c r="F136" s="17"/>
      <x:c r="G136" s="13"/>
      <x:c r="H136" s="14" t="str">
        <x:f>IF(B136="","",IF(OR(A136="",C136="",NOT(ISNUMBER(F136)),NOT(ISNUMBER(G136))),"Eksik efor",F136*G136))</x:f>
      </x:c>
      <x:c r="I136" s="2" t="n">
        <x:f>IF(OR(B136="",C136="",A136="",A136&gt;'Panel'!$N$5),0,IF(COUNTIFS($B$7:B136,B136,$C$7:C136,C136,$A$7:A136,"&lt;="&amp;'Panel'!$N$5)=1,1,0))</x:f>
        <x:v>0</x:v>
      </x:c>
      <x:c r="J136" s="2" t="n">
        <x:f>IF(OR(B136="",C136="",A136="",A136&gt;'Panel'!$N$5,A136&lt;'Panel'!$N$5-WEEKDAY('Panel'!$N$5,2)+1),0,IF(COUNTIFS($B$7:B136,B136,$C$7:C136,C136,$A$7:A136,"&gt;="&amp;('Panel'!$N$5-WEEKDAY('Panel'!$N$5,2)+1),$A$7:A136,"&lt;="&amp;'Panel'!$N$5)=1,1,0))</x:f>
        <x:v>0</x:v>
      </x:c>
    </x:row>
    <x:row r="137" ht="22" customHeight="1">
      <x:c r="A137" s="7"/>
      <x:c r="B137" s="6"/>
      <x:c r="C137" s="6"/>
      <x:c r="D137" s="6"/>
      <x:c r="E137" s="6"/>
      <x:c r="F137" s="17"/>
      <x:c r="G137" s="13"/>
      <x:c r="H137" s="14" t="str">
        <x:f>IF(B137="","",IF(OR(A137="",C137="",NOT(ISNUMBER(F137)),NOT(ISNUMBER(G137))),"Eksik efor",F137*G137))</x:f>
      </x:c>
      <x:c r="I137" s="2" t="n">
        <x:f>IF(OR(B137="",C137="",A137="",A137&gt;'Panel'!$N$5),0,IF(COUNTIFS($B$7:B137,B137,$C$7:C137,C137,$A$7:A137,"&lt;="&amp;'Panel'!$N$5)=1,1,0))</x:f>
        <x:v>0</x:v>
      </x:c>
      <x:c r="J137" s="2" t="n">
        <x:f>IF(OR(B137="",C137="",A137="",A137&gt;'Panel'!$N$5,A137&lt;'Panel'!$N$5-WEEKDAY('Panel'!$N$5,2)+1),0,IF(COUNTIFS($B$7:B137,B137,$C$7:C137,C137,$A$7:A137,"&gt;="&amp;('Panel'!$N$5-WEEKDAY('Panel'!$N$5,2)+1),$A$7:A137,"&lt;="&amp;'Panel'!$N$5)=1,1,0))</x:f>
        <x:v>0</x:v>
      </x:c>
    </x:row>
    <x:row r="138" ht="22" customHeight="1">
      <x:c r="A138" s="7"/>
      <x:c r="B138" s="6"/>
      <x:c r="C138" s="6"/>
      <x:c r="D138" s="6"/>
      <x:c r="E138" s="6"/>
      <x:c r="F138" s="17"/>
      <x:c r="G138" s="13"/>
      <x:c r="H138" s="14" t="str">
        <x:f>IF(B138="","",IF(OR(A138="",C138="",NOT(ISNUMBER(F138)),NOT(ISNUMBER(G138))),"Eksik efor",F138*G138))</x:f>
      </x:c>
      <x:c r="I138" s="2" t="n">
        <x:f>IF(OR(B138="",C138="",A138="",A138&gt;'Panel'!$N$5),0,IF(COUNTIFS($B$7:B138,B138,$C$7:C138,C138,$A$7:A138,"&lt;="&amp;'Panel'!$N$5)=1,1,0))</x:f>
        <x:v>0</x:v>
      </x:c>
      <x:c r="J138" s="2" t="n">
        <x:f>IF(OR(B138="",C138="",A138="",A138&gt;'Panel'!$N$5,A138&lt;'Panel'!$N$5-WEEKDAY('Panel'!$N$5,2)+1),0,IF(COUNTIFS($B$7:B138,B138,$C$7:C138,C138,$A$7:A138,"&gt;="&amp;('Panel'!$N$5-WEEKDAY('Panel'!$N$5,2)+1),$A$7:A138,"&lt;="&amp;'Panel'!$N$5)=1,1,0))</x:f>
        <x:v>0</x:v>
      </x:c>
    </x:row>
    <x:row r="139" ht="22" customHeight="1">
      <x:c r="A139" s="7"/>
      <x:c r="B139" s="6"/>
      <x:c r="C139" s="6"/>
      <x:c r="D139" s="6"/>
      <x:c r="E139" s="6"/>
      <x:c r="F139" s="17"/>
      <x:c r="G139" s="13"/>
      <x:c r="H139" s="14" t="str">
        <x:f>IF(B139="","",IF(OR(A139="",C139="",NOT(ISNUMBER(F139)),NOT(ISNUMBER(G139))),"Eksik efor",F139*G139))</x:f>
      </x:c>
      <x:c r="I139" s="2" t="n">
        <x:f>IF(OR(B139="",C139="",A139="",A139&gt;'Panel'!$N$5),0,IF(COUNTIFS($B$7:B139,B139,$C$7:C139,C139,$A$7:A139,"&lt;="&amp;'Panel'!$N$5)=1,1,0))</x:f>
        <x:v>0</x:v>
      </x:c>
      <x:c r="J139" s="2" t="n">
        <x:f>IF(OR(B139="",C139="",A139="",A139&gt;'Panel'!$N$5,A139&lt;'Panel'!$N$5-WEEKDAY('Panel'!$N$5,2)+1),0,IF(COUNTIFS($B$7:B139,B139,$C$7:C139,C139,$A$7:A139,"&gt;="&amp;('Panel'!$N$5-WEEKDAY('Panel'!$N$5,2)+1),$A$7:A139,"&lt;="&amp;'Panel'!$N$5)=1,1,0))</x:f>
        <x:v>0</x:v>
      </x:c>
    </x:row>
    <x:row r="140" ht="22" customHeight="1">
      <x:c r="A140" s="7"/>
      <x:c r="B140" s="6"/>
      <x:c r="C140" s="6"/>
      <x:c r="D140" s="6"/>
      <x:c r="E140" s="6"/>
      <x:c r="F140" s="17"/>
      <x:c r="G140" s="13"/>
      <x:c r="H140" s="14" t="str">
        <x:f>IF(B140="","",IF(OR(A140="",C140="",NOT(ISNUMBER(F140)),NOT(ISNUMBER(G140))),"Eksik efor",F140*G140))</x:f>
      </x:c>
      <x:c r="I140" s="2" t="n">
        <x:f>IF(OR(B140="",C140="",A140="",A140&gt;'Panel'!$N$5),0,IF(COUNTIFS($B$7:B140,B140,$C$7:C140,C140,$A$7:A140,"&lt;="&amp;'Panel'!$N$5)=1,1,0))</x:f>
        <x:v>0</x:v>
      </x:c>
      <x:c r="J140" s="2" t="n">
        <x:f>IF(OR(B140="",C140="",A140="",A140&gt;'Panel'!$N$5,A140&lt;'Panel'!$N$5-WEEKDAY('Panel'!$N$5,2)+1),0,IF(COUNTIFS($B$7:B140,B140,$C$7:C140,C140,$A$7:A140,"&gt;="&amp;('Panel'!$N$5-WEEKDAY('Panel'!$N$5,2)+1),$A$7:A140,"&lt;="&amp;'Panel'!$N$5)=1,1,0))</x:f>
        <x:v>0</x:v>
      </x:c>
    </x:row>
    <x:row r="141" ht="22" customHeight="1">
      <x:c r="A141" s="7"/>
      <x:c r="B141" s="6"/>
      <x:c r="C141" s="6"/>
      <x:c r="D141" s="6"/>
      <x:c r="E141" s="6"/>
      <x:c r="F141" s="17"/>
      <x:c r="G141" s="13"/>
      <x:c r="H141" s="14" t="str">
        <x:f>IF(B141="","",IF(OR(A141="",C141="",NOT(ISNUMBER(F141)),NOT(ISNUMBER(G141))),"Eksik efor",F141*G141))</x:f>
      </x:c>
      <x:c r="I141" s="2" t="n">
        <x:f>IF(OR(B141="",C141="",A141="",A141&gt;'Panel'!$N$5),0,IF(COUNTIFS($B$7:B141,B141,$C$7:C141,C141,$A$7:A141,"&lt;="&amp;'Panel'!$N$5)=1,1,0))</x:f>
        <x:v>0</x:v>
      </x:c>
      <x:c r="J141" s="2" t="n">
        <x:f>IF(OR(B141="",C141="",A141="",A141&gt;'Panel'!$N$5,A141&lt;'Panel'!$N$5-WEEKDAY('Panel'!$N$5,2)+1),0,IF(COUNTIFS($B$7:B141,B141,$C$7:C141,C141,$A$7:A141,"&gt;="&amp;('Panel'!$N$5-WEEKDAY('Panel'!$N$5,2)+1),$A$7:A141,"&lt;="&amp;'Panel'!$N$5)=1,1,0))</x:f>
        <x:v>0</x:v>
      </x:c>
    </x:row>
    <x:row r="142" ht="22" customHeight="1">
      <x:c r="A142" s="7"/>
      <x:c r="B142" s="6"/>
      <x:c r="C142" s="6"/>
      <x:c r="D142" s="6"/>
      <x:c r="E142" s="6"/>
      <x:c r="F142" s="17"/>
      <x:c r="G142" s="13"/>
      <x:c r="H142" s="14" t="str">
        <x:f>IF(B142="","",IF(OR(A142="",C142="",NOT(ISNUMBER(F142)),NOT(ISNUMBER(G142))),"Eksik efor",F142*G142))</x:f>
      </x:c>
      <x:c r="I142" s="2" t="n">
        <x:f>IF(OR(B142="",C142="",A142="",A142&gt;'Panel'!$N$5),0,IF(COUNTIFS($B$7:B142,B142,$C$7:C142,C142,$A$7:A142,"&lt;="&amp;'Panel'!$N$5)=1,1,0))</x:f>
        <x:v>0</x:v>
      </x:c>
      <x:c r="J142" s="2" t="n">
        <x:f>IF(OR(B142="",C142="",A142="",A142&gt;'Panel'!$N$5,A142&lt;'Panel'!$N$5-WEEKDAY('Panel'!$N$5,2)+1),0,IF(COUNTIFS($B$7:B142,B142,$C$7:C142,C142,$A$7:A142,"&gt;="&amp;('Panel'!$N$5-WEEKDAY('Panel'!$N$5,2)+1),$A$7:A142,"&lt;="&amp;'Panel'!$N$5)=1,1,0))</x:f>
        <x:v>0</x:v>
      </x:c>
    </x:row>
    <x:row r="143" ht="22" customHeight="1">
      <x:c r="A143" s="7"/>
      <x:c r="B143" s="6"/>
      <x:c r="C143" s="6"/>
      <x:c r="D143" s="6"/>
      <x:c r="E143" s="6"/>
      <x:c r="F143" s="17"/>
      <x:c r="G143" s="13"/>
      <x:c r="H143" s="14" t="str">
        <x:f>IF(B143="","",IF(OR(A143="",C143="",NOT(ISNUMBER(F143)),NOT(ISNUMBER(G143))),"Eksik efor",F143*G143))</x:f>
      </x:c>
      <x:c r="I143" s="2" t="n">
        <x:f>IF(OR(B143="",C143="",A143="",A143&gt;'Panel'!$N$5),0,IF(COUNTIFS($B$7:B143,B143,$C$7:C143,C143,$A$7:A143,"&lt;="&amp;'Panel'!$N$5)=1,1,0))</x:f>
        <x:v>0</x:v>
      </x:c>
      <x:c r="J143" s="2" t="n">
        <x:f>IF(OR(B143="",C143="",A143="",A143&gt;'Panel'!$N$5,A143&lt;'Panel'!$N$5-WEEKDAY('Panel'!$N$5,2)+1),0,IF(COUNTIFS($B$7:B143,B143,$C$7:C143,C143,$A$7:A143,"&gt;="&amp;('Panel'!$N$5-WEEKDAY('Panel'!$N$5,2)+1),$A$7:A143,"&lt;="&amp;'Panel'!$N$5)=1,1,0))</x:f>
        <x:v>0</x:v>
      </x:c>
    </x:row>
    <x:row r="144" ht="22" customHeight="1">
      <x:c r="A144" s="7"/>
      <x:c r="B144" s="6"/>
      <x:c r="C144" s="6"/>
      <x:c r="D144" s="6"/>
      <x:c r="E144" s="6"/>
      <x:c r="F144" s="17"/>
      <x:c r="G144" s="13"/>
      <x:c r="H144" s="14" t="str">
        <x:f>IF(B144="","",IF(OR(A144="",C144="",NOT(ISNUMBER(F144)),NOT(ISNUMBER(G144))),"Eksik efor",F144*G144))</x:f>
      </x:c>
      <x:c r="I144" s="2" t="n">
        <x:f>IF(OR(B144="",C144="",A144="",A144&gt;'Panel'!$N$5),0,IF(COUNTIFS($B$7:B144,B144,$C$7:C144,C144,$A$7:A144,"&lt;="&amp;'Panel'!$N$5)=1,1,0))</x:f>
        <x:v>0</x:v>
      </x:c>
      <x:c r="J144" s="2" t="n">
        <x:f>IF(OR(B144="",C144="",A144="",A144&gt;'Panel'!$N$5,A144&lt;'Panel'!$N$5-WEEKDAY('Panel'!$N$5,2)+1),0,IF(COUNTIFS($B$7:B144,B144,$C$7:C144,C144,$A$7:A144,"&gt;="&amp;('Panel'!$N$5-WEEKDAY('Panel'!$N$5,2)+1),$A$7:A144,"&lt;="&amp;'Panel'!$N$5)=1,1,0))</x:f>
        <x:v>0</x:v>
      </x:c>
    </x:row>
    <x:row r="145" ht="22" customHeight="1">
      <x:c r="A145" s="7"/>
      <x:c r="B145" s="6"/>
      <x:c r="C145" s="6"/>
      <x:c r="D145" s="6"/>
      <x:c r="E145" s="6"/>
      <x:c r="F145" s="17"/>
      <x:c r="G145" s="13"/>
      <x:c r="H145" s="14" t="str">
        <x:f>IF(B145="","",IF(OR(A145="",C145="",NOT(ISNUMBER(F145)),NOT(ISNUMBER(G145))),"Eksik efor",F145*G145))</x:f>
      </x:c>
      <x:c r="I145" s="2" t="n">
        <x:f>IF(OR(B145="",C145="",A145="",A145&gt;'Panel'!$N$5),0,IF(COUNTIFS($B$7:B145,B145,$C$7:C145,C145,$A$7:A145,"&lt;="&amp;'Panel'!$N$5)=1,1,0))</x:f>
        <x:v>0</x:v>
      </x:c>
      <x:c r="J145" s="2" t="n">
        <x:f>IF(OR(B145="",C145="",A145="",A145&gt;'Panel'!$N$5,A145&lt;'Panel'!$N$5-WEEKDAY('Panel'!$N$5,2)+1),0,IF(COUNTIFS($B$7:B145,B145,$C$7:C145,C145,$A$7:A145,"&gt;="&amp;('Panel'!$N$5-WEEKDAY('Panel'!$N$5,2)+1),$A$7:A145,"&lt;="&amp;'Panel'!$N$5)=1,1,0))</x:f>
        <x:v>0</x:v>
      </x:c>
    </x:row>
    <x:row r="146" ht="22" customHeight="1">
      <x:c r="A146" s="7"/>
      <x:c r="B146" s="6"/>
      <x:c r="C146" s="6"/>
      <x:c r="D146" s="6"/>
      <x:c r="E146" s="6"/>
      <x:c r="F146" s="17"/>
      <x:c r="G146" s="13"/>
      <x:c r="H146" s="14" t="str">
        <x:f>IF(B146="","",IF(OR(A146="",C146="",NOT(ISNUMBER(F146)),NOT(ISNUMBER(G146))),"Eksik efor",F146*G146))</x:f>
      </x:c>
      <x:c r="I146" s="2" t="n">
        <x:f>IF(OR(B146="",C146="",A146="",A146&gt;'Panel'!$N$5),0,IF(COUNTIFS($B$7:B146,B146,$C$7:C146,C146,$A$7:A146,"&lt;="&amp;'Panel'!$N$5)=1,1,0))</x:f>
        <x:v>0</x:v>
      </x:c>
      <x:c r="J146" s="2" t="n">
        <x:f>IF(OR(B146="",C146="",A146="",A146&gt;'Panel'!$N$5,A146&lt;'Panel'!$N$5-WEEKDAY('Panel'!$N$5,2)+1),0,IF(COUNTIFS($B$7:B146,B146,$C$7:C146,C146,$A$7:A146,"&gt;="&amp;('Panel'!$N$5-WEEKDAY('Panel'!$N$5,2)+1),$A$7:A146,"&lt;="&amp;'Panel'!$N$5)=1,1,0))</x:f>
        <x:v>0</x:v>
      </x:c>
    </x:row>
    <x:row r="147" ht="22" customHeight="1">
      <x:c r="A147" s="7"/>
      <x:c r="B147" s="6"/>
      <x:c r="C147" s="6"/>
      <x:c r="D147" s="6"/>
      <x:c r="E147" s="6"/>
      <x:c r="F147" s="17"/>
      <x:c r="G147" s="13"/>
      <x:c r="H147" s="14" t="str">
        <x:f>IF(B147="","",IF(OR(A147="",C147="",NOT(ISNUMBER(F147)),NOT(ISNUMBER(G147))),"Eksik efor",F147*G147))</x:f>
      </x:c>
      <x:c r="I147" s="2" t="n">
        <x:f>IF(OR(B147="",C147="",A147="",A147&gt;'Panel'!$N$5),0,IF(COUNTIFS($B$7:B147,B147,$C$7:C147,C147,$A$7:A147,"&lt;="&amp;'Panel'!$N$5)=1,1,0))</x:f>
        <x:v>0</x:v>
      </x:c>
      <x:c r="J147" s="2" t="n">
        <x:f>IF(OR(B147="",C147="",A147="",A147&gt;'Panel'!$N$5,A147&lt;'Panel'!$N$5-WEEKDAY('Panel'!$N$5,2)+1),0,IF(COUNTIFS($B$7:B147,B147,$C$7:C147,C147,$A$7:A147,"&gt;="&amp;('Panel'!$N$5-WEEKDAY('Panel'!$N$5,2)+1),$A$7:A147,"&lt;="&amp;'Panel'!$N$5)=1,1,0))</x:f>
        <x:v>0</x:v>
      </x:c>
    </x:row>
    <x:row r="148" ht="22" customHeight="1">
      <x:c r="A148" s="7"/>
      <x:c r="B148" s="6"/>
      <x:c r="C148" s="6"/>
      <x:c r="D148" s="6"/>
      <x:c r="E148" s="6"/>
      <x:c r="F148" s="17"/>
      <x:c r="G148" s="13"/>
      <x:c r="H148" s="14" t="str">
        <x:f>IF(B148="","",IF(OR(A148="",C148="",NOT(ISNUMBER(F148)),NOT(ISNUMBER(G148))),"Eksik efor",F148*G148))</x:f>
      </x:c>
      <x:c r="I148" s="2" t="n">
        <x:f>IF(OR(B148="",C148="",A148="",A148&gt;'Panel'!$N$5),0,IF(COUNTIFS($B$7:B148,B148,$C$7:C148,C148,$A$7:A148,"&lt;="&amp;'Panel'!$N$5)=1,1,0))</x:f>
        <x:v>0</x:v>
      </x:c>
      <x:c r="J148" s="2" t="n">
        <x:f>IF(OR(B148="",C148="",A148="",A148&gt;'Panel'!$N$5,A148&lt;'Panel'!$N$5-WEEKDAY('Panel'!$N$5,2)+1),0,IF(COUNTIFS($B$7:B148,B148,$C$7:C148,C148,$A$7:A148,"&gt;="&amp;('Panel'!$N$5-WEEKDAY('Panel'!$N$5,2)+1),$A$7:A148,"&lt;="&amp;'Panel'!$N$5)=1,1,0))</x:f>
        <x:v>0</x:v>
      </x:c>
    </x:row>
    <x:row r="149" ht="22" customHeight="1">
      <x:c r="A149" s="7"/>
      <x:c r="B149" s="6"/>
      <x:c r="C149" s="6"/>
      <x:c r="D149" s="6"/>
      <x:c r="E149" s="6"/>
      <x:c r="F149" s="17"/>
      <x:c r="G149" s="13"/>
      <x:c r="H149" s="14" t="str">
        <x:f>IF(B149="","",IF(OR(A149="",C149="",NOT(ISNUMBER(F149)),NOT(ISNUMBER(G149))),"Eksik efor",F149*G149))</x:f>
      </x:c>
      <x:c r="I149" s="2" t="n">
        <x:f>IF(OR(B149="",C149="",A149="",A149&gt;'Panel'!$N$5),0,IF(COUNTIFS($B$7:B149,B149,$C$7:C149,C149,$A$7:A149,"&lt;="&amp;'Panel'!$N$5)=1,1,0))</x:f>
        <x:v>0</x:v>
      </x:c>
      <x:c r="J149" s="2" t="n">
        <x:f>IF(OR(B149="",C149="",A149="",A149&gt;'Panel'!$N$5,A149&lt;'Panel'!$N$5-WEEKDAY('Panel'!$N$5,2)+1),0,IF(COUNTIFS($B$7:B149,B149,$C$7:C149,C149,$A$7:A149,"&gt;="&amp;('Panel'!$N$5-WEEKDAY('Panel'!$N$5,2)+1),$A$7:A149,"&lt;="&amp;'Panel'!$N$5)=1,1,0))</x:f>
        <x:v>0</x:v>
      </x:c>
    </x:row>
    <x:row r="150" ht="22" customHeight="1">
      <x:c r="A150" s="7"/>
      <x:c r="B150" s="6"/>
      <x:c r="C150" s="6"/>
      <x:c r="D150" s="6"/>
      <x:c r="E150" s="6"/>
      <x:c r="F150" s="17"/>
      <x:c r="G150" s="13"/>
      <x:c r="H150" s="14" t="str">
        <x:f>IF(B150="","",IF(OR(A150="",C150="",NOT(ISNUMBER(F150)),NOT(ISNUMBER(G150))),"Eksik efor",F150*G150))</x:f>
      </x:c>
      <x:c r="I150" s="2" t="n">
        <x:f>IF(OR(B150="",C150="",A150="",A150&gt;'Panel'!$N$5),0,IF(COUNTIFS($B$7:B150,B150,$C$7:C150,C150,$A$7:A150,"&lt;="&amp;'Panel'!$N$5)=1,1,0))</x:f>
        <x:v>0</x:v>
      </x:c>
      <x:c r="J150" s="2" t="n">
        <x:f>IF(OR(B150="",C150="",A150="",A150&gt;'Panel'!$N$5,A150&lt;'Panel'!$N$5-WEEKDAY('Panel'!$N$5,2)+1),0,IF(COUNTIFS($B$7:B150,B150,$C$7:C150,C150,$A$7:A150,"&gt;="&amp;('Panel'!$N$5-WEEKDAY('Panel'!$N$5,2)+1),$A$7:A150,"&lt;="&amp;'Panel'!$N$5)=1,1,0))</x:f>
        <x:v>0</x:v>
      </x:c>
    </x:row>
    <x:row r="151" ht="22" customHeight="1">
      <x:c r="A151" s="7"/>
      <x:c r="B151" s="6"/>
      <x:c r="C151" s="6"/>
      <x:c r="D151" s="6"/>
      <x:c r="E151" s="6"/>
      <x:c r="F151" s="17"/>
      <x:c r="G151" s="13"/>
      <x:c r="H151" s="14" t="str">
        <x:f>IF(B151="","",IF(OR(A151="",C151="",NOT(ISNUMBER(F151)),NOT(ISNUMBER(G151))),"Eksik efor",F151*G151))</x:f>
      </x:c>
      <x:c r="I151" s="2" t="n">
        <x:f>IF(OR(B151="",C151="",A151="",A151&gt;'Panel'!$N$5),0,IF(COUNTIFS($B$7:B151,B151,$C$7:C151,C151,$A$7:A151,"&lt;="&amp;'Panel'!$N$5)=1,1,0))</x:f>
        <x:v>0</x:v>
      </x:c>
      <x:c r="J151" s="2" t="n">
        <x:f>IF(OR(B151="",C151="",A151="",A151&gt;'Panel'!$N$5,A151&lt;'Panel'!$N$5-WEEKDAY('Panel'!$N$5,2)+1),0,IF(COUNTIFS($B$7:B151,B151,$C$7:C151,C151,$A$7:A151,"&gt;="&amp;('Panel'!$N$5-WEEKDAY('Panel'!$N$5,2)+1),$A$7:A151,"&lt;="&amp;'Panel'!$N$5)=1,1,0))</x:f>
        <x:v>0</x:v>
      </x:c>
    </x:row>
    <x:row r="152" ht="22" customHeight="1">
      <x:c r="A152" s="7"/>
      <x:c r="B152" s="6"/>
      <x:c r="C152" s="6"/>
      <x:c r="D152" s="6"/>
      <x:c r="E152" s="6"/>
      <x:c r="F152" s="17"/>
      <x:c r="G152" s="13"/>
      <x:c r="H152" s="14" t="str">
        <x:f>IF(B152="","",IF(OR(A152="",C152="",NOT(ISNUMBER(F152)),NOT(ISNUMBER(G152))),"Eksik efor",F152*G152))</x:f>
      </x:c>
      <x:c r="I152" s="2" t="n">
        <x:f>IF(OR(B152="",C152="",A152="",A152&gt;'Panel'!$N$5),0,IF(COUNTIFS($B$7:B152,B152,$C$7:C152,C152,$A$7:A152,"&lt;="&amp;'Panel'!$N$5)=1,1,0))</x:f>
        <x:v>0</x:v>
      </x:c>
      <x:c r="J152" s="2" t="n">
        <x:f>IF(OR(B152="",C152="",A152="",A152&gt;'Panel'!$N$5,A152&lt;'Panel'!$N$5-WEEKDAY('Panel'!$N$5,2)+1),0,IF(COUNTIFS($B$7:B152,B152,$C$7:C152,C152,$A$7:A152,"&gt;="&amp;('Panel'!$N$5-WEEKDAY('Panel'!$N$5,2)+1),$A$7:A152,"&lt;="&amp;'Panel'!$N$5)=1,1,0))</x:f>
        <x:v>0</x:v>
      </x:c>
    </x:row>
    <x:row r="153" ht="22" customHeight="1">
      <x:c r="A153" s="7"/>
      <x:c r="B153" s="6"/>
      <x:c r="C153" s="6"/>
      <x:c r="D153" s="6"/>
      <x:c r="E153" s="6"/>
      <x:c r="F153" s="17"/>
      <x:c r="G153" s="13"/>
      <x:c r="H153" s="14" t="str">
        <x:f>IF(B153="","",IF(OR(A153="",C153="",NOT(ISNUMBER(F153)),NOT(ISNUMBER(G153))),"Eksik efor",F153*G153))</x:f>
      </x:c>
      <x:c r="I153" s="2" t="n">
        <x:f>IF(OR(B153="",C153="",A153="",A153&gt;'Panel'!$N$5),0,IF(COUNTIFS($B$7:B153,B153,$C$7:C153,C153,$A$7:A153,"&lt;="&amp;'Panel'!$N$5)=1,1,0))</x:f>
        <x:v>0</x:v>
      </x:c>
      <x:c r="J153" s="2" t="n">
        <x:f>IF(OR(B153="",C153="",A153="",A153&gt;'Panel'!$N$5,A153&lt;'Panel'!$N$5-WEEKDAY('Panel'!$N$5,2)+1),0,IF(COUNTIFS($B$7:B153,B153,$C$7:C153,C153,$A$7:A153,"&gt;="&amp;('Panel'!$N$5-WEEKDAY('Panel'!$N$5,2)+1),$A$7:A153,"&lt;="&amp;'Panel'!$N$5)=1,1,0))</x:f>
        <x:v>0</x:v>
      </x:c>
    </x:row>
    <x:row r="154" ht="22" customHeight="1">
      <x:c r="A154" s="7"/>
      <x:c r="B154" s="6"/>
      <x:c r="C154" s="6"/>
      <x:c r="D154" s="6"/>
      <x:c r="E154" s="6"/>
      <x:c r="F154" s="17"/>
      <x:c r="G154" s="13"/>
      <x:c r="H154" s="14" t="str">
        <x:f>IF(B154="","",IF(OR(A154="",C154="",NOT(ISNUMBER(F154)),NOT(ISNUMBER(G154))),"Eksik efor",F154*G154))</x:f>
      </x:c>
      <x:c r="I154" s="2" t="n">
        <x:f>IF(OR(B154="",C154="",A154="",A154&gt;'Panel'!$N$5),0,IF(COUNTIFS($B$7:B154,B154,$C$7:C154,C154,$A$7:A154,"&lt;="&amp;'Panel'!$N$5)=1,1,0))</x:f>
        <x:v>0</x:v>
      </x:c>
      <x:c r="J154" s="2" t="n">
        <x:f>IF(OR(B154="",C154="",A154="",A154&gt;'Panel'!$N$5,A154&lt;'Panel'!$N$5-WEEKDAY('Panel'!$N$5,2)+1),0,IF(COUNTIFS($B$7:B154,B154,$C$7:C154,C154,$A$7:A154,"&gt;="&amp;('Panel'!$N$5-WEEKDAY('Panel'!$N$5,2)+1),$A$7:A154,"&lt;="&amp;'Panel'!$N$5)=1,1,0))</x:f>
        <x:v>0</x:v>
      </x:c>
    </x:row>
    <x:row r="155" ht="22" customHeight="1">
      <x:c r="A155" s="7"/>
      <x:c r="B155" s="6"/>
      <x:c r="C155" s="6"/>
      <x:c r="D155" s="6"/>
      <x:c r="E155" s="6"/>
      <x:c r="F155" s="17"/>
      <x:c r="G155" s="13"/>
      <x:c r="H155" s="14" t="str">
        <x:f>IF(B155="","",IF(OR(A155="",C155="",NOT(ISNUMBER(F155)),NOT(ISNUMBER(G155))),"Eksik efor",F155*G155))</x:f>
      </x:c>
      <x:c r="I155" s="2" t="n">
        <x:f>IF(OR(B155="",C155="",A155="",A155&gt;'Panel'!$N$5),0,IF(COUNTIFS($B$7:B155,B155,$C$7:C155,C155,$A$7:A155,"&lt;="&amp;'Panel'!$N$5)=1,1,0))</x:f>
        <x:v>0</x:v>
      </x:c>
      <x:c r="J155" s="2" t="n">
        <x:f>IF(OR(B155="",C155="",A155="",A155&gt;'Panel'!$N$5,A155&lt;'Panel'!$N$5-WEEKDAY('Panel'!$N$5,2)+1),0,IF(COUNTIFS($B$7:B155,B155,$C$7:C155,C155,$A$7:A155,"&gt;="&amp;('Panel'!$N$5-WEEKDAY('Panel'!$N$5,2)+1),$A$7:A155,"&lt;="&amp;'Panel'!$N$5)=1,1,0))</x:f>
        <x:v>0</x:v>
      </x:c>
    </x:row>
    <x:row r="156" ht="22" customHeight="1">
      <x:c r="A156" s="7"/>
      <x:c r="B156" s="6"/>
      <x:c r="C156" s="6"/>
      <x:c r="D156" s="6"/>
      <x:c r="E156" s="6"/>
      <x:c r="F156" s="17"/>
      <x:c r="G156" s="13"/>
      <x:c r="H156" s="14" t="str">
        <x:f>IF(B156="","",IF(OR(A156="",C156="",NOT(ISNUMBER(F156)),NOT(ISNUMBER(G156))),"Eksik efor",F156*G156))</x:f>
      </x:c>
      <x:c r="I156" s="2" t="n">
        <x:f>IF(OR(B156="",C156="",A156="",A156&gt;'Panel'!$N$5),0,IF(COUNTIFS($B$7:B156,B156,$C$7:C156,C156,$A$7:A156,"&lt;="&amp;'Panel'!$N$5)=1,1,0))</x:f>
        <x:v>0</x:v>
      </x:c>
      <x:c r="J156" s="2" t="n">
        <x:f>IF(OR(B156="",C156="",A156="",A156&gt;'Panel'!$N$5,A156&lt;'Panel'!$N$5-WEEKDAY('Panel'!$N$5,2)+1),0,IF(COUNTIFS($B$7:B156,B156,$C$7:C156,C156,$A$7:A156,"&gt;="&amp;('Panel'!$N$5-WEEKDAY('Panel'!$N$5,2)+1),$A$7:A156,"&lt;="&amp;'Panel'!$N$5)=1,1,0))</x:f>
        <x:v>0</x:v>
      </x:c>
    </x:row>
    <x:row r="157" ht="22" customHeight="1">
      <x:c r="A157" s="7"/>
      <x:c r="B157" s="6"/>
      <x:c r="C157" s="6"/>
      <x:c r="D157" s="6"/>
      <x:c r="E157" s="6"/>
      <x:c r="F157" s="17"/>
      <x:c r="G157" s="13"/>
      <x:c r="H157" s="14" t="str">
        <x:f>IF(B157="","",IF(OR(A157="",C157="",NOT(ISNUMBER(F157)),NOT(ISNUMBER(G157))),"Eksik efor",F157*G157))</x:f>
      </x:c>
      <x:c r="I157" s="2" t="n">
        <x:f>IF(OR(B157="",C157="",A157="",A157&gt;'Panel'!$N$5),0,IF(COUNTIFS($B$7:B157,B157,$C$7:C157,C157,$A$7:A157,"&lt;="&amp;'Panel'!$N$5)=1,1,0))</x:f>
        <x:v>0</x:v>
      </x:c>
      <x:c r="J157" s="2" t="n">
        <x:f>IF(OR(B157="",C157="",A157="",A157&gt;'Panel'!$N$5,A157&lt;'Panel'!$N$5-WEEKDAY('Panel'!$N$5,2)+1),0,IF(COUNTIFS($B$7:B157,B157,$C$7:C157,C157,$A$7:A157,"&gt;="&amp;('Panel'!$N$5-WEEKDAY('Panel'!$N$5,2)+1),$A$7:A157,"&lt;="&amp;'Panel'!$N$5)=1,1,0))</x:f>
        <x:v>0</x:v>
      </x:c>
    </x:row>
    <x:row r="158" ht="22" customHeight="1">
      <x:c r="A158" s="7"/>
      <x:c r="B158" s="6"/>
      <x:c r="C158" s="6"/>
      <x:c r="D158" s="6"/>
      <x:c r="E158" s="6"/>
      <x:c r="F158" s="17"/>
      <x:c r="G158" s="13"/>
      <x:c r="H158" s="14" t="str">
        <x:f>IF(B158="","",IF(OR(A158="",C158="",NOT(ISNUMBER(F158)),NOT(ISNUMBER(G158))),"Eksik efor",F158*G158))</x:f>
      </x:c>
      <x:c r="I158" s="2" t="n">
        <x:f>IF(OR(B158="",C158="",A158="",A158&gt;'Panel'!$N$5),0,IF(COUNTIFS($B$7:B158,B158,$C$7:C158,C158,$A$7:A158,"&lt;="&amp;'Panel'!$N$5)=1,1,0))</x:f>
        <x:v>0</x:v>
      </x:c>
      <x:c r="J158" s="2" t="n">
        <x:f>IF(OR(B158="",C158="",A158="",A158&gt;'Panel'!$N$5,A158&lt;'Panel'!$N$5-WEEKDAY('Panel'!$N$5,2)+1),0,IF(COUNTIFS($B$7:B158,B158,$C$7:C158,C158,$A$7:A158,"&gt;="&amp;('Panel'!$N$5-WEEKDAY('Panel'!$N$5,2)+1),$A$7:A158,"&lt;="&amp;'Panel'!$N$5)=1,1,0))</x:f>
        <x:v>0</x:v>
      </x:c>
    </x:row>
    <x:row r="159" ht="22" customHeight="1">
      <x:c r="A159" s="7"/>
      <x:c r="B159" s="6"/>
      <x:c r="C159" s="6"/>
      <x:c r="D159" s="6"/>
      <x:c r="E159" s="6"/>
      <x:c r="F159" s="17"/>
      <x:c r="G159" s="13"/>
      <x:c r="H159" s="14" t="str">
        <x:f>IF(B159="","",IF(OR(A159="",C159="",NOT(ISNUMBER(F159)),NOT(ISNUMBER(G159))),"Eksik efor",F159*G159))</x:f>
      </x:c>
      <x:c r="I159" s="2" t="n">
        <x:f>IF(OR(B159="",C159="",A159="",A159&gt;'Panel'!$N$5),0,IF(COUNTIFS($B$7:B159,B159,$C$7:C159,C159,$A$7:A159,"&lt;="&amp;'Panel'!$N$5)=1,1,0))</x:f>
        <x:v>0</x:v>
      </x:c>
      <x:c r="J159" s="2" t="n">
        <x:f>IF(OR(B159="",C159="",A159="",A159&gt;'Panel'!$N$5,A159&lt;'Panel'!$N$5-WEEKDAY('Panel'!$N$5,2)+1),0,IF(COUNTIFS($B$7:B159,B159,$C$7:C159,C159,$A$7:A159,"&gt;="&amp;('Panel'!$N$5-WEEKDAY('Panel'!$N$5,2)+1),$A$7:A159,"&lt;="&amp;'Panel'!$N$5)=1,1,0))</x:f>
        <x:v>0</x:v>
      </x:c>
    </x:row>
    <x:row r="160" ht="22" customHeight="1">
      <x:c r="A160" s="7"/>
      <x:c r="B160" s="6"/>
      <x:c r="C160" s="6"/>
      <x:c r="D160" s="6"/>
      <x:c r="E160" s="6"/>
      <x:c r="F160" s="17"/>
      <x:c r="G160" s="13"/>
      <x:c r="H160" s="14" t="str">
        <x:f>IF(B160="","",IF(OR(A160="",C160="",NOT(ISNUMBER(F160)),NOT(ISNUMBER(G160))),"Eksik efor",F160*G160))</x:f>
      </x:c>
      <x:c r="I160" s="2" t="n">
        <x:f>IF(OR(B160="",C160="",A160="",A160&gt;'Panel'!$N$5),0,IF(COUNTIFS($B$7:B160,B160,$C$7:C160,C160,$A$7:A160,"&lt;="&amp;'Panel'!$N$5)=1,1,0))</x:f>
        <x:v>0</x:v>
      </x:c>
      <x:c r="J160" s="2" t="n">
        <x:f>IF(OR(B160="",C160="",A160="",A160&gt;'Panel'!$N$5,A160&lt;'Panel'!$N$5-WEEKDAY('Panel'!$N$5,2)+1),0,IF(COUNTIFS($B$7:B160,B160,$C$7:C160,C160,$A$7:A160,"&gt;="&amp;('Panel'!$N$5-WEEKDAY('Panel'!$N$5,2)+1),$A$7:A160,"&lt;="&amp;'Panel'!$N$5)=1,1,0))</x:f>
        <x:v>0</x:v>
      </x:c>
    </x:row>
    <x:row r="161" ht="22" customHeight="1">
      <x:c r="A161" s="7"/>
      <x:c r="B161" s="6"/>
      <x:c r="C161" s="6"/>
      <x:c r="D161" s="6"/>
      <x:c r="E161" s="6"/>
      <x:c r="F161" s="17"/>
      <x:c r="G161" s="13"/>
      <x:c r="H161" s="14" t="str">
        <x:f>IF(B161="","",IF(OR(A161="",C161="",NOT(ISNUMBER(F161)),NOT(ISNUMBER(G161))),"Eksik efor",F161*G161))</x:f>
      </x:c>
      <x:c r="I161" s="2" t="n">
        <x:f>IF(OR(B161="",C161="",A161="",A161&gt;'Panel'!$N$5),0,IF(COUNTIFS($B$7:B161,B161,$C$7:C161,C161,$A$7:A161,"&lt;="&amp;'Panel'!$N$5)=1,1,0))</x:f>
        <x:v>0</x:v>
      </x:c>
      <x:c r="J161" s="2" t="n">
        <x:f>IF(OR(B161="",C161="",A161="",A161&gt;'Panel'!$N$5,A161&lt;'Panel'!$N$5-WEEKDAY('Panel'!$N$5,2)+1),0,IF(COUNTIFS($B$7:B161,B161,$C$7:C161,C161,$A$7:A161,"&gt;="&amp;('Panel'!$N$5-WEEKDAY('Panel'!$N$5,2)+1),$A$7:A161,"&lt;="&amp;'Panel'!$N$5)=1,1,0))</x:f>
        <x:v>0</x:v>
      </x:c>
    </x:row>
    <x:row r="162" ht="22" customHeight="1">
      <x:c r="A162" s="7"/>
      <x:c r="B162" s="6"/>
      <x:c r="C162" s="6"/>
      <x:c r="D162" s="6"/>
      <x:c r="E162" s="6"/>
      <x:c r="F162" s="17"/>
      <x:c r="G162" s="13"/>
      <x:c r="H162" s="14" t="str">
        <x:f>IF(B162="","",IF(OR(A162="",C162="",NOT(ISNUMBER(F162)),NOT(ISNUMBER(G162))),"Eksik efor",F162*G162))</x:f>
      </x:c>
      <x:c r="I162" s="2" t="n">
        <x:f>IF(OR(B162="",C162="",A162="",A162&gt;'Panel'!$N$5),0,IF(COUNTIFS($B$7:B162,B162,$C$7:C162,C162,$A$7:A162,"&lt;="&amp;'Panel'!$N$5)=1,1,0))</x:f>
        <x:v>0</x:v>
      </x:c>
      <x:c r="J162" s="2" t="n">
        <x:f>IF(OR(B162="",C162="",A162="",A162&gt;'Panel'!$N$5,A162&lt;'Panel'!$N$5-WEEKDAY('Panel'!$N$5,2)+1),0,IF(COUNTIFS($B$7:B162,B162,$C$7:C162,C162,$A$7:A162,"&gt;="&amp;('Panel'!$N$5-WEEKDAY('Panel'!$N$5,2)+1),$A$7:A162,"&lt;="&amp;'Panel'!$N$5)=1,1,0))</x:f>
        <x:v>0</x:v>
      </x:c>
    </x:row>
    <x:row r="163" ht="22" customHeight="1">
      <x:c r="A163" s="7"/>
      <x:c r="B163" s="6"/>
      <x:c r="C163" s="6"/>
      <x:c r="D163" s="6"/>
      <x:c r="E163" s="6"/>
      <x:c r="F163" s="17"/>
      <x:c r="G163" s="13"/>
      <x:c r="H163" s="14" t="str">
        <x:f>IF(B163="","",IF(OR(A163="",C163="",NOT(ISNUMBER(F163)),NOT(ISNUMBER(G163))),"Eksik efor",F163*G163))</x:f>
      </x:c>
      <x:c r="I163" s="2" t="n">
        <x:f>IF(OR(B163="",C163="",A163="",A163&gt;'Panel'!$N$5),0,IF(COUNTIFS($B$7:B163,B163,$C$7:C163,C163,$A$7:A163,"&lt;="&amp;'Panel'!$N$5)=1,1,0))</x:f>
        <x:v>0</x:v>
      </x:c>
      <x:c r="J163" s="2" t="n">
        <x:f>IF(OR(B163="",C163="",A163="",A163&gt;'Panel'!$N$5,A163&lt;'Panel'!$N$5-WEEKDAY('Panel'!$N$5,2)+1),0,IF(COUNTIFS($B$7:B163,B163,$C$7:C163,C163,$A$7:A163,"&gt;="&amp;('Panel'!$N$5-WEEKDAY('Panel'!$N$5,2)+1),$A$7:A163,"&lt;="&amp;'Panel'!$N$5)=1,1,0))</x:f>
        <x:v>0</x:v>
      </x:c>
    </x:row>
    <x:row r="164" ht="22" customHeight="1">
      <x:c r="A164" s="7"/>
      <x:c r="B164" s="6"/>
      <x:c r="C164" s="6"/>
      <x:c r="D164" s="6"/>
      <x:c r="E164" s="6"/>
      <x:c r="F164" s="17"/>
      <x:c r="G164" s="13"/>
      <x:c r="H164" s="14" t="str">
        <x:f>IF(B164="","",IF(OR(A164="",C164="",NOT(ISNUMBER(F164)),NOT(ISNUMBER(G164))),"Eksik efor",F164*G164))</x:f>
      </x:c>
      <x:c r="I164" s="2" t="n">
        <x:f>IF(OR(B164="",C164="",A164="",A164&gt;'Panel'!$N$5),0,IF(COUNTIFS($B$7:B164,B164,$C$7:C164,C164,$A$7:A164,"&lt;="&amp;'Panel'!$N$5)=1,1,0))</x:f>
        <x:v>0</x:v>
      </x:c>
      <x:c r="J164" s="2" t="n">
        <x:f>IF(OR(B164="",C164="",A164="",A164&gt;'Panel'!$N$5,A164&lt;'Panel'!$N$5-WEEKDAY('Panel'!$N$5,2)+1),0,IF(COUNTIFS($B$7:B164,B164,$C$7:C164,C164,$A$7:A164,"&gt;="&amp;('Panel'!$N$5-WEEKDAY('Panel'!$N$5,2)+1),$A$7:A164,"&lt;="&amp;'Panel'!$N$5)=1,1,0))</x:f>
        <x:v>0</x:v>
      </x:c>
    </x:row>
    <x:row r="165" ht="22" customHeight="1">
      <x:c r="A165" s="7"/>
      <x:c r="B165" s="6"/>
      <x:c r="C165" s="6"/>
      <x:c r="D165" s="6"/>
      <x:c r="E165" s="6"/>
      <x:c r="F165" s="17"/>
      <x:c r="G165" s="13"/>
      <x:c r="H165" s="14" t="str">
        <x:f>IF(B165="","",IF(OR(A165="",C165="",NOT(ISNUMBER(F165)),NOT(ISNUMBER(G165))),"Eksik efor",F165*G165))</x:f>
      </x:c>
      <x:c r="I165" s="2" t="n">
        <x:f>IF(OR(B165="",C165="",A165="",A165&gt;'Panel'!$N$5),0,IF(COUNTIFS($B$7:B165,B165,$C$7:C165,C165,$A$7:A165,"&lt;="&amp;'Panel'!$N$5)=1,1,0))</x:f>
        <x:v>0</x:v>
      </x:c>
      <x:c r="J165" s="2" t="n">
        <x:f>IF(OR(B165="",C165="",A165="",A165&gt;'Panel'!$N$5,A165&lt;'Panel'!$N$5-WEEKDAY('Panel'!$N$5,2)+1),0,IF(COUNTIFS($B$7:B165,B165,$C$7:C165,C165,$A$7:A165,"&gt;="&amp;('Panel'!$N$5-WEEKDAY('Panel'!$N$5,2)+1),$A$7:A165,"&lt;="&amp;'Panel'!$N$5)=1,1,0))</x:f>
        <x:v>0</x:v>
      </x:c>
    </x:row>
    <x:row r="166" ht="22" customHeight="1">
      <x:c r="A166" s="7"/>
      <x:c r="B166" s="6"/>
      <x:c r="C166" s="6"/>
      <x:c r="D166" s="6"/>
      <x:c r="E166" s="6"/>
      <x:c r="F166" s="17"/>
      <x:c r="G166" s="13"/>
      <x:c r="H166" s="14" t="str">
        <x:f>IF(B166="","",IF(OR(A166="",C166="",NOT(ISNUMBER(F166)),NOT(ISNUMBER(G166))),"Eksik efor",F166*G166))</x:f>
      </x:c>
      <x:c r="I166" s="2" t="n">
        <x:f>IF(OR(B166="",C166="",A166="",A166&gt;'Panel'!$N$5),0,IF(COUNTIFS($B$7:B166,B166,$C$7:C166,C166,$A$7:A166,"&lt;="&amp;'Panel'!$N$5)=1,1,0))</x:f>
        <x:v>0</x:v>
      </x:c>
      <x:c r="J166" s="2" t="n">
        <x:f>IF(OR(B166="",C166="",A166="",A166&gt;'Panel'!$N$5,A166&lt;'Panel'!$N$5-WEEKDAY('Panel'!$N$5,2)+1),0,IF(COUNTIFS($B$7:B166,B166,$C$7:C166,C166,$A$7:A166,"&gt;="&amp;('Panel'!$N$5-WEEKDAY('Panel'!$N$5,2)+1),$A$7:A166,"&lt;="&amp;'Panel'!$N$5)=1,1,0))</x:f>
        <x:v>0</x:v>
      </x:c>
    </x:row>
    <x:row r="167" ht="22" customHeight="1">
      <x:c r="A167" s="7"/>
      <x:c r="B167" s="6"/>
      <x:c r="C167" s="6"/>
      <x:c r="D167" s="6"/>
      <x:c r="E167" s="6"/>
      <x:c r="F167" s="17"/>
      <x:c r="G167" s="13"/>
      <x:c r="H167" s="14" t="str">
        <x:f>IF(B167="","",IF(OR(A167="",C167="",NOT(ISNUMBER(F167)),NOT(ISNUMBER(G167))),"Eksik efor",F167*G167))</x:f>
      </x:c>
      <x:c r="I167" s="2" t="n">
        <x:f>IF(OR(B167="",C167="",A167="",A167&gt;'Panel'!$N$5),0,IF(COUNTIFS($B$7:B167,B167,$C$7:C167,C167,$A$7:A167,"&lt;="&amp;'Panel'!$N$5)=1,1,0))</x:f>
        <x:v>0</x:v>
      </x:c>
      <x:c r="J167" s="2" t="n">
        <x:f>IF(OR(B167="",C167="",A167="",A167&gt;'Panel'!$N$5,A167&lt;'Panel'!$N$5-WEEKDAY('Panel'!$N$5,2)+1),0,IF(COUNTIFS($B$7:B167,B167,$C$7:C167,C167,$A$7:A167,"&gt;="&amp;('Panel'!$N$5-WEEKDAY('Panel'!$N$5,2)+1),$A$7:A167,"&lt;="&amp;'Panel'!$N$5)=1,1,0))</x:f>
        <x:v>0</x:v>
      </x:c>
    </x:row>
    <x:row r="168" ht="22" customHeight="1">
      <x:c r="A168" s="7"/>
      <x:c r="B168" s="6"/>
      <x:c r="C168" s="6"/>
      <x:c r="D168" s="6"/>
      <x:c r="E168" s="6"/>
      <x:c r="F168" s="17"/>
      <x:c r="G168" s="13"/>
      <x:c r="H168" s="14" t="str">
        <x:f>IF(B168="","",IF(OR(A168="",C168="",NOT(ISNUMBER(F168)),NOT(ISNUMBER(G168))),"Eksik efor",F168*G168))</x:f>
      </x:c>
      <x:c r="I168" s="2" t="n">
        <x:f>IF(OR(B168="",C168="",A168="",A168&gt;'Panel'!$N$5),0,IF(COUNTIFS($B$7:B168,B168,$C$7:C168,C168,$A$7:A168,"&lt;="&amp;'Panel'!$N$5)=1,1,0))</x:f>
        <x:v>0</x:v>
      </x:c>
      <x:c r="J168" s="2" t="n">
        <x:f>IF(OR(B168="",C168="",A168="",A168&gt;'Panel'!$N$5,A168&lt;'Panel'!$N$5-WEEKDAY('Panel'!$N$5,2)+1),0,IF(COUNTIFS($B$7:B168,B168,$C$7:C168,C168,$A$7:A168,"&gt;="&amp;('Panel'!$N$5-WEEKDAY('Panel'!$N$5,2)+1),$A$7:A168,"&lt;="&amp;'Panel'!$N$5)=1,1,0))</x:f>
        <x:v>0</x:v>
      </x:c>
    </x:row>
    <x:row r="169" ht="22" customHeight="1">
      <x:c r="A169" s="7"/>
      <x:c r="B169" s="6"/>
      <x:c r="C169" s="6"/>
      <x:c r="D169" s="6"/>
      <x:c r="E169" s="6"/>
      <x:c r="F169" s="17"/>
      <x:c r="G169" s="13"/>
      <x:c r="H169" s="14" t="str">
        <x:f>IF(B169="","",IF(OR(A169="",C169="",NOT(ISNUMBER(F169)),NOT(ISNUMBER(G169))),"Eksik efor",F169*G169))</x:f>
      </x:c>
      <x:c r="I169" s="2" t="n">
        <x:f>IF(OR(B169="",C169="",A169="",A169&gt;'Panel'!$N$5),0,IF(COUNTIFS($B$7:B169,B169,$C$7:C169,C169,$A$7:A169,"&lt;="&amp;'Panel'!$N$5)=1,1,0))</x:f>
        <x:v>0</x:v>
      </x:c>
      <x:c r="J169" s="2" t="n">
        <x:f>IF(OR(B169="",C169="",A169="",A169&gt;'Panel'!$N$5,A169&lt;'Panel'!$N$5-WEEKDAY('Panel'!$N$5,2)+1),0,IF(COUNTIFS($B$7:B169,B169,$C$7:C169,C169,$A$7:A169,"&gt;="&amp;('Panel'!$N$5-WEEKDAY('Panel'!$N$5,2)+1),$A$7:A169,"&lt;="&amp;'Panel'!$N$5)=1,1,0))</x:f>
        <x:v>0</x:v>
      </x:c>
    </x:row>
    <x:row r="170" ht="22" customHeight="1">
      <x:c r="A170" s="7"/>
      <x:c r="B170" s="6"/>
      <x:c r="C170" s="6"/>
      <x:c r="D170" s="6"/>
      <x:c r="E170" s="6"/>
      <x:c r="F170" s="17"/>
      <x:c r="G170" s="13"/>
      <x:c r="H170" s="14" t="str">
        <x:f>IF(B170="","",IF(OR(A170="",C170="",NOT(ISNUMBER(F170)),NOT(ISNUMBER(G170))),"Eksik efor",F170*G170))</x:f>
      </x:c>
      <x:c r="I170" s="2" t="n">
        <x:f>IF(OR(B170="",C170="",A170="",A170&gt;'Panel'!$N$5),0,IF(COUNTIFS($B$7:B170,B170,$C$7:C170,C170,$A$7:A170,"&lt;="&amp;'Panel'!$N$5)=1,1,0))</x:f>
        <x:v>0</x:v>
      </x:c>
      <x:c r="J170" s="2" t="n">
        <x:f>IF(OR(B170="",C170="",A170="",A170&gt;'Panel'!$N$5,A170&lt;'Panel'!$N$5-WEEKDAY('Panel'!$N$5,2)+1),0,IF(COUNTIFS($B$7:B170,B170,$C$7:C170,C170,$A$7:A170,"&gt;="&amp;('Panel'!$N$5-WEEKDAY('Panel'!$N$5,2)+1),$A$7:A170,"&lt;="&amp;'Panel'!$N$5)=1,1,0))</x:f>
        <x:v>0</x:v>
      </x:c>
    </x:row>
    <x:row r="171" ht="22" customHeight="1">
      <x:c r="A171" s="7"/>
      <x:c r="B171" s="6"/>
      <x:c r="C171" s="6"/>
      <x:c r="D171" s="6"/>
      <x:c r="E171" s="6"/>
      <x:c r="F171" s="17"/>
      <x:c r="G171" s="13"/>
      <x:c r="H171" s="14" t="str">
        <x:f>IF(B171="","",IF(OR(A171="",C171="",NOT(ISNUMBER(F171)),NOT(ISNUMBER(G171))),"Eksik efor",F171*G171))</x:f>
      </x:c>
      <x:c r="I171" s="2" t="n">
        <x:f>IF(OR(B171="",C171="",A171="",A171&gt;'Panel'!$N$5),0,IF(COUNTIFS($B$7:B171,B171,$C$7:C171,C171,$A$7:A171,"&lt;="&amp;'Panel'!$N$5)=1,1,0))</x:f>
        <x:v>0</x:v>
      </x:c>
      <x:c r="J171" s="2" t="n">
        <x:f>IF(OR(B171="",C171="",A171="",A171&gt;'Panel'!$N$5,A171&lt;'Panel'!$N$5-WEEKDAY('Panel'!$N$5,2)+1),0,IF(COUNTIFS($B$7:B171,B171,$C$7:C171,C171,$A$7:A171,"&gt;="&amp;('Panel'!$N$5-WEEKDAY('Panel'!$N$5,2)+1),$A$7:A171,"&lt;="&amp;'Panel'!$N$5)=1,1,0))</x:f>
        <x:v>0</x:v>
      </x:c>
    </x:row>
    <x:row r="172" ht="22" customHeight="1">
      <x:c r="A172" s="7"/>
      <x:c r="B172" s="6"/>
      <x:c r="C172" s="6"/>
      <x:c r="D172" s="6"/>
      <x:c r="E172" s="6"/>
      <x:c r="F172" s="17"/>
      <x:c r="G172" s="13"/>
      <x:c r="H172" s="14" t="str">
        <x:f>IF(B172="","",IF(OR(A172="",C172="",NOT(ISNUMBER(F172)),NOT(ISNUMBER(G172))),"Eksik efor",F172*G172))</x:f>
      </x:c>
      <x:c r="I172" s="2" t="n">
        <x:f>IF(OR(B172="",C172="",A172="",A172&gt;'Panel'!$N$5),0,IF(COUNTIFS($B$7:B172,B172,$C$7:C172,C172,$A$7:A172,"&lt;="&amp;'Panel'!$N$5)=1,1,0))</x:f>
        <x:v>0</x:v>
      </x:c>
      <x:c r="J172" s="2" t="n">
        <x:f>IF(OR(B172="",C172="",A172="",A172&gt;'Panel'!$N$5,A172&lt;'Panel'!$N$5-WEEKDAY('Panel'!$N$5,2)+1),0,IF(COUNTIFS($B$7:B172,B172,$C$7:C172,C172,$A$7:A172,"&gt;="&amp;('Panel'!$N$5-WEEKDAY('Panel'!$N$5,2)+1),$A$7:A172,"&lt;="&amp;'Panel'!$N$5)=1,1,0))</x:f>
        <x:v>0</x:v>
      </x:c>
    </x:row>
    <x:row r="173" ht="22" customHeight="1">
      <x:c r="A173" s="7"/>
      <x:c r="B173" s="6"/>
      <x:c r="C173" s="6"/>
      <x:c r="D173" s="6"/>
      <x:c r="E173" s="6"/>
      <x:c r="F173" s="17"/>
      <x:c r="G173" s="13"/>
      <x:c r="H173" s="14" t="str">
        <x:f>IF(B173="","",IF(OR(A173="",C173="",NOT(ISNUMBER(F173)),NOT(ISNUMBER(G173))),"Eksik efor",F173*G173))</x:f>
      </x:c>
      <x:c r="I173" s="2" t="n">
        <x:f>IF(OR(B173="",C173="",A173="",A173&gt;'Panel'!$N$5),0,IF(COUNTIFS($B$7:B173,B173,$C$7:C173,C173,$A$7:A173,"&lt;="&amp;'Panel'!$N$5)=1,1,0))</x:f>
        <x:v>0</x:v>
      </x:c>
      <x:c r="J173" s="2" t="n">
        <x:f>IF(OR(B173="",C173="",A173="",A173&gt;'Panel'!$N$5,A173&lt;'Panel'!$N$5-WEEKDAY('Panel'!$N$5,2)+1),0,IF(COUNTIFS($B$7:B173,B173,$C$7:C173,C173,$A$7:A173,"&gt;="&amp;('Panel'!$N$5-WEEKDAY('Panel'!$N$5,2)+1),$A$7:A173,"&lt;="&amp;'Panel'!$N$5)=1,1,0))</x:f>
        <x:v>0</x:v>
      </x:c>
    </x:row>
    <x:row r="174" ht="22" customHeight="1">
      <x:c r="A174" s="7"/>
      <x:c r="B174" s="6"/>
      <x:c r="C174" s="6"/>
      <x:c r="D174" s="6"/>
      <x:c r="E174" s="6"/>
      <x:c r="F174" s="17"/>
      <x:c r="G174" s="13"/>
      <x:c r="H174" s="14" t="str">
        <x:f>IF(B174="","",IF(OR(A174="",C174="",NOT(ISNUMBER(F174)),NOT(ISNUMBER(G174))),"Eksik efor",F174*G174))</x:f>
      </x:c>
      <x:c r="I174" s="2" t="n">
        <x:f>IF(OR(B174="",C174="",A174="",A174&gt;'Panel'!$N$5),0,IF(COUNTIFS($B$7:B174,B174,$C$7:C174,C174,$A$7:A174,"&lt;="&amp;'Panel'!$N$5)=1,1,0))</x:f>
        <x:v>0</x:v>
      </x:c>
      <x:c r="J174" s="2" t="n">
        <x:f>IF(OR(B174="",C174="",A174="",A174&gt;'Panel'!$N$5,A174&lt;'Panel'!$N$5-WEEKDAY('Panel'!$N$5,2)+1),0,IF(COUNTIFS($B$7:B174,B174,$C$7:C174,C174,$A$7:A174,"&gt;="&amp;('Panel'!$N$5-WEEKDAY('Panel'!$N$5,2)+1),$A$7:A174,"&lt;="&amp;'Panel'!$N$5)=1,1,0))</x:f>
        <x:v>0</x:v>
      </x:c>
    </x:row>
    <x:row r="175" ht="22" customHeight="1">
      <x:c r="A175" s="7"/>
      <x:c r="B175" s="6"/>
      <x:c r="C175" s="6"/>
      <x:c r="D175" s="6"/>
      <x:c r="E175" s="6"/>
      <x:c r="F175" s="17"/>
      <x:c r="G175" s="13"/>
      <x:c r="H175" s="14" t="str">
        <x:f>IF(B175="","",IF(OR(A175="",C175="",NOT(ISNUMBER(F175)),NOT(ISNUMBER(G175))),"Eksik efor",F175*G175))</x:f>
      </x:c>
      <x:c r="I175" s="2" t="n">
        <x:f>IF(OR(B175="",C175="",A175="",A175&gt;'Panel'!$N$5),0,IF(COUNTIFS($B$7:B175,B175,$C$7:C175,C175,$A$7:A175,"&lt;="&amp;'Panel'!$N$5)=1,1,0))</x:f>
        <x:v>0</x:v>
      </x:c>
      <x:c r="J175" s="2" t="n">
        <x:f>IF(OR(B175="",C175="",A175="",A175&gt;'Panel'!$N$5,A175&lt;'Panel'!$N$5-WEEKDAY('Panel'!$N$5,2)+1),0,IF(COUNTIFS($B$7:B175,B175,$C$7:C175,C175,$A$7:A175,"&gt;="&amp;('Panel'!$N$5-WEEKDAY('Panel'!$N$5,2)+1),$A$7:A175,"&lt;="&amp;'Panel'!$N$5)=1,1,0))</x:f>
        <x:v>0</x:v>
      </x:c>
    </x:row>
    <x:row r="176" ht="22" customHeight="1">
      <x:c r="A176" s="7"/>
      <x:c r="B176" s="6"/>
      <x:c r="C176" s="6"/>
      <x:c r="D176" s="6"/>
      <x:c r="E176" s="6"/>
      <x:c r="F176" s="17"/>
      <x:c r="G176" s="13"/>
      <x:c r="H176" s="14" t="str">
        <x:f>IF(B176="","",IF(OR(A176="",C176="",NOT(ISNUMBER(F176)),NOT(ISNUMBER(G176))),"Eksik efor",F176*G176))</x:f>
      </x:c>
      <x:c r="I176" s="2" t="n">
        <x:f>IF(OR(B176="",C176="",A176="",A176&gt;'Panel'!$N$5),0,IF(COUNTIFS($B$7:B176,B176,$C$7:C176,C176,$A$7:A176,"&lt;="&amp;'Panel'!$N$5)=1,1,0))</x:f>
        <x:v>0</x:v>
      </x:c>
      <x:c r="J176" s="2" t="n">
        <x:f>IF(OR(B176="",C176="",A176="",A176&gt;'Panel'!$N$5,A176&lt;'Panel'!$N$5-WEEKDAY('Panel'!$N$5,2)+1),0,IF(COUNTIFS($B$7:B176,B176,$C$7:C176,C176,$A$7:A176,"&gt;="&amp;('Panel'!$N$5-WEEKDAY('Panel'!$N$5,2)+1),$A$7:A176,"&lt;="&amp;'Panel'!$N$5)=1,1,0))</x:f>
        <x:v>0</x:v>
      </x:c>
    </x:row>
    <x:row r="177" ht="22" customHeight="1">
      <x:c r="A177" s="7"/>
      <x:c r="B177" s="6"/>
      <x:c r="C177" s="6"/>
      <x:c r="D177" s="6"/>
      <x:c r="E177" s="6"/>
      <x:c r="F177" s="17"/>
      <x:c r="G177" s="13"/>
      <x:c r="H177" s="14" t="str">
        <x:f>IF(B177="","",IF(OR(A177="",C177="",NOT(ISNUMBER(F177)),NOT(ISNUMBER(G177))),"Eksik efor",F177*G177))</x:f>
      </x:c>
      <x:c r="I177" s="2" t="n">
        <x:f>IF(OR(B177="",C177="",A177="",A177&gt;'Panel'!$N$5),0,IF(COUNTIFS($B$7:B177,B177,$C$7:C177,C177,$A$7:A177,"&lt;="&amp;'Panel'!$N$5)=1,1,0))</x:f>
        <x:v>0</x:v>
      </x:c>
      <x:c r="J177" s="2" t="n">
        <x:f>IF(OR(B177="",C177="",A177="",A177&gt;'Panel'!$N$5,A177&lt;'Panel'!$N$5-WEEKDAY('Panel'!$N$5,2)+1),0,IF(COUNTIFS($B$7:B177,B177,$C$7:C177,C177,$A$7:A177,"&gt;="&amp;('Panel'!$N$5-WEEKDAY('Panel'!$N$5,2)+1),$A$7:A177,"&lt;="&amp;'Panel'!$N$5)=1,1,0))</x:f>
        <x:v>0</x:v>
      </x:c>
    </x:row>
    <x:row r="178" ht="22" customHeight="1">
      <x:c r="A178" s="7"/>
      <x:c r="B178" s="6"/>
      <x:c r="C178" s="6"/>
      <x:c r="D178" s="6"/>
      <x:c r="E178" s="6"/>
      <x:c r="F178" s="17"/>
      <x:c r="G178" s="13"/>
      <x:c r="H178" s="14" t="str">
        <x:f>IF(B178="","",IF(OR(A178="",C178="",NOT(ISNUMBER(F178)),NOT(ISNUMBER(G178))),"Eksik efor",F178*G178))</x:f>
      </x:c>
      <x:c r="I178" s="2" t="n">
        <x:f>IF(OR(B178="",C178="",A178="",A178&gt;'Panel'!$N$5),0,IF(COUNTIFS($B$7:B178,B178,$C$7:C178,C178,$A$7:A178,"&lt;="&amp;'Panel'!$N$5)=1,1,0))</x:f>
        <x:v>0</x:v>
      </x:c>
      <x:c r="J178" s="2" t="n">
        <x:f>IF(OR(B178="",C178="",A178="",A178&gt;'Panel'!$N$5,A178&lt;'Panel'!$N$5-WEEKDAY('Panel'!$N$5,2)+1),0,IF(COUNTIFS($B$7:B178,B178,$C$7:C178,C178,$A$7:A178,"&gt;="&amp;('Panel'!$N$5-WEEKDAY('Panel'!$N$5,2)+1),$A$7:A178,"&lt;="&amp;'Panel'!$N$5)=1,1,0))</x:f>
        <x:v>0</x:v>
      </x:c>
    </x:row>
    <x:row r="179" ht="22" customHeight="1">
      <x:c r="A179" s="7"/>
      <x:c r="B179" s="6"/>
      <x:c r="C179" s="6"/>
      <x:c r="D179" s="6"/>
      <x:c r="E179" s="6"/>
      <x:c r="F179" s="17"/>
      <x:c r="G179" s="13"/>
      <x:c r="H179" s="14" t="str">
        <x:f>IF(B179="","",IF(OR(A179="",C179="",NOT(ISNUMBER(F179)),NOT(ISNUMBER(G179))),"Eksik efor",F179*G179))</x:f>
      </x:c>
      <x:c r="I179" s="2" t="n">
        <x:f>IF(OR(B179="",C179="",A179="",A179&gt;'Panel'!$N$5),0,IF(COUNTIFS($B$7:B179,B179,$C$7:C179,C179,$A$7:A179,"&lt;="&amp;'Panel'!$N$5)=1,1,0))</x:f>
        <x:v>0</x:v>
      </x:c>
      <x:c r="J179" s="2" t="n">
        <x:f>IF(OR(B179="",C179="",A179="",A179&gt;'Panel'!$N$5,A179&lt;'Panel'!$N$5-WEEKDAY('Panel'!$N$5,2)+1),0,IF(COUNTIFS($B$7:B179,B179,$C$7:C179,C179,$A$7:A179,"&gt;="&amp;('Panel'!$N$5-WEEKDAY('Panel'!$N$5,2)+1),$A$7:A179,"&lt;="&amp;'Panel'!$N$5)=1,1,0))</x:f>
        <x:v>0</x:v>
      </x:c>
    </x:row>
    <x:row r="180" ht="22" customHeight="1">
      <x:c r="A180" s="7"/>
      <x:c r="B180" s="6"/>
      <x:c r="C180" s="6"/>
      <x:c r="D180" s="6"/>
      <x:c r="E180" s="6"/>
      <x:c r="F180" s="17"/>
      <x:c r="G180" s="13"/>
      <x:c r="H180" s="14" t="str">
        <x:f>IF(B180="","",IF(OR(A180="",C180="",NOT(ISNUMBER(F180)),NOT(ISNUMBER(G180))),"Eksik efor",F180*G180))</x:f>
      </x:c>
      <x:c r="I180" s="2" t="n">
        <x:f>IF(OR(B180="",C180="",A180="",A180&gt;'Panel'!$N$5),0,IF(COUNTIFS($B$7:B180,B180,$C$7:C180,C180,$A$7:A180,"&lt;="&amp;'Panel'!$N$5)=1,1,0))</x:f>
        <x:v>0</x:v>
      </x:c>
      <x:c r="J180" s="2" t="n">
        <x:f>IF(OR(B180="",C180="",A180="",A180&gt;'Panel'!$N$5,A180&lt;'Panel'!$N$5-WEEKDAY('Panel'!$N$5,2)+1),0,IF(COUNTIFS($B$7:B180,B180,$C$7:C180,C180,$A$7:A180,"&gt;="&amp;('Panel'!$N$5-WEEKDAY('Panel'!$N$5,2)+1),$A$7:A180,"&lt;="&amp;'Panel'!$N$5)=1,1,0))</x:f>
        <x:v>0</x:v>
      </x:c>
    </x:row>
    <x:row r="181" ht="22" customHeight="1">
      <x:c r="A181" s="7"/>
      <x:c r="B181" s="6"/>
      <x:c r="C181" s="6"/>
      <x:c r="D181" s="6"/>
      <x:c r="E181" s="6"/>
      <x:c r="F181" s="17"/>
      <x:c r="G181" s="13"/>
      <x:c r="H181" s="14" t="str">
        <x:f>IF(B181="","",IF(OR(A181="",C181="",NOT(ISNUMBER(F181)),NOT(ISNUMBER(G181))),"Eksik efor",F181*G181))</x:f>
      </x:c>
      <x:c r="I181" s="2" t="n">
        <x:f>IF(OR(B181="",C181="",A181="",A181&gt;'Panel'!$N$5),0,IF(COUNTIFS($B$7:B181,B181,$C$7:C181,C181,$A$7:A181,"&lt;="&amp;'Panel'!$N$5)=1,1,0))</x:f>
        <x:v>0</x:v>
      </x:c>
      <x:c r="J181" s="2" t="n">
        <x:f>IF(OR(B181="",C181="",A181="",A181&gt;'Panel'!$N$5,A181&lt;'Panel'!$N$5-WEEKDAY('Panel'!$N$5,2)+1),0,IF(COUNTIFS($B$7:B181,B181,$C$7:C181,C181,$A$7:A181,"&gt;="&amp;('Panel'!$N$5-WEEKDAY('Panel'!$N$5,2)+1),$A$7:A181,"&lt;="&amp;'Panel'!$N$5)=1,1,0))</x:f>
        <x:v>0</x:v>
      </x:c>
    </x:row>
    <x:row r="182" ht="22" customHeight="1">
      <x:c r="A182" s="7"/>
      <x:c r="B182" s="6"/>
      <x:c r="C182" s="6"/>
      <x:c r="D182" s="6"/>
      <x:c r="E182" s="6"/>
      <x:c r="F182" s="17"/>
      <x:c r="G182" s="13"/>
      <x:c r="H182" s="14" t="str">
        <x:f>IF(B182="","",IF(OR(A182="",C182="",NOT(ISNUMBER(F182)),NOT(ISNUMBER(G182))),"Eksik efor",F182*G182))</x:f>
      </x:c>
      <x:c r="I182" s="2" t="n">
        <x:f>IF(OR(B182="",C182="",A182="",A182&gt;'Panel'!$N$5),0,IF(COUNTIFS($B$7:B182,B182,$C$7:C182,C182,$A$7:A182,"&lt;="&amp;'Panel'!$N$5)=1,1,0))</x:f>
        <x:v>0</x:v>
      </x:c>
      <x:c r="J182" s="2" t="n">
        <x:f>IF(OR(B182="",C182="",A182="",A182&gt;'Panel'!$N$5,A182&lt;'Panel'!$N$5-WEEKDAY('Panel'!$N$5,2)+1),0,IF(COUNTIFS($B$7:B182,B182,$C$7:C182,C182,$A$7:A182,"&gt;="&amp;('Panel'!$N$5-WEEKDAY('Panel'!$N$5,2)+1),$A$7:A182,"&lt;="&amp;'Panel'!$N$5)=1,1,0))</x:f>
        <x:v>0</x:v>
      </x:c>
    </x:row>
    <x:row r="183" ht="22" customHeight="1">
      <x:c r="A183" s="7"/>
      <x:c r="B183" s="6"/>
      <x:c r="C183" s="6"/>
      <x:c r="D183" s="6"/>
      <x:c r="E183" s="6"/>
      <x:c r="F183" s="17"/>
      <x:c r="G183" s="13"/>
      <x:c r="H183" s="14" t="str">
        <x:f>IF(B183="","",IF(OR(A183="",C183="",NOT(ISNUMBER(F183)),NOT(ISNUMBER(G183))),"Eksik efor",F183*G183))</x:f>
      </x:c>
      <x:c r="I183" s="2" t="n">
        <x:f>IF(OR(B183="",C183="",A183="",A183&gt;'Panel'!$N$5),0,IF(COUNTIFS($B$7:B183,B183,$C$7:C183,C183,$A$7:A183,"&lt;="&amp;'Panel'!$N$5)=1,1,0))</x:f>
        <x:v>0</x:v>
      </x:c>
      <x:c r="J183" s="2" t="n">
        <x:f>IF(OR(B183="",C183="",A183="",A183&gt;'Panel'!$N$5,A183&lt;'Panel'!$N$5-WEEKDAY('Panel'!$N$5,2)+1),0,IF(COUNTIFS($B$7:B183,B183,$C$7:C183,C183,$A$7:A183,"&gt;="&amp;('Panel'!$N$5-WEEKDAY('Panel'!$N$5,2)+1),$A$7:A183,"&lt;="&amp;'Panel'!$N$5)=1,1,0))</x:f>
        <x:v>0</x:v>
      </x:c>
    </x:row>
    <x:row r="184" ht="22" customHeight="1">
      <x:c r="A184" s="7"/>
      <x:c r="B184" s="6"/>
      <x:c r="C184" s="6"/>
      <x:c r="D184" s="6"/>
      <x:c r="E184" s="6"/>
      <x:c r="F184" s="17"/>
      <x:c r="G184" s="13"/>
      <x:c r="H184" s="14" t="str">
        <x:f>IF(B184="","",IF(OR(A184="",C184="",NOT(ISNUMBER(F184)),NOT(ISNUMBER(G184))),"Eksik efor",F184*G184))</x:f>
      </x:c>
      <x:c r="I184" s="2" t="n">
        <x:f>IF(OR(B184="",C184="",A184="",A184&gt;'Panel'!$N$5),0,IF(COUNTIFS($B$7:B184,B184,$C$7:C184,C184,$A$7:A184,"&lt;="&amp;'Panel'!$N$5)=1,1,0))</x:f>
        <x:v>0</x:v>
      </x:c>
      <x:c r="J184" s="2" t="n">
        <x:f>IF(OR(B184="",C184="",A184="",A184&gt;'Panel'!$N$5,A184&lt;'Panel'!$N$5-WEEKDAY('Panel'!$N$5,2)+1),0,IF(COUNTIFS($B$7:B184,B184,$C$7:C184,C184,$A$7:A184,"&gt;="&amp;('Panel'!$N$5-WEEKDAY('Panel'!$N$5,2)+1),$A$7:A184,"&lt;="&amp;'Panel'!$N$5)=1,1,0))</x:f>
        <x:v>0</x:v>
      </x:c>
    </x:row>
    <x:row r="185" ht="22" customHeight="1">
      <x:c r="A185" s="7"/>
      <x:c r="B185" s="6"/>
      <x:c r="C185" s="6"/>
      <x:c r="D185" s="6"/>
      <x:c r="E185" s="6"/>
      <x:c r="F185" s="17"/>
      <x:c r="G185" s="13"/>
      <x:c r="H185" s="14" t="str">
        <x:f>IF(B185="","",IF(OR(A185="",C185="",NOT(ISNUMBER(F185)),NOT(ISNUMBER(G185))),"Eksik efor",F185*G185))</x:f>
      </x:c>
      <x:c r="I185" s="2" t="n">
        <x:f>IF(OR(B185="",C185="",A185="",A185&gt;'Panel'!$N$5),0,IF(COUNTIFS($B$7:B185,B185,$C$7:C185,C185,$A$7:A185,"&lt;="&amp;'Panel'!$N$5)=1,1,0))</x:f>
        <x:v>0</x:v>
      </x:c>
      <x:c r="J185" s="2" t="n">
        <x:f>IF(OR(B185="",C185="",A185="",A185&gt;'Panel'!$N$5,A185&lt;'Panel'!$N$5-WEEKDAY('Panel'!$N$5,2)+1),0,IF(COUNTIFS($B$7:B185,B185,$C$7:C185,C185,$A$7:A185,"&gt;="&amp;('Panel'!$N$5-WEEKDAY('Panel'!$N$5,2)+1),$A$7:A185,"&lt;="&amp;'Panel'!$N$5)=1,1,0))</x:f>
        <x:v>0</x:v>
      </x:c>
    </x:row>
    <x:row r="186" ht="22" customHeight="1">
      <x:c r="A186" s="7"/>
      <x:c r="B186" s="6"/>
      <x:c r="C186" s="6"/>
      <x:c r="D186" s="6"/>
      <x:c r="E186" s="6"/>
      <x:c r="F186" s="17"/>
      <x:c r="G186" s="13"/>
      <x:c r="H186" s="14" t="str">
        <x:f>IF(B186="","",IF(OR(A186="",C186="",NOT(ISNUMBER(F186)),NOT(ISNUMBER(G186))),"Eksik efor",F186*G186))</x:f>
      </x:c>
      <x:c r="I186" s="2" t="n">
        <x:f>IF(OR(B186="",C186="",A186="",A186&gt;'Panel'!$N$5),0,IF(COUNTIFS($B$7:B186,B186,$C$7:C186,C186,$A$7:A186,"&lt;="&amp;'Panel'!$N$5)=1,1,0))</x:f>
        <x:v>0</x:v>
      </x:c>
      <x:c r="J186" s="2" t="n">
        <x:f>IF(OR(B186="",C186="",A186="",A186&gt;'Panel'!$N$5,A186&lt;'Panel'!$N$5-WEEKDAY('Panel'!$N$5,2)+1),0,IF(COUNTIFS($B$7:B186,B186,$C$7:C186,C186,$A$7:A186,"&gt;="&amp;('Panel'!$N$5-WEEKDAY('Panel'!$N$5,2)+1),$A$7:A186,"&lt;="&amp;'Panel'!$N$5)=1,1,0))</x:f>
        <x:v>0</x:v>
      </x:c>
    </x:row>
    <x:row r="187" ht="22" customHeight="1">
      <x:c r="A187" s="7"/>
      <x:c r="B187" s="6"/>
      <x:c r="C187" s="6"/>
      <x:c r="D187" s="6"/>
      <x:c r="E187" s="6"/>
      <x:c r="F187" s="17"/>
      <x:c r="G187" s="13"/>
      <x:c r="H187" s="14" t="str">
        <x:f>IF(B187="","",IF(OR(A187="",C187="",NOT(ISNUMBER(F187)),NOT(ISNUMBER(G187))),"Eksik efor",F187*G187))</x:f>
      </x:c>
      <x:c r="I187" s="2" t="n">
        <x:f>IF(OR(B187="",C187="",A187="",A187&gt;'Panel'!$N$5),0,IF(COUNTIFS($B$7:B187,B187,$C$7:C187,C187,$A$7:A187,"&lt;="&amp;'Panel'!$N$5)=1,1,0))</x:f>
        <x:v>0</x:v>
      </x:c>
      <x:c r="J187" s="2" t="n">
        <x:f>IF(OR(B187="",C187="",A187="",A187&gt;'Panel'!$N$5,A187&lt;'Panel'!$N$5-WEEKDAY('Panel'!$N$5,2)+1),0,IF(COUNTIFS($B$7:B187,B187,$C$7:C187,C187,$A$7:A187,"&gt;="&amp;('Panel'!$N$5-WEEKDAY('Panel'!$N$5,2)+1),$A$7:A187,"&lt;="&amp;'Panel'!$N$5)=1,1,0))</x:f>
        <x:v>0</x:v>
      </x:c>
    </x:row>
    <x:row r="188" ht="22" customHeight="1">
      <x:c r="A188" s="7"/>
      <x:c r="B188" s="6"/>
      <x:c r="C188" s="6"/>
      <x:c r="D188" s="6"/>
      <x:c r="E188" s="6"/>
      <x:c r="F188" s="17"/>
      <x:c r="G188" s="13"/>
      <x:c r="H188" s="14" t="str">
        <x:f>IF(B188="","",IF(OR(A188="",C188="",NOT(ISNUMBER(F188)),NOT(ISNUMBER(G188))),"Eksik efor",F188*G188))</x:f>
      </x:c>
      <x:c r="I188" s="2" t="n">
        <x:f>IF(OR(B188="",C188="",A188="",A188&gt;'Panel'!$N$5),0,IF(COUNTIFS($B$7:B188,B188,$C$7:C188,C188,$A$7:A188,"&lt;="&amp;'Panel'!$N$5)=1,1,0))</x:f>
        <x:v>0</x:v>
      </x:c>
      <x:c r="J188" s="2" t="n">
        <x:f>IF(OR(B188="",C188="",A188="",A188&gt;'Panel'!$N$5,A188&lt;'Panel'!$N$5-WEEKDAY('Panel'!$N$5,2)+1),0,IF(COUNTIFS($B$7:B188,B188,$C$7:C188,C188,$A$7:A188,"&gt;="&amp;('Panel'!$N$5-WEEKDAY('Panel'!$N$5,2)+1),$A$7:A188,"&lt;="&amp;'Panel'!$N$5)=1,1,0))</x:f>
        <x:v>0</x:v>
      </x:c>
    </x:row>
    <x:row r="189" ht="22" customHeight="1">
      <x:c r="A189" s="7"/>
      <x:c r="B189" s="6"/>
      <x:c r="C189" s="6"/>
      <x:c r="D189" s="6"/>
      <x:c r="E189" s="6"/>
      <x:c r="F189" s="17"/>
      <x:c r="G189" s="13"/>
      <x:c r="H189" s="14" t="str">
        <x:f>IF(B189="","",IF(OR(A189="",C189="",NOT(ISNUMBER(F189)),NOT(ISNUMBER(G189))),"Eksik efor",F189*G189))</x:f>
      </x:c>
      <x:c r="I189" s="2" t="n">
        <x:f>IF(OR(B189="",C189="",A189="",A189&gt;'Panel'!$N$5),0,IF(COUNTIFS($B$7:B189,B189,$C$7:C189,C189,$A$7:A189,"&lt;="&amp;'Panel'!$N$5)=1,1,0))</x:f>
        <x:v>0</x:v>
      </x:c>
      <x:c r="J189" s="2" t="n">
        <x:f>IF(OR(B189="",C189="",A189="",A189&gt;'Panel'!$N$5,A189&lt;'Panel'!$N$5-WEEKDAY('Panel'!$N$5,2)+1),0,IF(COUNTIFS($B$7:B189,B189,$C$7:C189,C189,$A$7:A189,"&gt;="&amp;('Panel'!$N$5-WEEKDAY('Panel'!$N$5,2)+1),$A$7:A189,"&lt;="&amp;'Panel'!$N$5)=1,1,0))</x:f>
        <x:v>0</x:v>
      </x:c>
    </x:row>
    <x:row r="190" ht="22" customHeight="1">
      <x:c r="A190" s="7"/>
      <x:c r="B190" s="6"/>
      <x:c r="C190" s="6"/>
      <x:c r="D190" s="6"/>
      <x:c r="E190" s="6"/>
      <x:c r="F190" s="17"/>
      <x:c r="G190" s="13"/>
      <x:c r="H190" s="14" t="str">
        <x:f>IF(B190="","",IF(OR(A190="",C190="",NOT(ISNUMBER(F190)),NOT(ISNUMBER(G190))),"Eksik efor",F190*G190))</x:f>
      </x:c>
      <x:c r="I190" s="2" t="n">
        <x:f>IF(OR(B190="",C190="",A190="",A190&gt;'Panel'!$N$5),0,IF(COUNTIFS($B$7:B190,B190,$C$7:C190,C190,$A$7:A190,"&lt;="&amp;'Panel'!$N$5)=1,1,0))</x:f>
        <x:v>0</x:v>
      </x:c>
      <x:c r="J190" s="2" t="n">
        <x:f>IF(OR(B190="",C190="",A190="",A190&gt;'Panel'!$N$5,A190&lt;'Panel'!$N$5-WEEKDAY('Panel'!$N$5,2)+1),0,IF(COUNTIFS($B$7:B190,B190,$C$7:C190,C190,$A$7:A190,"&gt;="&amp;('Panel'!$N$5-WEEKDAY('Panel'!$N$5,2)+1),$A$7:A190,"&lt;="&amp;'Panel'!$N$5)=1,1,0))</x:f>
        <x:v>0</x:v>
      </x:c>
    </x:row>
    <x:row r="191" ht="22" customHeight="1">
      <x:c r="A191" s="7"/>
      <x:c r="B191" s="6"/>
      <x:c r="C191" s="6"/>
      <x:c r="D191" s="6"/>
      <x:c r="E191" s="6"/>
      <x:c r="F191" s="17"/>
      <x:c r="G191" s="13"/>
      <x:c r="H191" s="14" t="str">
        <x:f>IF(B191="","",IF(OR(A191="",C191="",NOT(ISNUMBER(F191)),NOT(ISNUMBER(G191))),"Eksik efor",F191*G191))</x:f>
      </x:c>
      <x:c r="I191" s="2" t="n">
        <x:f>IF(OR(B191="",C191="",A191="",A191&gt;'Panel'!$N$5),0,IF(COUNTIFS($B$7:B191,B191,$C$7:C191,C191,$A$7:A191,"&lt;="&amp;'Panel'!$N$5)=1,1,0))</x:f>
        <x:v>0</x:v>
      </x:c>
      <x:c r="J191" s="2" t="n">
        <x:f>IF(OR(B191="",C191="",A191="",A191&gt;'Panel'!$N$5,A191&lt;'Panel'!$N$5-WEEKDAY('Panel'!$N$5,2)+1),0,IF(COUNTIFS($B$7:B191,B191,$C$7:C191,C191,$A$7:A191,"&gt;="&amp;('Panel'!$N$5-WEEKDAY('Panel'!$N$5,2)+1),$A$7:A191,"&lt;="&amp;'Panel'!$N$5)=1,1,0))</x:f>
        <x:v>0</x:v>
      </x:c>
    </x:row>
    <x:row r="192" ht="22" customHeight="1">
      <x:c r="A192" s="7"/>
      <x:c r="B192" s="6"/>
      <x:c r="C192" s="6"/>
      <x:c r="D192" s="6"/>
      <x:c r="E192" s="6"/>
      <x:c r="F192" s="17"/>
      <x:c r="G192" s="13"/>
      <x:c r="H192" s="14" t="str">
        <x:f>IF(B192="","",IF(OR(A192="",C192="",NOT(ISNUMBER(F192)),NOT(ISNUMBER(G192))),"Eksik efor",F192*G192))</x:f>
      </x:c>
      <x:c r="I192" s="2" t="n">
        <x:f>IF(OR(B192="",C192="",A192="",A192&gt;'Panel'!$N$5),0,IF(COUNTIFS($B$7:B192,B192,$C$7:C192,C192,$A$7:A192,"&lt;="&amp;'Panel'!$N$5)=1,1,0))</x:f>
        <x:v>0</x:v>
      </x:c>
      <x:c r="J192" s="2" t="n">
        <x:f>IF(OR(B192="",C192="",A192="",A192&gt;'Panel'!$N$5,A192&lt;'Panel'!$N$5-WEEKDAY('Panel'!$N$5,2)+1),0,IF(COUNTIFS($B$7:B192,B192,$C$7:C192,C192,$A$7:A192,"&gt;="&amp;('Panel'!$N$5-WEEKDAY('Panel'!$N$5,2)+1),$A$7:A192,"&lt;="&amp;'Panel'!$N$5)=1,1,0))</x:f>
        <x:v>0</x:v>
      </x:c>
    </x:row>
    <x:row r="193" ht="22" customHeight="1">
      <x:c r="A193" s="7"/>
      <x:c r="B193" s="6"/>
      <x:c r="C193" s="6"/>
      <x:c r="D193" s="6"/>
      <x:c r="E193" s="6"/>
      <x:c r="F193" s="17"/>
      <x:c r="G193" s="13"/>
      <x:c r="H193" s="14" t="str">
        <x:f>IF(B193="","",IF(OR(A193="",C193="",NOT(ISNUMBER(F193)),NOT(ISNUMBER(G193))),"Eksik efor",F193*G193))</x:f>
      </x:c>
      <x:c r="I193" s="2" t="n">
        <x:f>IF(OR(B193="",C193="",A193="",A193&gt;'Panel'!$N$5),0,IF(COUNTIFS($B$7:B193,B193,$C$7:C193,C193,$A$7:A193,"&lt;="&amp;'Panel'!$N$5)=1,1,0))</x:f>
        <x:v>0</x:v>
      </x:c>
      <x:c r="J193" s="2" t="n">
        <x:f>IF(OR(B193="",C193="",A193="",A193&gt;'Panel'!$N$5,A193&lt;'Panel'!$N$5-WEEKDAY('Panel'!$N$5,2)+1),0,IF(COUNTIFS($B$7:B193,B193,$C$7:C193,C193,$A$7:A193,"&gt;="&amp;('Panel'!$N$5-WEEKDAY('Panel'!$N$5,2)+1),$A$7:A193,"&lt;="&amp;'Panel'!$N$5)=1,1,0))</x:f>
        <x:v>0</x:v>
      </x:c>
    </x:row>
    <x:row r="194" ht="22" customHeight="1">
      <x:c r="A194" s="7"/>
      <x:c r="B194" s="6"/>
      <x:c r="C194" s="6"/>
      <x:c r="D194" s="6"/>
      <x:c r="E194" s="6"/>
      <x:c r="F194" s="17"/>
      <x:c r="G194" s="13"/>
      <x:c r="H194" s="14" t="str">
        <x:f>IF(B194="","",IF(OR(A194="",C194="",NOT(ISNUMBER(F194)),NOT(ISNUMBER(G194))),"Eksik efor",F194*G194))</x:f>
      </x:c>
      <x:c r="I194" s="2" t="n">
        <x:f>IF(OR(B194="",C194="",A194="",A194&gt;'Panel'!$N$5),0,IF(COUNTIFS($B$7:B194,B194,$C$7:C194,C194,$A$7:A194,"&lt;="&amp;'Panel'!$N$5)=1,1,0))</x:f>
        <x:v>0</x:v>
      </x:c>
      <x:c r="J194" s="2" t="n">
        <x:f>IF(OR(B194="",C194="",A194="",A194&gt;'Panel'!$N$5,A194&lt;'Panel'!$N$5-WEEKDAY('Panel'!$N$5,2)+1),0,IF(COUNTIFS($B$7:B194,B194,$C$7:C194,C194,$A$7:A194,"&gt;="&amp;('Panel'!$N$5-WEEKDAY('Panel'!$N$5,2)+1),$A$7:A194,"&lt;="&amp;'Panel'!$N$5)=1,1,0))</x:f>
        <x:v>0</x:v>
      </x:c>
    </x:row>
    <x:row r="195" ht="22" customHeight="1">
      <x:c r="A195" s="7"/>
      <x:c r="B195" s="6"/>
      <x:c r="C195" s="6"/>
      <x:c r="D195" s="6"/>
      <x:c r="E195" s="6"/>
      <x:c r="F195" s="17"/>
      <x:c r="G195" s="13"/>
      <x:c r="H195" s="14" t="str">
        <x:f>IF(B195="","",IF(OR(A195="",C195="",NOT(ISNUMBER(F195)),NOT(ISNUMBER(G195))),"Eksik efor",F195*G195))</x:f>
      </x:c>
      <x:c r="I195" s="2" t="n">
        <x:f>IF(OR(B195="",C195="",A195="",A195&gt;'Panel'!$N$5),0,IF(COUNTIFS($B$7:B195,B195,$C$7:C195,C195,$A$7:A195,"&lt;="&amp;'Panel'!$N$5)=1,1,0))</x:f>
        <x:v>0</x:v>
      </x:c>
      <x:c r="J195" s="2" t="n">
        <x:f>IF(OR(B195="",C195="",A195="",A195&gt;'Panel'!$N$5,A195&lt;'Panel'!$N$5-WEEKDAY('Panel'!$N$5,2)+1),0,IF(COUNTIFS($B$7:B195,B195,$C$7:C195,C195,$A$7:A195,"&gt;="&amp;('Panel'!$N$5-WEEKDAY('Panel'!$N$5,2)+1),$A$7:A195,"&lt;="&amp;'Panel'!$N$5)=1,1,0))</x:f>
        <x:v>0</x:v>
      </x:c>
    </x:row>
    <x:row r="196" ht="22" customHeight="1">
      <x:c r="A196" s="7"/>
      <x:c r="B196" s="6"/>
      <x:c r="C196" s="6"/>
      <x:c r="D196" s="6"/>
      <x:c r="E196" s="6"/>
      <x:c r="F196" s="17"/>
      <x:c r="G196" s="13"/>
      <x:c r="H196" s="14" t="str">
        <x:f>IF(B196="","",IF(OR(A196="",C196="",NOT(ISNUMBER(F196)),NOT(ISNUMBER(G196))),"Eksik efor",F196*G196))</x:f>
      </x:c>
      <x:c r="I196" s="2" t="n">
        <x:f>IF(OR(B196="",C196="",A196="",A196&gt;'Panel'!$N$5),0,IF(COUNTIFS($B$7:B196,B196,$C$7:C196,C196,$A$7:A196,"&lt;="&amp;'Panel'!$N$5)=1,1,0))</x:f>
        <x:v>0</x:v>
      </x:c>
      <x:c r="J196" s="2" t="n">
        <x:f>IF(OR(B196="",C196="",A196="",A196&gt;'Panel'!$N$5,A196&lt;'Panel'!$N$5-WEEKDAY('Panel'!$N$5,2)+1),0,IF(COUNTIFS($B$7:B196,B196,$C$7:C196,C196,$A$7:A196,"&gt;="&amp;('Panel'!$N$5-WEEKDAY('Panel'!$N$5,2)+1),$A$7:A196,"&lt;="&amp;'Panel'!$N$5)=1,1,0))</x:f>
        <x:v>0</x:v>
      </x:c>
    </x:row>
    <x:row r="197" ht="22" customHeight="1">
      <x:c r="A197" s="7"/>
      <x:c r="B197" s="6"/>
      <x:c r="C197" s="6"/>
      <x:c r="D197" s="6"/>
      <x:c r="E197" s="6"/>
      <x:c r="F197" s="17"/>
      <x:c r="G197" s="13"/>
      <x:c r="H197" s="14" t="str">
        <x:f>IF(B197="","",IF(OR(A197="",C197="",NOT(ISNUMBER(F197)),NOT(ISNUMBER(G197))),"Eksik efor",F197*G197))</x:f>
      </x:c>
      <x:c r="I197" s="2" t="n">
        <x:f>IF(OR(B197="",C197="",A197="",A197&gt;'Panel'!$N$5),0,IF(COUNTIFS($B$7:B197,B197,$C$7:C197,C197,$A$7:A197,"&lt;="&amp;'Panel'!$N$5)=1,1,0))</x:f>
        <x:v>0</x:v>
      </x:c>
      <x:c r="J197" s="2" t="n">
        <x:f>IF(OR(B197="",C197="",A197="",A197&gt;'Panel'!$N$5,A197&lt;'Panel'!$N$5-WEEKDAY('Panel'!$N$5,2)+1),0,IF(COUNTIFS($B$7:B197,B197,$C$7:C197,C197,$A$7:A197,"&gt;="&amp;('Panel'!$N$5-WEEKDAY('Panel'!$N$5,2)+1),$A$7:A197,"&lt;="&amp;'Panel'!$N$5)=1,1,0))</x:f>
        <x:v>0</x:v>
      </x:c>
    </x:row>
    <x:row r="198" ht="22" customHeight="1">
      <x:c r="A198" s="7"/>
      <x:c r="B198" s="6"/>
      <x:c r="C198" s="6"/>
      <x:c r="D198" s="6"/>
      <x:c r="E198" s="6"/>
      <x:c r="F198" s="17"/>
      <x:c r="G198" s="13"/>
      <x:c r="H198" s="14" t="str">
        <x:f>IF(B198="","",IF(OR(A198="",C198="",NOT(ISNUMBER(F198)),NOT(ISNUMBER(G198))),"Eksik efor",F198*G198))</x:f>
      </x:c>
      <x:c r="I198" s="2" t="n">
        <x:f>IF(OR(B198="",C198="",A198="",A198&gt;'Panel'!$N$5),0,IF(COUNTIFS($B$7:B198,B198,$C$7:C198,C198,$A$7:A198,"&lt;="&amp;'Panel'!$N$5)=1,1,0))</x:f>
        <x:v>0</x:v>
      </x:c>
      <x:c r="J198" s="2" t="n">
        <x:f>IF(OR(B198="",C198="",A198="",A198&gt;'Panel'!$N$5,A198&lt;'Panel'!$N$5-WEEKDAY('Panel'!$N$5,2)+1),0,IF(COUNTIFS($B$7:B198,B198,$C$7:C198,C198,$A$7:A198,"&gt;="&amp;('Panel'!$N$5-WEEKDAY('Panel'!$N$5,2)+1),$A$7:A198,"&lt;="&amp;'Panel'!$N$5)=1,1,0))</x:f>
        <x:v>0</x:v>
      </x:c>
    </x:row>
    <x:row r="199" ht="22" customHeight="1">
      <x:c r="A199" s="7"/>
      <x:c r="B199" s="6"/>
      <x:c r="C199" s="6"/>
      <x:c r="D199" s="6"/>
      <x:c r="E199" s="6"/>
      <x:c r="F199" s="17"/>
      <x:c r="G199" s="13"/>
      <x:c r="H199" s="14" t="str">
        <x:f>IF(B199="","",IF(OR(A199="",C199="",NOT(ISNUMBER(F199)),NOT(ISNUMBER(G199))),"Eksik efor",F199*G199))</x:f>
      </x:c>
      <x:c r="I199" s="2" t="n">
        <x:f>IF(OR(B199="",C199="",A199="",A199&gt;'Panel'!$N$5),0,IF(COUNTIFS($B$7:B199,B199,$C$7:C199,C199,$A$7:A199,"&lt;="&amp;'Panel'!$N$5)=1,1,0))</x:f>
        <x:v>0</x:v>
      </x:c>
      <x:c r="J199" s="2" t="n">
        <x:f>IF(OR(B199="",C199="",A199="",A199&gt;'Panel'!$N$5,A199&lt;'Panel'!$N$5-WEEKDAY('Panel'!$N$5,2)+1),0,IF(COUNTIFS($B$7:B199,B199,$C$7:C199,C199,$A$7:A199,"&gt;="&amp;('Panel'!$N$5-WEEKDAY('Panel'!$N$5,2)+1),$A$7:A199,"&lt;="&amp;'Panel'!$N$5)=1,1,0))</x:f>
        <x:v>0</x:v>
      </x:c>
    </x:row>
    <x:row r="200" ht="22" customHeight="1">
      <x:c r="A200" s="7"/>
      <x:c r="B200" s="6"/>
      <x:c r="C200" s="6"/>
      <x:c r="D200" s="6"/>
      <x:c r="E200" s="6"/>
      <x:c r="F200" s="17"/>
      <x:c r="G200" s="13"/>
      <x:c r="H200" s="14" t="str">
        <x:f>IF(B200="","",IF(OR(A200="",C200="",NOT(ISNUMBER(F200)),NOT(ISNUMBER(G200))),"Eksik efor",F200*G200))</x:f>
      </x:c>
      <x:c r="I200" s="2" t="n">
        <x:f>IF(OR(B200="",C200="",A200="",A200&gt;'Panel'!$N$5),0,IF(COUNTIFS($B$7:B200,B200,$C$7:C200,C200,$A$7:A200,"&lt;="&amp;'Panel'!$N$5)=1,1,0))</x:f>
        <x:v>0</x:v>
      </x:c>
      <x:c r="J200" s="2" t="n">
        <x:f>IF(OR(B200="",C200="",A200="",A200&gt;'Panel'!$N$5,A200&lt;'Panel'!$N$5-WEEKDAY('Panel'!$N$5,2)+1),0,IF(COUNTIFS($B$7:B200,B200,$C$7:C200,C200,$A$7:A200,"&gt;="&amp;('Panel'!$N$5-WEEKDAY('Panel'!$N$5,2)+1),$A$7:A200,"&lt;="&amp;'Panel'!$N$5)=1,1,0))</x:f>
        <x:v>0</x:v>
      </x:c>
    </x:row>
    <x:row r="201" ht="22" customHeight="1">
      <x:c r="A201" s="7"/>
      <x:c r="B201" s="6"/>
      <x:c r="C201" s="6"/>
      <x:c r="D201" s="6"/>
      <x:c r="E201" s="6"/>
      <x:c r="F201" s="17"/>
      <x:c r="G201" s="13"/>
      <x:c r="H201" s="14" t="str">
        <x:f>IF(B201="","",IF(OR(A201="",C201="",NOT(ISNUMBER(F201)),NOT(ISNUMBER(G201))),"Eksik efor",F201*G201))</x:f>
      </x:c>
      <x:c r="I201" s="2" t="n">
        <x:f>IF(OR(B201="",C201="",A201="",A201&gt;'Panel'!$N$5),0,IF(COUNTIFS($B$7:B201,B201,$C$7:C201,C201,$A$7:A201,"&lt;="&amp;'Panel'!$N$5)=1,1,0))</x:f>
        <x:v>0</x:v>
      </x:c>
      <x:c r="J201" s="2" t="n">
        <x:f>IF(OR(B201="",C201="",A201="",A201&gt;'Panel'!$N$5,A201&lt;'Panel'!$N$5-WEEKDAY('Panel'!$N$5,2)+1),0,IF(COUNTIFS($B$7:B201,B201,$C$7:C201,C201,$A$7:A201,"&gt;="&amp;('Panel'!$N$5-WEEKDAY('Panel'!$N$5,2)+1),$A$7:A201,"&lt;="&amp;'Panel'!$N$5)=1,1,0))</x:f>
        <x:v>0</x:v>
      </x:c>
    </x:row>
    <x:row r="202" ht="22" customHeight="1">
      <x:c r="A202" s="7"/>
      <x:c r="B202" s="6"/>
      <x:c r="C202" s="6"/>
      <x:c r="D202" s="6"/>
      <x:c r="E202" s="6"/>
      <x:c r="F202" s="17"/>
      <x:c r="G202" s="13"/>
      <x:c r="H202" s="14" t="str">
        <x:f>IF(B202="","",IF(OR(A202="",C202="",NOT(ISNUMBER(F202)),NOT(ISNUMBER(G202))),"Eksik efor",F202*G202))</x:f>
      </x:c>
      <x:c r="I202" s="2" t="n">
        <x:f>IF(OR(B202="",C202="",A202="",A202&gt;'Panel'!$N$5),0,IF(COUNTIFS($B$7:B202,B202,$C$7:C202,C202,$A$7:A202,"&lt;="&amp;'Panel'!$N$5)=1,1,0))</x:f>
        <x:v>0</x:v>
      </x:c>
      <x:c r="J202" s="2" t="n">
        <x:f>IF(OR(B202="",C202="",A202="",A202&gt;'Panel'!$N$5,A202&lt;'Panel'!$N$5-WEEKDAY('Panel'!$N$5,2)+1),0,IF(COUNTIFS($B$7:B202,B202,$C$7:C202,C202,$A$7:A202,"&gt;="&amp;('Panel'!$N$5-WEEKDAY('Panel'!$N$5,2)+1),$A$7:A202,"&lt;="&amp;'Panel'!$N$5)=1,1,0))</x:f>
        <x:v>0</x:v>
      </x:c>
    </x:row>
    <x:row r="203" ht="22" customHeight="1">
      <x:c r="A203" s="7"/>
      <x:c r="B203" s="6"/>
      <x:c r="C203" s="6"/>
      <x:c r="D203" s="6"/>
      <x:c r="E203" s="6"/>
      <x:c r="F203" s="17"/>
      <x:c r="G203" s="13"/>
      <x:c r="H203" s="14" t="str">
        <x:f>IF(B203="","",IF(OR(A203="",C203="",NOT(ISNUMBER(F203)),NOT(ISNUMBER(G203))),"Eksik efor",F203*G203))</x:f>
      </x:c>
      <x:c r="I203" s="2" t="n">
        <x:f>IF(OR(B203="",C203="",A203="",A203&gt;'Panel'!$N$5),0,IF(COUNTIFS($B$7:B203,B203,$C$7:C203,C203,$A$7:A203,"&lt;="&amp;'Panel'!$N$5)=1,1,0))</x:f>
        <x:v>0</x:v>
      </x:c>
      <x:c r="J203" s="2" t="n">
        <x:f>IF(OR(B203="",C203="",A203="",A203&gt;'Panel'!$N$5,A203&lt;'Panel'!$N$5-WEEKDAY('Panel'!$N$5,2)+1),0,IF(COUNTIFS($B$7:B203,B203,$C$7:C203,C203,$A$7:A203,"&gt;="&amp;('Panel'!$N$5-WEEKDAY('Panel'!$N$5,2)+1),$A$7:A203,"&lt;="&amp;'Panel'!$N$5)=1,1,0))</x:f>
        <x:v>0</x:v>
      </x:c>
    </x:row>
    <x:row r="204" ht="22" customHeight="1">
      <x:c r="A204" s="7"/>
      <x:c r="B204" s="6"/>
      <x:c r="C204" s="6"/>
      <x:c r="D204" s="6"/>
      <x:c r="E204" s="6"/>
      <x:c r="F204" s="17"/>
      <x:c r="G204" s="13"/>
      <x:c r="H204" s="14" t="str">
        <x:f>IF(B204="","",IF(OR(A204="",C204="",NOT(ISNUMBER(F204)),NOT(ISNUMBER(G204))),"Eksik efor",F204*G204))</x:f>
      </x:c>
      <x:c r="I204" s="2" t="n">
        <x:f>IF(OR(B204="",C204="",A204="",A204&gt;'Panel'!$N$5),0,IF(COUNTIFS($B$7:B204,B204,$C$7:C204,C204,$A$7:A204,"&lt;="&amp;'Panel'!$N$5)=1,1,0))</x:f>
        <x:v>0</x:v>
      </x:c>
      <x:c r="J204" s="2" t="n">
        <x:f>IF(OR(B204="",C204="",A204="",A204&gt;'Panel'!$N$5,A204&lt;'Panel'!$N$5-WEEKDAY('Panel'!$N$5,2)+1),0,IF(COUNTIFS($B$7:B204,B204,$C$7:C204,C204,$A$7:A204,"&gt;="&amp;('Panel'!$N$5-WEEKDAY('Panel'!$N$5,2)+1),$A$7:A204,"&lt;="&amp;'Panel'!$N$5)=1,1,0))</x:f>
        <x:v>0</x:v>
      </x:c>
    </x:row>
    <x:row r="205" ht="22" customHeight="1">
      <x:c r="A205" s="7"/>
      <x:c r="B205" s="6"/>
      <x:c r="C205" s="6"/>
      <x:c r="D205" s="6"/>
      <x:c r="E205" s="6"/>
      <x:c r="F205" s="17"/>
      <x:c r="G205" s="13"/>
      <x:c r="H205" s="14" t="str">
        <x:f>IF(B205="","",IF(OR(A205="",C205="",NOT(ISNUMBER(F205)),NOT(ISNUMBER(G205))),"Eksik efor",F205*G205))</x:f>
      </x:c>
      <x:c r="I205" s="2" t="n">
        <x:f>IF(OR(B205="",C205="",A205="",A205&gt;'Panel'!$N$5),0,IF(COUNTIFS($B$7:B205,B205,$C$7:C205,C205,$A$7:A205,"&lt;="&amp;'Panel'!$N$5)=1,1,0))</x:f>
        <x:v>0</x:v>
      </x:c>
      <x:c r="J205" s="2" t="n">
        <x:f>IF(OR(B205="",C205="",A205="",A205&gt;'Panel'!$N$5,A205&lt;'Panel'!$N$5-WEEKDAY('Panel'!$N$5,2)+1),0,IF(COUNTIFS($B$7:B205,B205,$C$7:C205,C205,$A$7:A205,"&gt;="&amp;('Panel'!$N$5-WEEKDAY('Panel'!$N$5,2)+1),$A$7:A205,"&lt;="&amp;'Panel'!$N$5)=1,1,0))</x:f>
        <x:v>0</x:v>
      </x:c>
    </x:row>
    <x:row r="206" ht="22" customHeight="1">
      <x:c r="A206" s="7"/>
      <x:c r="B206" s="6"/>
      <x:c r="C206" s="6"/>
      <x:c r="D206" s="6"/>
      <x:c r="E206" s="6"/>
      <x:c r="F206" s="17"/>
      <x:c r="G206" s="13"/>
      <x:c r="H206" s="14" t="str">
        <x:f>IF(B206="","",IF(OR(A206="",C206="",NOT(ISNUMBER(F206)),NOT(ISNUMBER(G206))),"Eksik efor",F206*G206))</x:f>
      </x:c>
      <x:c r="I206" s="2" t="n">
        <x:f>IF(OR(B206="",C206="",A206="",A206&gt;'Panel'!$N$5),0,IF(COUNTIFS($B$7:B206,B206,$C$7:C206,C206,$A$7:A206,"&lt;="&amp;'Panel'!$N$5)=1,1,0))</x:f>
        <x:v>0</x:v>
      </x:c>
      <x:c r="J206" s="2" t="n">
        <x:f>IF(OR(B206="",C206="",A206="",A206&gt;'Panel'!$N$5,A206&lt;'Panel'!$N$5-WEEKDAY('Panel'!$N$5,2)+1),0,IF(COUNTIFS($B$7:B206,B206,$C$7:C206,C206,$A$7:A206,"&gt;="&amp;('Panel'!$N$5-WEEKDAY('Panel'!$N$5,2)+1),$A$7:A206,"&lt;="&amp;'Panel'!$N$5)=1,1,0))</x:f>
        <x:v>0</x:v>
      </x:c>
    </x:row>
    <x:row r="207" ht="22" customHeight="1">
      <x:c r="A207" s="7"/>
      <x:c r="B207" s="6"/>
      <x:c r="C207" s="6"/>
      <x:c r="D207" s="6"/>
      <x:c r="E207" s="6"/>
      <x:c r="F207" s="17"/>
      <x:c r="G207" s="13"/>
      <x:c r="H207" s="14" t="str">
        <x:f>IF(B207="","",IF(OR(A207="",C207="",NOT(ISNUMBER(F207)),NOT(ISNUMBER(G207))),"Eksik efor",F207*G207))</x:f>
      </x:c>
      <x:c r="I207" s="2" t="n">
        <x:f>IF(OR(B207="",C207="",A207="",A207&gt;'Panel'!$N$5),0,IF(COUNTIFS($B$7:B207,B207,$C$7:C207,C207,$A$7:A207,"&lt;="&amp;'Panel'!$N$5)=1,1,0))</x:f>
        <x:v>0</x:v>
      </x:c>
      <x:c r="J207" s="2" t="n">
        <x:f>IF(OR(B207="",C207="",A207="",A207&gt;'Panel'!$N$5,A207&lt;'Panel'!$N$5-WEEKDAY('Panel'!$N$5,2)+1),0,IF(COUNTIFS($B$7:B207,B207,$C$7:C207,C207,$A$7:A207,"&gt;="&amp;('Panel'!$N$5-WEEKDAY('Panel'!$N$5,2)+1),$A$7:A207,"&lt;="&amp;'Panel'!$N$5)=1,1,0))</x:f>
        <x:v>0</x:v>
      </x:c>
    </x:row>
    <x:row r="208" ht="22" customHeight="1">
      <x:c r="A208" s="7"/>
      <x:c r="B208" s="6"/>
      <x:c r="C208" s="6"/>
      <x:c r="D208" s="6"/>
      <x:c r="E208" s="6"/>
      <x:c r="F208" s="17"/>
      <x:c r="G208" s="13"/>
      <x:c r="H208" s="14" t="str">
        <x:f>IF(B208="","",IF(OR(A208="",C208="",NOT(ISNUMBER(F208)),NOT(ISNUMBER(G208))),"Eksik efor",F208*G208))</x:f>
      </x:c>
      <x:c r="I208" s="2" t="n">
        <x:f>IF(OR(B208="",C208="",A208="",A208&gt;'Panel'!$N$5),0,IF(COUNTIFS($B$7:B208,B208,$C$7:C208,C208,$A$7:A208,"&lt;="&amp;'Panel'!$N$5)=1,1,0))</x:f>
        <x:v>0</x:v>
      </x:c>
      <x:c r="J208" s="2" t="n">
        <x:f>IF(OR(B208="",C208="",A208="",A208&gt;'Panel'!$N$5,A208&lt;'Panel'!$N$5-WEEKDAY('Panel'!$N$5,2)+1),0,IF(COUNTIFS($B$7:B208,B208,$C$7:C208,C208,$A$7:A208,"&gt;="&amp;('Panel'!$N$5-WEEKDAY('Panel'!$N$5,2)+1),$A$7:A208,"&lt;="&amp;'Panel'!$N$5)=1,1,0))</x:f>
        <x:v>0</x:v>
      </x:c>
    </x:row>
    <x:row r="209" ht="22" customHeight="1">
      <x:c r="A209" s="7"/>
      <x:c r="B209" s="6"/>
      <x:c r="C209" s="6"/>
      <x:c r="D209" s="6"/>
      <x:c r="E209" s="6"/>
      <x:c r="F209" s="17"/>
      <x:c r="G209" s="13"/>
      <x:c r="H209" s="14" t="str">
        <x:f>IF(B209="","",IF(OR(A209="",C209="",NOT(ISNUMBER(F209)),NOT(ISNUMBER(G209))),"Eksik efor",F209*G209))</x:f>
      </x:c>
      <x:c r="I209" s="2" t="n">
        <x:f>IF(OR(B209="",C209="",A209="",A209&gt;'Panel'!$N$5),0,IF(COUNTIFS($B$7:B209,B209,$C$7:C209,C209,$A$7:A209,"&lt;="&amp;'Panel'!$N$5)=1,1,0))</x:f>
        <x:v>0</x:v>
      </x:c>
      <x:c r="J209" s="2" t="n">
        <x:f>IF(OR(B209="",C209="",A209="",A209&gt;'Panel'!$N$5,A209&lt;'Panel'!$N$5-WEEKDAY('Panel'!$N$5,2)+1),0,IF(COUNTIFS($B$7:B209,B209,$C$7:C209,C209,$A$7:A209,"&gt;="&amp;('Panel'!$N$5-WEEKDAY('Panel'!$N$5,2)+1),$A$7:A209,"&lt;="&amp;'Panel'!$N$5)=1,1,0))</x:f>
        <x:v>0</x:v>
      </x:c>
    </x:row>
    <x:row r="210" ht="22" customHeight="1">
      <x:c r="A210" s="7"/>
      <x:c r="B210" s="6"/>
      <x:c r="C210" s="6"/>
      <x:c r="D210" s="6"/>
      <x:c r="E210" s="6"/>
      <x:c r="F210" s="17"/>
      <x:c r="G210" s="13"/>
      <x:c r="H210" s="14" t="str">
        <x:f>IF(B210="","",IF(OR(A210="",C210="",NOT(ISNUMBER(F210)),NOT(ISNUMBER(G210))),"Eksik efor",F210*G210))</x:f>
      </x:c>
      <x:c r="I210" s="2" t="n">
        <x:f>IF(OR(B210="",C210="",A210="",A210&gt;'Panel'!$N$5),0,IF(COUNTIFS($B$7:B210,B210,$C$7:C210,C210,$A$7:A210,"&lt;="&amp;'Panel'!$N$5)=1,1,0))</x:f>
        <x:v>0</x:v>
      </x:c>
      <x:c r="J210" s="2" t="n">
        <x:f>IF(OR(B210="",C210="",A210="",A210&gt;'Panel'!$N$5,A210&lt;'Panel'!$N$5-WEEKDAY('Panel'!$N$5,2)+1),0,IF(COUNTIFS($B$7:B210,B210,$C$7:C210,C210,$A$7:A210,"&gt;="&amp;('Panel'!$N$5-WEEKDAY('Panel'!$N$5,2)+1),$A$7:A210,"&lt;="&amp;'Panel'!$N$5)=1,1,0))</x:f>
        <x:v>0</x:v>
      </x:c>
    </x:row>
    <x:row r="211" ht="22" customHeight="1">
      <x:c r="A211" s="7"/>
      <x:c r="B211" s="6"/>
      <x:c r="C211" s="6"/>
      <x:c r="D211" s="6"/>
      <x:c r="E211" s="6"/>
      <x:c r="F211" s="17"/>
      <x:c r="G211" s="13"/>
      <x:c r="H211" s="14" t="str">
        <x:f>IF(B211="","",IF(OR(A211="",C211="",NOT(ISNUMBER(F211)),NOT(ISNUMBER(G211))),"Eksik efor",F211*G211))</x:f>
      </x:c>
      <x:c r="I211" s="2" t="n">
        <x:f>IF(OR(B211="",C211="",A211="",A211&gt;'Panel'!$N$5),0,IF(COUNTIFS($B$7:B211,B211,$C$7:C211,C211,$A$7:A211,"&lt;="&amp;'Panel'!$N$5)=1,1,0))</x:f>
        <x:v>0</x:v>
      </x:c>
      <x:c r="J211" s="2" t="n">
        <x:f>IF(OR(B211="",C211="",A211="",A211&gt;'Panel'!$N$5,A211&lt;'Panel'!$N$5-WEEKDAY('Panel'!$N$5,2)+1),0,IF(COUNTIFS($B$7:B211,B211,$C$7:C211,C211,$A$7:A211,"&gt;="&amp;('Panel'!$N$5-WEEKDAY('Panel'!$N$5,2)+1),$A$7:A211,"&lt;="&amp;'Panel'!$N$5)=1,1,0))</x:f>
        <x:v>0</x:v>
      </x:c>
    </x:row>
    <x:row r="212" ht="22" customHeight="1">
      <x:c r="A212" s="7"/>
      <x:c r="B212" s="6"/>
      <x:c r="C212" s="6"/>
      <x:c r="D212" s="6"/>
      <x:c r="E212" s="6"/>
      <x:c r="F212" s="17"/>
      <x:c r="G212" s="13"/>
      <x:c r="H212" s="14" t="str">
        <x:f>IF(B212="","",IF(OR(A212="",C212="",NOT(ISNUMBER(F212)),NOT(ISNUMBER(G212))),"Eksik efor",F212*G212))</x:f>
      </x:c>
      <x:c r="I212" s="2" t="n">
        <x:f>IF(OR(B212="",C212="",A212="",A212&gt;'Panel'!$N$5),0,IF(COUNTIFS($B$7:B212,B212,$C$7:C212,C212,$A$7:A212,"&lt;="&amp;'Panel'!$N$5)=1,1,0))</x:f>
        <x:v>0</x:v>
      </x:c>
      <x:c r="J212" s="2" t="n">
        <x:f>IF(OR(B212="",C212="",A212="",A212&gt;'Panel'!$N$5,A212&lt;'Panel'!$N$5-WEEKDAY('Panel'!$N$5,2)+1),0,IF(COUNTIFS($B$7:B212,B212,$C$7:C212,C212,$A$7:A212,"&gt;="&amp;('Panel'!$N$5-WEEKDAY('Panel'!$N$5,2)+1),$A$7:A212,"&lt;="&amp;'Panel'!$N$5)=1,1,0))</x:f>
        <x:v>0</x:v>
      </x:c>
    </x:row>
    <x:row r="213" ht="22" customHeight="1">
      <x:c r="A213" s="7"/>
      <x:c r="B213" s="6"/>
      <x:c r="C213" s="6"/>
      <x:c r="D213" s="6"/>
      <x:c r="E213" s="6"/>
      <x:c r="F213" s="17"/>
      <x:c r="G213" s="13"/>
      <x:c r="H213" s="14" t="str">
        <x:f>IF(B213="","",IF(OR(A213="",C213="",NOT(ISNUMBER(F213)),NOT(ISNUMBER(G213))),"Eksik efor",F213*G213))</x:f>
      </x:c>
      <x:c r="I213" s="2" t="n">
        <x:f>IF(OR(B213="",C213="",A213="",A213&gt;'Panel'!$N$5),0,IF(COUNTIFS($B$7:B213,B213,$C$7:C213,C213,$A$7:A213,"&lt;="&amp;'Panel'!$N$5)=1,1,0))</x:f>
        <x:v>0</x:v>
      </x:c>
      <x:c r="J213" s="2" t="n">
        <x:f>IF(OR(B213="",C213="",A213="",A213&gt;'Panel'!$N$5,A213&lt;'Panel'!$N$5-WEEKDAY('Panel'!$N$5,2)+1),0,IF(COUNTIFS($B$7:B213,B213,$C$7:C213,C213,$A$7:A213,"&gt;="&amp;('Panel'!$N$5-WEEKDAY('Panel'!$N$5,2)+1),$A$7:A213,"&lt;="&amp;'Panel'!$N$5)=1,1,0))</x:f>
        <x:v>0</x:v>
      </x:c>
    </x:row>
    <x:row r="214" ht="22" customHeight="1">
      <x:c r="A214" s="7"/>
      <x:c r="B214" s="6"/>
      <x:c r="C214" s="6"/>
      <x:c r="D214" s="6"/>
      <x:c r="E214" s="6"/>
      <x:c r="F214" s="17"/>
      <x:c r="G214" s="13"/>
      <x:c r="H214" s="14" t="str">
        <x:f>IF(B214="","",IF(OR(A214="",C214="",NOT(ISNUMBER(F214)),NOT(ISNUMBER(G214))),"Eksik efor",F214*G214))</x:f>
      </x:c>
      <x:c r="I214" s="2" t="n">
        <x:f>IF(OR(B214="",C214="",A214="",A214&gt;'Panel'!$N$5),0,IF(COUNTIFS($B$7:B214,B214,$C$7:C214,C214,$A$7:A214,"&lt;="&amp;'Panel'!$N$5)=1,1,0))</x:f>
        <x:v>0</x:v>
      </x:c>
      <x:c r="J214" s="2" t="n">
        <x:f>IF(OR(B214="",C214="",A214="",A214&gt;'Panel'!$N$5,A214&lt;'Panel'!$N$5-WEEKDAY('Panel'!$N$5,2)+1),0,IF(COUNTIFS($B$7:B214,B214,$C$7:C214,C214,$A$7:A214,"&gt;="&amp;('Panel'!$N$5-WEEKDAY('Panel'!$N$5,2)+1),$A$7:A214,"&lt;="&amp;'Panel'!$N$5)=1,1,0))</x:f>
        <x:v>0</x:v>
      </x:c>
    </x:row>
    <x:row r="215" ht="22" customHeight="1">
      <x:c r="A215" s="7"/>
      <x:c r="B215" s="6"/>
      <x:c r="C215" s="6"/>
      <x:c r="D215" s="6"/>
      <x:c r="E215" s="6"/>
      <x:c r="F215" s="17"/>
      <x:c r="G215" s="13"/>
      <x:c r="H215" s="14" t="str">
        <x:f>IF(B215="","",IF(OR(A215="",C215="",NOT(ISNUMBER(F215)),NOT(ISNUMBER(G215))),"Eksik efor",F215*G215))</x:f>
      </x:c>
      <x:c r="I215" s="2" t="n">
        <x:f>IF(OR(B215="",C215="",A215="",A215&gt;'Panel'!$N$5),0,IF(COUNTIFS($B$7:B215,B215,$C$7:C215,C215,$A$7:A215,"&lt;="&amp;'Panel'!$N$5)=1,1,0))</x:f>
        <x:v>0</x:v>
      </x:c>
      <x:c r="J215" s="2" t="n">
        <x:f>IF(OR(B215="",C215="",A215="",A215&gt;'Panel'!$N$5,A215&lt;'Panel'!$N$5-WEEKDAY('Panel'!$N$5,2)+1),0,IF(COUNTIFS($B$7:B215,B215,$C$7:C215,C215,$A$7:A215,"&gt;="&amp;('Panel'!$N$5-WEEKDAY('Panel'!$N$5,2)+1),$A$7:A215,"&lt;="&amp;'Panel'!$N$5)=1,1,0))</x:f>
        <x:v>0</x:v>
      </x:c>
    </x:row>
    <x:row r="216" ht="22" customHeight="1">
      <x:c r="A216" s="7"/>
      <x:c r="B216" s="6"/>
      <x:c r="C216" s="6"/>
      <x:c r="D216" s="6"/>
      <x:c r="E216" s="6"/>
      <x:c r="F216" s="17"/>
      <x:c r="G216" s="13"/>
      <x:c r="H216" s="14" t="str">
        <x:f>IF(B216="","",IF(OR(A216="",C216="",NOT(ISNUMBER(F216)),NOT(ISNUMBER(G216))),"Eksik efor",F216*G216))</x:f>
      </x:c>
      <x:c r="I216" s="2" t="n">
        <x:f>IF(OR(B216="",C216="",A216="",A216&gt;'Panel'!$N$5),0,IF(COUNTIFS($B$7:B216,B216,$C$7:C216,C216,$A$7:A216,"&lt;="&amp;'Panel'!$N$5)=1,1,0))</x:f>
        <x:v>0</x:v>
      </x:c>
      <x:c r="J216" s="2" t="n">
        <x:f>IF(OR(B216="",C216="",A216="",A216&gt;'Panel'!$N$5,A216&lt;'Panel'!$N$5-WEEKDAY('Panel'!$N$5,2)+1),0,IF(COUNTIFS($B$7:B216,B216,$C$7:C216,C216,$A$7:A216,"&gt;="&amp;('Panel'!$N$5-WEEKDAY('Panel'!$N$5,2)+1),$A$7:A216,"&lt;="&amp;'Panel'!$N$5)=1,1,0))</x:f>
        <x:v>0</x:v>
      </x:c>
    </x:row>
    <x:row r="217" ht="22" customHeight="1">
      <x:c r="A217" s="7"/>
      <x:c r="B217" s="6"/>
      <x:c r="C217" s="6"/>
      <x:c r="D217" s="6"/>
      <x:c r="E217" s="6"/>
      <x:c r="F217" s="17"/>
      <x:c r="G217" s="13"/>
      <x:c r="H217" s="14" t="str">
        <x:f>IF(B217="","",IF(OR(A217="",C217="",NOT(ISNUMBER(F217)),NOT(ISNUMBER(G217))),"Eksik efor",F217*G217))</x:f>
      </x:c>
      <x:c r="I217" s="2" t="n">
        <x:f>IF(OR(B217="",C217="",A217="",A217&gt;'Panel'!$N$5),0,IF(COUNTIFS($B$7:B217,B217,$C$7:C217,C217,$A$7:A217,"&lt;="&amp;'Panel'!$N$5)=1,1,0))</x:f>
        <x:v>0</x:v>
      </x:c>
      <x:c r="J217" s="2" t="n">
        <x:f>IF(OR(B217="",C217="",A217="",A217&gt;'Panel'!$N$5,A217&lt;'Panel'!$N$5-WEEKDAY('Panel'!$N$5,2)+1),0,IF(COUNTIFS($B$7:B217,B217,$C$7:C217,C217,$A$7:A217,"&gt;="&amp;('Panel'!$N$5-WEEKDAY('Panel'!$N$5,2)+1),$A$7:A217,"&lt;="&amp;'Panel'!$N$5)=1,1,0))</x:f>
        <x:v>0</x:v>
      </x:c>
    </x:row>
    <x:row r="218" ht="22" customHeight="1">
      <x:c r="A218" s="7"/>
      <x:c r="B218" s="6"/>
      <x:c r="C218" s="6"/>
      <x:c r="D218" s="6"/>
      <x:c r="E218" s="6"/>
      <x:c r="F218" s="17"/>
      <x:c r="G218" s="13"/>
      <x:c r="H218" s="14" t="str">
        <x:f>IF(B218="","",IF(OR(A218="",C218="",NOT(ISNUMBER(F218)),NOT(ISNUMBER(G218))),"Eksik efor",F218*G218))</x:f>
      </x:c>
      <x:c r="I218" s="2" t="n">
        <x:f>IF(OR(B218="",C218="",A218="",A218&gt;'Panel'!$N$5),0,IF(COUNTIFS($B$7:B218,B218,$C$7:C218,C218,$A$7:A218,"&lt;="&amp;'Panel'!$N$5)=1,1,0))</x:f>
        <x:v>0</x:v>
      </x:c>
      <x:c r="J218" s="2" t="n">
        <x:f>IF(OR(B218="",C218="",A218="",A218&gt;'Panel'!$N$5,A218&lt;'Panel'!$N$5-WEEKDAY('Panel'!$N$5,2)+1),0,IF(COUNTIFS($B$7:B218,B218,$C$7:C218,C218,$A$7:A218,"&gt;="&amp;('Panel'!$N$5-WEEKDAY('Panel'!$N$5,2)+1),$A$7:A218,"&lt;="&amp;'Panel'!$N$5)=1,1,0))</x:f>
        <x:v>0</x:v>
      </x:c>
    </x:row>
    <x:row r="219" ht="22" customHeight="1">
      <x:c r="A219" s="7"/>
      <x:c r="B219" s="6"/>
      <x:c r="C219" s="6"/>
      <x:c r="D219" s="6"/>
      <x:c r="E219" s="6"/>
      <x:c r="F219" s="17"/>
      <x:c r="G219" s="13"/>
      <x:c r="H219" s="14" t="str">
        <x:f>IF(B219="","",IF(OR(A219="",C219="",NOT(ISNUMBER(F219)),NOT(ISNUMBER(G219))),"Eksik efor",F219*G219))</x:f>
      </x:c>
      <x:c r="I219" s="2" t="n">
        <x:f>IF(OR(B219="",C219="",A219="",A219&gt;'Panel'!$N$5),0,IF(COUNTIFS($B$7:B219,B219,$C$7:C219,C219,$A$7:A219,"&lt;="&amp;'Panel'!$N$5)=1,1,0))</x:f>
        <x:v>0</x:v>
      </x:c>
      <x:c r="J219" s="2" t="n">
        <x:f>IF(OR(B219="",C219="",A219="",A219&gt;'Panel'!$N$5,A219&lt;'Panel'!$N$5-WEEKDAY('Panel'!$N$5,2)+1),0,IF(COUNTIFS($B$7:B219,B219,$C$7:C219,C219,$A$7:A219,"&gt;="&amp;('Panel'!$N$5-WEEKDAY('Panel'!$N$5,2)+1),$A$7:A219,"&lt;="&amp;'Panel'!$N$5)=1,1,0))</x:f>
        <x:v>0</x:v>
      </x:c>
    </x:row>
    <x:row r="220" ht="22" customHeight="1">
      <x:c r="A220" s="7"/>
      <x:c r="B220" s="6"/>
      <x:c r="C220" s="6"/>
      <x:c r="D220" s="6"/>
      <x:c r="E220" s="6"/>
      <x:c r="F220" s="17"/>
      <x:c r="G220" s="13"/>
      <x:c r="H220" s="14" t="str">
        <x:f>IF(B220="","",IF(OR(A220="",C220="",NOT(ISNUMBER(F220)),NOT(ISNUMBER(G220))),"Eksik efor",F220*G220))</x:f>
      </x:c>
      <x:c r="I220" s="2" t="n">
        <x:f>IF(OR(B220="",C220="",A220="",A220&gt;'Panel'!$N$5),0,IF(COUNTIFS($B$7:B220,B220,$C$7:C220,C220,$A$7:A220,"&lt;="&amp;'Panel'!$N$5)=1,1,0))</x:f>
        <x:v>0</x:v>
      </x:c>
      <x:c r="J220" s="2" t="n">
        <x:f>IF(OR(B220="",C220="",A220="",A220&gt;'Panel'!$N$5,A220&lt;'Panel'!$N$5-WEEKDAY('Panel'!$N$5,2)+1),0,IF(COUNTIFS($B$7:B220,B220,$C$7:C220,C220,$A$7:A220,"&gt;="&amp;('Panel'!$N$5-WEEKDAY('Panel'!$N$5,2)+1),$A$7:A220,"&lt;="&amp;'Panel'!$N$5)=1,1,0))</x:f>
        <x:v>0</x:v>
      </x:c>
    </x:row>
    <x:row r="221" ht="22" customHeight="1">
      <x:c r="A221" s="7"/>
      <x:c r="B221" s="6"/>
      <x:c r="C221" s="6"/>
      <x:c r="D221" s="6"/>
      <x:c r="E221" s="6"/>
      <x:c r="F221" s="17"/>
      <x:c r="G221" s="13"/>
      <x:c r="H221" s="14" t="str">
        <x:f>IF(B221="","",IF(OR(A221="",C221="",NOT(ISNUMBER(F221)),NOT(ISNUMBER(G221))),"Eksik efor",F221*G221))</x:f>
      </x:c>
      <x:c r="I221" s="2" t="n">
        <x:f>IF(OR(B221="",C221="",A221="",A221&gt;'Panel'!$N$5),0,IF(COUNTIFS($B$7:B221,B221,$C$7:C221,C221,$A$7:A221,"&lt;="&amp;'Panel'!$N$5)=1,1,0))</x:f>
        <x:v>0</x:v>
      </x:c>
      <x:c r="J221" s="2" t="n">
        <x:f>IF(OR(B221="",C221="",A221="",A221&gt;'Panel'!$N$5,A221&lt;'Panel'!$N$5-WEEKDAY('Panel'!$N$5,2)+1),0,IF(COUNTIFS($B$7:B221,B221,$C$7:C221,C221,$A$7:A221,"&gt;="&amp;('Panel'!$N$5-WEEKDAY('Panel'!$N$5,2)+1),$A$7:A221,"&lt;="&amp;'Panel'!$N$5)=1,1,0))</x:f>
        <x:v>0</x:v>
      </x:c>
    </x:row>
    <x:row r="222" ht="22" customHeight="1">
      <x:c r="A222" s="7"/>
      <x:c r="B222" s="6"/>
      <x:c r="C222" s="6"/>
      <x:c r="D222" s="6"/>
      <x:c r="E222" s="6"/>
      <x:c r="F222" s="17"/>
      <x:c r="G222" s="13"/>
      <x:c r="H222" s="14" t="str">
        <x:f>IF(B222="","",IF(OR(A222="",C222="",NOT(ISNUMBER(F222)),NOT(ISNUMBER(G222))),"Eksik efor",F222*G222))</x:f>
      </x:c>
      <x:c r="I222" s="2" t="n">
        <x:f>IF(OR(B222="",C222="",A222="",A222&gt;'Panel'!$N$5),0,IF(COUNTIFS($B$7:B222,B222,$C$7:C222,C222,$A$7:A222,"&lt;="&amp;'Panel'!$N$5)=1,1,0))</x:f>
        <x:v>0</x:v>
      </x:c>
      <x:c r="J222" s="2" t="n">
        <x:f>IF(OR(B222="",C222="",A222="",A222&gt;'Panel'!$N$5,A222&lt;'Panel'!$N$5-WEEKDAY('Panel'!$N$5,2)+1),0,IF(COUNTIFS($B$7:B222,B222,$C$7:C222,C222,$A$7:A222,"&gt;="&amp;('Panel'!$N$5-WEEKDAY('Panel'!$N$5,2)+1),$A$7:A222,"&lt;="&amp;'Panel'!$N$5)=1,1,0))</x:f>
        <x:v>0</x:v>
      </x:c>
    </x:row>
    <x:row r="223" ht="22" customHeight="1">
      <x:c r="A223" s="7"/>
      <x:c r="B223" s="6"/>
      <x:c r="C223" s="6"/>
      <x:c r="D223" s="6"/>
      <x:c r="E223" s="6"/>
      <x:c r="F223" s="17"/>
      <x:c r="G223" s="13"/>
      <x:c r="H223" s="14" t="str">
        <x:f>IF(B223="","",IF(OR(A223="",C223="",NOT(ISNUMBER(F223)),NOT(ISNUMBER(G223))),"Eksik efor",F223*G223))</x:f>
      </x:c>
      <x:c r="I223" s="2" t="n">
        <x:f>IF(OR(B223="",C223="",A223="",A223&gt;'Panel'!$N$5),0,IF(COUNTIFS($B$7:B223,B223,$C$7:C223,C223,$A$7:A223,"&lt;="&amp;'Panel'!$N$5)=1,1,0))</x:f>
        <x:v>0</x:v>
      </x:c>
      <x:c r="J223" s="2" t="n">
        <x:f>IF(OR(B223="",C223="",A223="",A223&gt;'Panel'!$N$5,A223&lt;'Panel'!$N$5-WEEKDAY('Panel'!$N$5,2)+1),0,IF(COUNTIFS($B$7:B223,B223,$C$7:C223,C223,$A$7:A223,"&gt;="&amp;('Panel'!$N$5-WEEKDAY('Panel'!$N$5,2)+1),$A$7:A223,"&lt;="&amp;'Panel'!$N$5)=1,1,0))</x:f>
        <x:v>0</x:v>
      </x:c>
    </x:row>
    <x:row r="224" ht="22" customHeight="1">
      <x:c r="A224" s="7"/>
      <x:c r="B224" s="6"/>
      <x:c r="C224" s="6"/>
      <x:c r="D224" s="6"/>
      <x:c r="E224" s="6"/>
      <x:c r="F224" s="17"/>
      <x:c r="G224" s="13"/>
      <x:c r="H224" s="14" t="str">
        <x:f>IF(B224="","",IF(OR(A224="",C224="",NOT(ISNUMBER(F224)),NOT(ISNUMBER(G224))),"Eksik efor",F224*G224))</x:f>
      </x:c>
      <x:c r="I224" s="2" t="n">
        <x:f>IF(OR(B224="",C224="",A224="",A224&gt;'Panel'!$N$5),0,IF(COUNTIFS($B$7:B224,B224,$C$7:C224,C224,$A$7:A224,"&lt;="&amp;'Panel'!$N$5)=1,1,0))</x:f>
        <x:v>0</x:v>
      </x:c>
      <x:c r="J224" s="2" t="n">
        <x:f>IF(OR(B224="",C224="",A224="",A224&gt;'Panel'!$N$5,A224&lt;'Panel'!$N$5-WEEKDAY('Panel'!$N$5,2)+1),0,IF(COUNTIFS($B$7:B224,B224,$C$7:C224,C224,$A$7:A224,"&gt;="&amp;('Panel'!$N$5-WEEKDAY('Panel'!$N$5,2)+1),$A$7:A224,"&lt;="&amp;'Panel'!$N$5)=1,1,0))</x:f>
        <x:v>0</x:v>
      </x:c>
    </x:row>
    <x:row r="225" ht="22" customHeight="1">
      <x:c r="A225" s="7"/>
      <x:c r="B225" s="6"/>
      <x:c r="C225" s="6"/>
      <x:c r="D225" s="6"/>
      <x:c r="E225" s="6"/>
      <x:c r="F225" s="17"/>
      <x:c r="G225" s="13"/>
      <x:c r="H225" s="14" t="str">
        <x:f>IF(B225="","",IF(OR(A225="",C225="",NOT(ISNUMBER(F225)),NOT(ISNUMBER(G225))),"Eksik efor",F225*G225))</x:f>
      </x:c>
      <x:c r="I225" s="2" t="n">
        <x:f>IF(OR(B225="",C225="",A225="",A225&gt;'Panel'!$N$5),0,IF(COUNTIFS($B$7:B225,B225,$C$7:C225,C225,$A$7:A225,"&lt;="&amp;'Panel'!$N$5)=1,1,0))</x:f>
        <x:v>0</x:v>
      </x:c>
      <x:c r="J225" s="2" t="n">
        <x:f>IF(OR(B225="",C225="",A225="",A225&gt;'Panel'!$N$5,A225&lt;'Panel'!$N$5-WEEKDAY('Panel'!$N$5,2)+1),0,IF(COUNTIFS($B$7:B225,B225,$C$7:C225,C225,$A$7:A225,"&gt;="&amp;('Panel'!$N$5-WEEKDAY('Panel'!$N$5,2)+1),$A$7:A225,"&lt;="&amp;'Panel'!$N$5)=1,1,0))</x:f>
        <x:v>0</x:v>
      </x:c>
    </x:row>
    <x:row r="226" ht="22" customHeight="1">
      <x:c r="A226" s="7"/>
      <x:c r="B226" s="6"/>
      <x:c r="C226" s="6"/>
      <x:c r="D226" s="6"/>
      <x:c r="E226" s="6"/>
      <x:c r="F226" s="17"/>
      <x:c r="G226" s="13"/>
      <x:c r="H226" s="14" t="str">
        <x:f>IF(B226="","",IF(OR(A226="",C226="",NOT(ISNUMBER(F226)),NOT(ISNUMBER(G226))),"Eksik efor",F226*G226))</x:f>
      </x:c>
      <x:c r="I226" s="2" t="n">
        <x:f>IF(OR(B226="",C226="",A226="",A226&gt;'Panel'!$N$5),0,IF(COUNTIFS($B$7:B226,B226,$C$7:C226,C226,$A$7:A226,"&lt;="&amp;'Panel'!$N$5)=1,1,0))</x:f>
        <x:v>0</x:v>
      </x:c>
      <x:c r="J226" s="2" t="n">
        <x:f>IF(OR(B226="",C226="",A226="",A226&gt;'Panel'!$N$5,A226&lt;'Panel'!$N$5-WEEKDAY('Panel'!$N$5,2)+1),0,IF(COUNTIFS($B$7:B226,B226,$C$7:C226,C226,$A$7:A226,"&gt;="&amp;('Panel'!$N$5-WEEKDAY('Panel'!$N$5,2)+1),$A$7:A226,"&lt;="&amp;'Panel'!$N$5)=1,1,0))</x:f>
        <x:v>0</x:v>
      </x:c>
    </x:row>
    <x:row r="227" ht="22" customHeight="1">
      <x:c r="A227" s="7"/>
      <x:c r="B227" s="6"/>
      <x:c r="C227" s="6"/>
      <x:c r="D227" s="6"/>
      <x:c r="E227" s="6"/>
      <x:c r="F227" s="17"/>
      <x:c r="G227" s="13"/>
      <x:c r="H227" s="14" t="str">
        <x:f>IF(B227="","",IF(OR(A227="",C227="",NOT(ISNUMBER(F227)),NOT(ISNUMBER(G227))),"Eksik efor",F227*G227))</x:f>
      </x:c>
      <x:c r="I227" s="2" t="n">
        <x:f>IF(OR(B227="",C227="",A227="",A227&gt;'Panel'!$N$5),0,IF(COUNTIFS($B$7:B227,B227,$C$7:C227,C227,$A$7:A227,"&lt;="&amp;'Panel'!$N$5)=1,1,0))</x:f>
        <x:v>0</x:v>
      </x:c>
      <x:c r="J227" s="2" t="n">
        <x:f>IF(OR(B227="",C227="",A227="",A227&gt;'Panel'!$N$5,A227&lt;'Panel'!$N$5-WEEKDAY('Panel'!$N$5,2)+1),0,IF(COUNTIFS($B$7:B227,B227,$C$7:C227,C227,$A$7:A227,"&gt;="&amp;('Panel'!$N$5-WEEKDAY('Panel'!$N$5,2)+1),$A$7:A227,"&lt;="&amp;'Panel'!$N$5)=1,1,0))</x:f>
        <x:v>0</x:v>
      </x:c>
    </x:row>
    <x:row r="228" ht="22" customHeight="1">
      <x:c r="A228" s="7"/>
      <x:c r="B228" s="6"/>
      <x:c r="C228" s="6"/>
      <x:c r="D228" s="6"/>
      <x:c r="E228" s="6"/>
      <x:c r="F228" s="17"/>
      <x:c r="G228" s="13"/>
      <x:c r="H228" s="14" t="str">
        <x:f>IF(B228="","",IF(OR(A228="",C228="",NOT(ISNUMBER(F228)),NOT(ISNUMBER(G228))),"Eksik efor",F228*G228))</x:f>
      </x:c>
      <x:c r="I228" s="2" t="n">
        <x:f>IF(OR(B228="",C228="",A228="",A228&gt;'Panel'!$N$5),0,IF(COUNTIFS($B$7:B228,B228,$C$7:C228,C228,$A$7:A228,"&lt;="&amp;'Panel'!$N$5)=1,1,0))</x:f>
        <x:v>0</x:v>
      </x:c>
      <x:c r="J228" s="2" t="n">
        <x:f>IF(OR(B228="",C228="",A228="",A228&gt;'Panel'!$N$5,A228&lt;'Panel'!$N$5-WEEKDAY('Panel'!$N$5,2)+1),0,IF(COUNTIFS($B$7:B228,B228,$C$7:C228,C228,$A$7:A228,"&gt;="&amp;('Panel'!$N$5-WEEKDAY('Panel'!$N$5,2)+1),$A$7:A228,"&lt;="&amp;'Panel'!$N$5)=1,1,0))</x:f>
        <x:v>0</x:v>
      </x:c>
    </x:row>
    <x:row r="229" ht="22" customHeight="1">
      <x:c r="A229" s="7"/>
      <x:c r="B229" s="6"/>
      <x:c r="C229" s="6"/>
      <x:c r="D229" s="6"/>
      <x:c r="E229" s="6"/>
      <x:c r="F229" s="17"/>
      <x:c r="G229" s="13"/>
      <x:c r="H229" s="14" t="str">
        <x:f>IF(B229="","",IF(OR(A229="",C229="",NOT(ISNUMBER(F229)),NOT(ISNUMBER(G229))),"Eksik efor",F229*G229))</x:f>
      </x:c>
      <x:c r="I229" s="2" t="n">
        <x:f>IF(OR(B229="",C229="",A229="",A229&gt;'Panel'!$N$5),0,IF(COUNTIFS($B$7:B229,B229,$C$7:C229,C229,$A$7:A229,"&lt;="&amp;'Panel'!$N$5)=1,1,0))</x:f>
        <x:v>0</x:v>
      </x:c>
      <x:c r="J229" s="2" t="n">
        <x:f>IF(OR(B229="",C229="",A229="",A229&gt;'Panel'!$N$5,A229&lt;'Panel'!$N$5-WEEKDAY('Panel'!$N$5,2)+1),0,IF(COUNTIFS($B$7:B229,B229,$C$7:C229,C229,$A$7:A229,"&gt;="&amp;('Panel'!$N$5-WEEKDAY('Panel'!$N$5,2)+1),$A$7:A229,"&lt;="&amp;'Panel'!$N$5)=1,1,0))</x:f>
        <x:v>0</x:v>
      </x:c>
    </x:row>
    <x:row r="230" ht="22" customHeight="1">
      <x:c r="A230" s="7"/>
      <x:c r="B230" s="6"/>
      <x:c r="C230" s="6"/>
      <x:c r="D230" s="6"/>
      <x:c r="E230" s="6"/>
      <x:c r="F230" s="17"/>
      <x:c r="G230" s="13"/>
      <x:c r="H230" s="14" t="str">
        <x:f>IF(B230="","",IF(OR(A230="",C230="",NOT(ISNUMBER(F230)),NOT(ISNUMBER(G230))),"Eksik efor",F230*G230))</x:f>
      </x:c>
      <x:c r="I230" s="2" t="n">
        <x:f>IF(OR(B230="",C230="",A230="",A230&gt;'Panel'!$N$5),0,IF(COUNTIFS($B$7:B230,B230,$C$7:C230,C230,$A$7:A230,"&lt;="&amp;'Panel'!$N$5)=1,1,0))</x:f>
        <x:v>0</x:v>
      </x:c>
      <x:c r="J230" s="2" t="n">
        <x:f>IF(OR(B230="",C230="",A230="",A230&gt;'Panel'!$N$5,A230&lt;'Panel'!$N$5-WEEKDAY('Panel'!$N$5,2)+1),0,IF(COUNTIFS($B$7:B230,B230,$C$7:C230,C230,$A$7:A230,"&gt;="&amp;('Panel'!$N$5-WEEKDAY('Panel'!$N$5,2)+1),$A$7:A230,"&lt;="&amp;'Panel'!$N$5)=1,1,0))</x:f>
        <x:v>0</x:v>
      </x:c>
    </x:row>
    <x:row r="231" ht="22" customHeight="1">
      <x:c r="A231" s="7"/>
      <x:c r="B231" s="6"/>
      <x:c r="C231" s="6"/>
      <x:c r="D231" s="6"/>
      <x:c r="E231" s="6"/>
      <x:c r="F231" s="17"/>
      <x:c r="G231" s="13"/>
      <x:c r="H231" s="14" t="str">
        <x:f>IF(B231="","",IF(OR(A231="",C231="",NOT(ISNUMBER(F231)),NOT(ISNUMBER(G231))),"Eksik efor",F231*G231))</x:f>
      </x:c>
      <x:c r="I231" s="2" t="n">
        <x:f>IF(OR(B231="",C231="",A231="",A231&gt;'Panel'!$N$5),0,IF(COUNTIFS($B$7:B231,B231,$C$7:C231,C231,$A$7:A231,"&lt;="&amp;'Panel'!$N$5)=1,1,0))</x:f>
        <x:v>0</x:v>
      </x:c>
      <x:c r="J231" s="2" t="n">
        <x:f>IF(OR(B231="",C231="",A231="",A231&gt;'Panel'!$N$5,A231&lt;'Panel'!$N$5-WEEKDAY('Panel'!$N$5,2)+1),0,IF(COUNTIFS($B$7:B231,B231,$C$7:C231,C231,$A$7:A231,"&gt;="&amp;('Panel'!$N$5-WEEKDAY('Panel'!$N$5,2)+1),$A$7:A231,"&lt;="&amp;'Panel'!$N$5)=1,1,0))</x:f>
        <x:v>0</x:v>
      </x:c>
    </x:row>
    <x:row r="232" ht="22" customHeight="1">
      <x:c r="A232" s="7"/>
      <x:c r="B232" s="6"/>
      <x:c r="C232" s="6"/>
      <x:c r="D232" s="6"/>
      <x:c r="E232" s="6"/>
      <x:c r="F232" s="17"/>
      <x:c r="G232" s="13"/>
      <x:c r="H232" s="14" t="str">
        <x:f>IF(B232="","",IF(OR(A232="",C232="",NOT(ISNUMBER(F232)),NOT(ISNUMBER(G232))),"Eksik efor",F232*G232))</x:f>
      </x:c>
      <x:c r="I232" s="2" t="n">
        <x:f>IF(OR(B232="",C232="",A232="",A232&gt;'Panel'!$N$5),0,IF(COUNTIFS($B$7:B232,B232,$C$7:C232,C232,$A$7:A232,"&lt;="&amp;'Panel'!$N$5)=1,1,0))</x:f>
        <x:v>0</x:v>
      </x:c>
      <x:c r="J232" s="2" t="n">
        <x:f>IF(OR(B232="",C232="",A232="",A232&gt;'Panel'!$N$5,A232&lt;'Panel'!$N$5-WEEKDAY('Panel'!$N$5,2)+1),0,IF(COUNTIFS($B$7:B232,B232,$C$7:C232,C232,$A$7:A232,"&gt;="&amp;('Panel'!$N$5-WEEKDAY('Panel'!$N$5,2)+1),$A$7:A232,"&lt;="&amp;'Panel'!$N$5)=1,1,0))</x:f>
        <x:v>0</x:v>
      </x:c>
    </x:row>
    <x:row r="233" ht="22" customHeight="1">
      <x:c r="A233" s="7"/>
      <x:c r="B233" s="6"/>
      <x:c r="C233" s="6"/>
      <x:c r="D233" s="6"/>
      <x:c r="E233" s="6"/>
      <x:c r="F233" s="17"/>
      <x:c r="G233" s="13"/>
      <x:c r="H233" s="14" t="str">
        <x:f>IF(B233="","",IF(OR(A233="",C233="",NOT(ISNUMBER(F233)),NOT(ISNUMBER(G233))),"Eksik efor",F233*G233))</x:f>
      </x:c>
      <x:c r="I233" s="2" t="n">
        <x:f>IF(OR(B233="",C233="",A233="",A233&gt;'Panel'!$N$5),0,IF(COUNTIFS($B$7:B233,B233,$C$7:C233,C233,$A$7:A233,"&lt;="&amp;'Panel'!$N$5)=1,1,0))</x:f>
        <x:v>0</x:v>
      </x:c>
      <x:c r="J233" s="2" t="n">
        <x:f>IF(OR(B233="",C233="",A233="",A233&gt;'Panel'!$N$5,A233&lt;'Panel'!$N$5-WEEKDAY('Panel'!$N$5,2)+1),0,IF(COUNTIFS($B$7:B233,B233,$C$7:C233,C233,$A$7:A233,"&gt;="&amp;('Panel'!$N$5-WEEKDAY('Panel'!$N$5,2)+1),$A$7:A233,"&lt;="&amp;'Panel'!$N$5)=1,1,0))</x:f>
        <x:v>0</x:v>
      </x:c>
    </x:row>
    <x:row r="234" ht="22" customHeight="1">
      <x:c r="A234" s="7"/>
      <x:c r="B234" s="6"/>
      <x:c r="C234" s="6"/>
      <x:c r="D234" s="6"/>
      <x:c r="E234" s="6"/>
      <x:c r="F234" s="17"/>
      <x:c r="G234" s="13"/>
      <x:c r="H234" s="14" t="str">
        <x:f>IF(B234="","",IF(OR(A234="",C234="",NOT(ISNUMBER(F234)),NOT(ISNUMBER(G234))),"Eksik efor",F234*G234))</x:f>
      </x:c>
      <x:c r="I234" s="2" t="n">
        <x:f>IF(OR(B234="",C234="",A234="",A234&gt;'Panel'!$N$5),0,IF(COUNTIFS($B$7:B234,B234,$C$7:C234,C234,$A$7:A234,"&lt;="&amp;'Panel'!$N$5)=1,1,0))</x:f>
        <x:v>0</x:v>
      </x:c>
      <x:c r="J234" s="2" t="n">
        <x:f>IF(OR(B234="",C234="",A234="",A234&gt;'Panel'!$N$5,A234&lt;'Panel'!$N$5-WEEKDAY('Panel'!$N$5,2)+1),0,IF(COUNTIFS($B$7:B234,B234,$C$7:C234,C234,$A$7:A234,"&gt;="&amp;('Panel'!$N$5-WEEKDAY('Panel'!$N$5,2)+1),$A$7:A234,"&lt;="&amp;'Panel'!$N$5)=1,1,0))</x:f>
        <x:v>0</x:v>
      </x:c>
    </x:row>
    <x:row r="235" ht="22" customHeight="1">
      <x:c r="A235" s="7"/>
      <x:c r="B235" s="6"/>
      <x:c r="C235" s="6"/>
      <x:c r="D235" s="6"/>
      <x:c r="E235" s="6"/>
      <x:c r="F235" s="17"/>
      <x:c r="G235" s="13"/>
      <x:c r="H235" s="14" t="str">
        <x:f>IF(B235="","",IF(OR(A235="",C235="",NOT(ISNUMBER(F235)),NOT(ISNUMBER(G235))),"Eksik efor",F235*G235))</x:f>
      </x:c>
      <x:c r="I235" s="2" t="n">
        <x:f>IF(OR(B235="",C235="",A235="",A235&gt;'Panel'!$N$5),0,IF(COUNTIFS($B$7:B235,B235,$C$7:C235,C235,$A$7:A235,"&lt;="&amp;'Panel'!$N$5)=1,1,0))</x:f>
        <x:v>0</x:v>
      </x:c>
      <x:c r="J235" s="2" t="n">
        <x:f>IF(OR(B235="",C235="",A235="",A235&gt;'Panel'!$N$5,A235&lt;'Panel'!$N$5-WEEKDAY('Panel'!$N$5,2)+1),0,IF(COUNTIFS($B$7:B235,B235,$C$7:C235,C235,$A$7:A235,"&gt;="&amp;('Panel'!$N$5-WEEKDAY('Panel'!$N$5,2)+1),$A$7:A235,"&lt;="&amp;'Panel'!$N$5)=1,1,0))</x:f>
        <x:v>0</x:v>
      </x:c>
    </x:row>
    <x:row r="236" ht="22" customHeight="1">
      <x:c r="A236" s="7"/>
      <x:c r="B236" s="6"/>
      <x:c r="C236" s="6"/>
      <x:c r="D236" s="6"/>
      <x:c r="E236" s="6"/>
      <x:c r="F236" s="17"/>
      <x:c r="G236" s="13"/>
      <x:c r="H236" s="14" t="str">
        <x:f>IF(B236="","",IF(OR(A236="",C236="",NOT(ISNUMBER(F236)),NOT(ISNUMBER(G236))),"Eksik efor",F236*G236))</x:f>
      </x:c>
      <x:c r="I236" s="2" t="n">
        <x:f>IF(OR(B236="",C236="",A236="",A236&gt;'Panel'!$N$5),0,IF(COUNTIFS($B$7:B236,B236,$C$7:C236,C236,$A$7:A236,"&lt;="&amp;'Panel'!$N$5)=1,1,0))</x:f>
        <x:v>0</x:v>
      </x:c>
      <x:c r="J236" s="2" t="n">
        <x:f>IF(OR(B236="",C236="",A236="",A236&gt;'Panel'!$N$5,A236&lt;'Panel'!$N$5-WEEKDAY('Panel'!$N$5,2)+1),0,IF(COUNTIFS($B$7:B236,B236,$C$7:C236,C236,$A$7:A236,"&gt;="&amp;('Panel'!$N$5-WEEKDAY('Panel'!$N$5,2)+1),$A$7:A236,"&lt;="&amp;'Panel'!$N$5)=1,1,0))</x:f>
        <x:v>0</x:v>
      </x:c>
    </x:row>
    <x:row r="237" ht="22" customHeight="1">
      <x:c r="A237" s="7"/>
      <x:c r="B237" s="6"/>
      <x:c r="C237" s="6"/>
      <x:c r="D237" s="6"/>
      <x:c r="E237" s="6"/>
      <x:c r="F237" s="17"/>
      <x:c r="G237" s="13"/>
      <x:c r="H237" s="14" t="str">
        <x:f>IF(B237="","",IF(OR(A237="",C237="",NOT(ISNUMBER(F237)),NOT(ISNUMBER(G237))),"Eksik efor",F237*G237))</x:f>
      </x:c>
      <x:c r="I237" s="2" t="n">
        <x:f>IF(OR(B237="",C237="",A237="",A237&gt;'Panel'!$N$5),0,IF(COUNTIFS($B$7:B237,B237,$C$7:C237,C237,$A$7:A237,"&lt;="&amp;'Panel'!$N$5)=1,1,0))</x:f>
        <x:v>0</x:v>
      </x:c>
      <x:c r="J237" s="2" t="n">
        <x:f>IF(OR(B237="",C237="",A237="",A237&gt;'Panel'!$N$5,A237&lt;'Panel'!$N$5-WEEKDAY('Panel'!$N$5,2)+1),0,IF(COUNTIFS($B$7:B237,B237,$C$7:C237,C237,$A$7:A237,"&gt;="&amp;('Panel'!$N$5-WEEKDAY('Panel'!$N$5,2)+1),$A$7:A237,"&lt;="&amp;'Panel'!$N$5)=1,1,0))</x:f>
        <x:v>0</x:v>
      </x:c>
    </x:row>
    <x:row r="238" ht="22" customHeight="1">
      <x:c r="A238" s="7"/>
      <x:c r="B238" s="6"/>
      <x:c r="C238" s="6"/>
      <x:c r="D238" s="6"/>
      <x:c r="E238" s="6"/>
      <x:c r="F238" s="17"/>
      <x:c r="G238" s="13"/>
      <x:c r="H238" s="14" t="str">
        <x:f>IF(B238="","",IF(OR(A238="",C238="",NOT(ISNUMBER(F238)),NOT(ISNUMBER(G238))),"Eksik efor",F238*G238))</x:f>
      </x:c>
      <x:c r="I238" s="2" t="n">
        <x:f>IF(OR(B238="",C238="",A238="",A238&gt;'Panel'!$N$5),0,IF(COUNTIFS($B$7:B238,B238,$C$7:C238,C238,$A$7:A238,"&lt;="&amp;'Panel'!$N$5)=1,1,0))</x:f>
        <x:v>0</x:v>
      </x:c>
      <x:c r="J238" s="2" t="n">
        <x:f>IF(OR(B238="",C238="",A238="",A238&gt;'Panel'!$N$5,A238&lt;'Panel'!$N$5-WEEKDAY('Panel'!$N$5,2)+1),0,IF(COUNTIFS($B$7:B238,B238,$C$7:C238,C238,$A$7:A238,"&gt;="&amp;('Panel'!$N$5-WEEKDAY('Panel'!$N$5,2)+1),$A$7:A238,"&lt;="&amp;'Panel'!$N$5)=1,1,0))</x:f>
        <x:v>0</x:v>
      </x:c>
    </x:row>
    <x:row r="239" ht="22" customHeight="1">
      <x:c r="A239" s="7"/>
      <x:c r="B239" s="6"/>
      <x:c r="C239" s="6"/>
      <x:c r="D239" s="6"/>
      <x:c r="E239" s="6"/>
      <x:c r="F239" s="17"/>
      <x:c r="G239" s="13"/>
      <x:c r="H239" s="14" t="str">
        <x:f>IF(B239="","",IF(OR(A239="",C239="",NOT(ISNUMBER(F239)),NOT(ISNUMBER(G239))),"Eksik efor",F239*G239))</x:f>
      </x:c>
      <x:c r="I239" s="2" t="n">
        <x:f>IF(OR(B239="",C239="",A239="",A239&gt;'Panel'!$N$5),0,IF(COUNTIFS($B$7:B239,B239,$C$7:C239,C239,$A$7:A239,"&lt;="&amp;'Panel'!$N$5)=1,1,0))</x:f>
        <x:v>0</x:v>
      </x:c>
      <x:c r="J239" s="2" t="n">
        <x:f>IF(OR(B239="",C239="",A239="",A239&gt;'Panel'!$N$5,A239&lt;'Panel'!$N$5-WEEKDAY('Panel'!$N$5,2)+1),0,IF(COUNTIFS($B$7:B239,B239,$C$7:C239,C239,$A$7:A239,"&gt;="&amp;('Panel'!$N$5-WEEKDAY('Panel'!$N$5,2)+1),$A$7:A239,"&lt;="&amp;'Panel'!$N$5)=1,1,0))</x:f>
        <x:v>0</x:v>
      </x:c>
    </x:row>
    <x:row r="240" ht="22" customHeight="1">
      <x:c r="A240" s="7"/>
      <x:c r="B240" s="6"/>
      <x:c r="C240" s="6"/>
      <x:c r="D240" s="6"/>
      <x:c r="E240" s="6"/>
      <x:c r="F240" s="17"/>
      <x:c r="G240" s="13"/>
      <x:c r="H240" s="14" t="str">
        <x:f>IF(B240="","",IF(OR(A240="",C240="",NOT(ISNUMBER(F240)),NOT(ISNUMBER(G240))),"Eksik efor",F240*G240))</x:f>
      </x:c>
      <x:c r="I240" s="2" t="n">
        <x:f>IF(OR(B240="",C240="",A240="",A240&gt;'Panel'!$N$5),0,IF(COUNTIFS($B$7:B240,B240,$C$7:C240,C240,$A$7:A240,"&lt;="&amp;'Panel'!$N$5)=1,1,0))</x:f>
        <x:v>0</x:v>
      </x:c>
      <x:c r="J240" s="2" t="n">
        <x:f>IF(OR(B240="",C240="",A240="",A240&gt;'Panel'!$N$5,A240&lt;'Panel'!$N$5-WEEKDAY('Panel'!$N$5,2)+1),0,IF(COUNTIFS($B$7:B240,B240,$C$7:C240,C240,$A$7:A240,"&gt;="&amp;('Panel'!$N$5-WEEKDAY('Panel'!$N$5,2)+1),$A$7:A240,"&lt;="&amp;'Panel'!$N$5)=1,1,0))</x:f>
        <x:v>0</x:v>
      </x:c>
    </x:row>
    <x:row r="241" ht="22" customHeight="1">
      <x:c r="A241" s="7"/>
      <x:c r="B241" s="6"/>
      <x:c r="C241" s="6"/>
      <x:c r="D241" s="6"/>
      <x:c r="E241" s="6"/>
      <x:c r="F241" s="17"/>
      <x:c r="G241" s="13"/>
      <x:c r="H241" s="14" t="str">
        <x:f>IF(B241="","",IF(OR(A241="",C241="",NOT(ISNUMBER(F241)),NOT(ISNUMBER(G241))),"Eksik efor",F241*G241))</x:f>
      </x:c>
      <x:c r="I241" s="2" t="n">
        <x:f>IF(OR(B241="",C241="",A241="",A241&gt;'Panel'!$N$5),0,IF(COUNTIFS($B$7:B241,B241,$C$7:C241,C241,$A$7:A241,"&lt;="&amp;'Panel'!$N$5)=1,1,0))</x:f>
        <x:v>0</x:v>
      </x:c>
      <x:c r="J241" s="2" t="n">
        <x:f>IF(OR(B241="",C241="",A241="",A241&gt;'Panel'!$N$5,A241&lt;'Panel'!$N$5-WEEKDAY('Panel'!$N$5,2)+1),0,IF(COUNTIFS($B$7:B241,B241,$C$7:C241,C241,$A$7:A241,"&gt;="&amp;('Panel'!$N$5-WEEKDAY('Panel'!$N$5,2)+1),$A$7:A241,"&lt;="&amp;'Panel'!$N$5)=1,1,0))</x:f>
        <x:v>0</x:v>
      </x:c>
    </x:row>
    <x:row r="242" ht="22" customHeight="1">
      <x:c r="A242" s="7"/>
      <x:c r="B242" s="6"/>
      <x:c r="C242" s="6"/>
      <x:c r="D242" s="6"/>
      <x:c r="E242" s="6"/>
      <x:c r="F242" s="17"/>
      <x:c r="G242" s="13"/>
      <x:c r="H242" s="14" t="str">
        <x:f>IF(B242="","",IF(OR(A242="",C242="",NOT(ISNUMBER(F242)),NOT(ISNUMBER(G242))),"Eksik efor",F242*G242))</x:f>
      </x:c>
      <x:c r="I242" s="2" t="n">
        <x:f>IF(OR(B242="",C242="",A242="",A242&gt;'Panel'!$N$5),0,IF(COUNTIFS($B$7:B242,B242,$C$7:C242,C242,$A$7:A242,"&lt;="&amp;'Panel'!$N$5)=1,1,0))</x:f>
        <x:v>0</x:v>
      </x:c>
      <x:c r="J242" s="2" t="n">
        <x:f>IF(OR(B242="",C242="",A242="",A242&gt;'Panel'!$N$5,A242&lt;'Panel'!$N$5-WEEKDAY('Panel'!$N$5,2)+1),0,IF(COUNTIFS($B$7:B242,B242,$C$7:C242,C242,$A$7:A242,"&gt;="&amp;('Panel'!$N$5-WEEKDAY('Panel'!$N$5,2)+1),$A$7:A242,"&lt;="&amp;'Panel'!$N$5)=1,1,0))</x:f>
        <x:v>0</x:v>
      </x:c>
    </x:row>
    <x:row r="243" ht="22" customHeight="1">
      <x:c r="A243" s="7"/>
      <x:c r="B243" s="6"/>
      <x:c r="C243" s="6"/>
      <x:c r="D243" s="6"/>
      <x:c r="E243" s="6"/>
      <x:c r="F243" s="17"/>
      <x:c r="G243" s="13"/>
      <x:c r="H243" s="14" t="str">
        <x:f>IF(B243="","",IF(OR(A243="",C243="",NOT(ISNUMBER(F243)),NOT(ISNUMBER(G243))),"Eksik efor",F243*G243))</x:f>
      </x:c>
      <x:c r="I243" s="2" t="n">
        <x:f>IF(OR(B243="",C243="",A243="",A243&gt;'Panel'!$N$5),0,IF(COUNTIFS($B$7:B243,B243,$C$7:C243,C243,$A$7:A243,"&lt;="&amp;'Panel'!$N$5)=1,1,0))</x:f>
        <x:v>0</x:v>
      </x:c>
      <x:c r="J243" s="2" t="n">
        <x:f>IF(OR(B243="",C243="",A243="",A243&gt;'Panel'!$N$5,A243&lt;'Panel'!$N$5-WEEKDAY('Panel'!$N$5,2)+1),0,IF(COUNTIFS($B$7:B243,B243,$C$7:C243,C243,$A$7:A243,"&gt;="&amp;('Panel'!$N$5-WEEKDAY('Panel'!$N$5,2)+1),$A$7:A243,"&lt;="&amp;'Panel'!$N$5)=1,1,0))</x:f>
        <x:v>0</x:v>
      </x:c>
    </x:row>
    <x:row r="244" ht="22" customHeight="1">
      <x:c r="A244" s="7"/>
      <x:c r="B244" s="6"/>
      <x:c r="C244" s="6"/>
      <x:c r="D244" s="6"/>
      <x:c r="E244" s="6"/>
      <x:c r="F244" s="17"/>
      <x:c r="G244" s="13"/>
      <x:c r="H244" s="14" t="str">
        <x:f>IF(B244="","",IF(OR(A244="",C244="",NOT(ISNUMBER(F244)),NOT(ISNUMBER(G244))),"Eksik efor",F244*G244))</x:f>
      </x:c>
      <x:c r="I244" s="2" t="n">
        <x:f>IF(OR(B244="",C244="",A244="",A244&gt;'Panel'!$N$5),0,IF(COUNTIFS($B$7:B244,B244,$C$7:C244,C244,$A$7:A244,"&lt;="&amp;'Panel'!$N$5)=1,1,0))</x:f>
        <x:v>0</x:v>
      </x:c>
      <x:c r="J244" s="2" t="n">
        <x:f>IF(OR(B244="",C244="",A244="",A244&gt;'Panel'!$N$5,A244&lt;'Panel'!$N$5-WEEKDAY('Panel'!$N$5,2)+1),0,IF(COUNTIFS($B$7:B244,B244,$C$7:C244,C244,$A$7:A244,"&gt;="&amp;('Panel'!$N$5-WEEKDAY('Panel'!$N$5,2)+1),$A$7:A244,"&lt;="&amp;'Panel'!$N$5)=1,1,0))</x:f>
        <x:v>0</x:v>
      </x:c>
    </x:row>
    <x:row r="245" ht="22" customHeight="1">
      <x:c r="A245" s="7"/>
      <x:c r="B245" s="6"/>
      <x:c r="C245" s="6"/>
      <x:c r="D245" s="6"/>
      <x:c r="E245" s="6"/>
      <x:c r="F245" s="17"/>
      <x:c r="G245" s="13"/>
      <x:c r="H245" s="14" t="str">
        <x:f>IF(B245="","",IF(OR(A245="",C245="",NOT(ISNUMBER(F245)),NOT(ISNUMBER(G245))),"Eksik efor",F245*G245))</x:f>
      </x:c>
      <x:c r="I245" s="2" t="n">
        <x:f>IF(OR(B245="",C245="",A245="",A245&gt;'Panel'!$N$5),0,IF(COUNTIFS($B$7:B245,B245,$C$7:C245,C245,$A$7:A245,"&lt;="&amp;'Panel'!$N$5)=1,1,0))</x:f>
        <x:v>0</x:v>
      </x:c>
      <x:c r="J245" s="2" t="n">
        <x:f>IF(OR(B245="",C245="",A245="",A245&gt;'Panel'!$N$5,A245&lt;'Panel'!$N$5-WEEKDAY('Panel'!$N$5,2)+1),0,IF(COUNTIFS($B$7:B245,B245,$C$7:C245,C245,$A$7:A245,"&gt;="&amp;('Panel'!$N$5-WEEKDAY('Panel'!$N$5,2)+1),$A$7:A245,"&lt;="&amp;'Panel'!$N$5)=1,1,0))</x:f>
        <x:v>0</x:v>
      </x:c>
    </x:row>
    <x:row r="246" ht="22" customHeight="1">
      <x:c r="A246" s="7"/>
      <x:c r="B246" s="6"/>
      <x:c r="C246" s="6"/>
      <x:c r="D246" s="6"/>
      <x:c r="E246" s="6"/>
      <x:c r="F246" s="17"/>
      <x:c r="G246" s="13"/>
      <x:c r="H246" s="14" t="str">
        <x:f>IF(B246="","",IF(OR(A246="",C246="",NOT(ISNUMBER(F246)),NOT(ISNUMBER(G246))),"Eksik efor",F246*G246))</x:f>
      </x:c>
      <x:c r="I246" s="2" t="n">
        <x:f>IF(OR(B246="",C246="",A246="",A246&gt;'Panel'!$N$5),0,IF(COUNTIFS($B$7:B246,B246,$C$7:C246,C246,$A$7:A246,"&lt;="&amp;'Panel'!$N$5)=1,1,0))</x:f>
        <x:v>0</x:v>
      </x:c>
      <x:c r="J246" s="2" t="n">
        <x:f>IF(OR(B246="",C246="",A246="",A246&gt;'Panel'!$N$5,A246&lt;'Panel'!$N$5-WEEKDAY('Panel'!$N$5,2)+1),0,IF(COUNTIFS($B$7:B246,B246,$C$7:C246,C246,$A$7:A246,"&gt;="&amp;('Panel'!$N$5-WEEKDAY('Panel'!$N$5,2)+1),$A$7:A246,"&lt;="&amp;'Panel'!$N$5)=1,1,0))</x:f>
        <x:v>0</x:v>
      </x:c>
    </x:row>
    <x:row r="247" ht="22" customHeight="1">
      <x:c r="A247" s="7"/>
      <x:c r="B247" s="6"/>
      <x:c r="C247" s="6"/>
      <x:c r="D247" s="6"/>
      <x:c r="E247" s="6"/>
      <x:c r="F247" s="17"/>
      <x:c r="G247" s="13"/>
      <x:c r="H247" s="14" t="str">
        <x:f>IF(B247="","",IF(OR(A247="",C247="",NOT(ISNUMBER(F247)),NOT(ISNUMBER(G247))),"Eksik efor",F247*G247))</x:f>
      </x:c>
      <x:c r="I247" s="2" t="n">
        <x:f>IF(OR(B247="",C247="",A247="",A247&gt;'Panel'!$N$5),0,IF(COUNTIFS($B$7:B247,B247,$C$7:C247,C247,$A$7:A247,"&lt;="&amp;'Panel'!$N$5)=1,1,0))</x:f>
        <x:v>0</x:v>
      </x:c>
      <x:c r="J247" s="2" t="n">
        <x:f>IF(OR(B247="",C247="",A247="",A247&gt;'Panel'!$N$5,A247&lt;'Panel'!$N$5-WEEKDAY('Panel'!$N$5,2)+1),0,IF(COUNTIFS($B$7:B247,B247,$C$7:C247,C247,$A$7:A247,"&gt;="&amp;('Panel'!$N$5-WEEKDAY('Panel'!$N$5,2)+1),$A$7:A247,"&lt;="&amp;'Panel'!$N$5)=1,1,0))</x:f>
        <x:v>0</x:v>
      </x:c>
    </x:row>
    <x:row r="248" ht="22" customHeight="1">
      <x:c r="A248" s="7"/>
      <x:c r="B248" s="6"/>
      <x:c r="C248" s="6"/>
      <x:c r="D248" s="6"/>
      <x:c r="E248" s="6"/>
      <x:c r="F248" s="17"/>
      <x:c r="G248" s="13"/>
      <x:c r="H248" s="14" t="str">
        <x:f>IF(B248="","",IF(OR(A248="",C248="",NOT(ISNUMBER(F248)),NOT(ISNUMBER(G248))),"Eksik efor",F248*G248))</x:f>
      </x:c>
      <x:c r="I248" s="2" t="n">
        <x:f>IF(OR(B248="",C248="",A248="",A248&gt;'Panel'!$N$5),0,IF(COUNTIFS($B$7:B248,B248,$C$7:C248,C248,$A$7:A248,"&lt;="&amp;'Panel'!$N$5)=1,1,0))</x:f>
        <x:v>0</x:v>
      </x:c>
      <x:c r="J248" s="2" t="n">
        <x:f>IF(OR(B248="",C248="",A248="",A248&gt;'Panel'!$N$5,A248&lt;'Panel'!$N$5-WEEKDAY('Panel'!$N$5,2)+1),0,IF(COUNTIFS($B$7:B248,B248,$C$7:C248,C248,$A$7:A248,"&gt;="&amp;('Panel'!$N$5-WEEKDAY('Panel'!$N$5,2)+1),$A$7:A248,"&lt;="&amp;'Panel'!$N$5)=1,1,0))</x:f>
        <x:v>0</x:v>
      </x:c>
    </x:row>
    <x:row r="249" ht="22" customHeight="1">
      <x:c r="A249" s="7"/>
      <x:c r="B249" s="6"/>
      <x:c r="C249" s="6"/>
      <x:c r="D249" s="6"/>
      <x:c r="E249" s="6"/>
      <x:c r="F249" s="17"/>
      <x:c r="G249" s="13"/>
      <x:c r="H249" s="14" t="str">
        <x:f>IF(B249="","",IF(OR(A249="",C249="",NOT(ISNUMBER(F249)),NOT(ISNUMBER(G249))),"Eksik efor",F249*G249))</x:f>
      </x:c>
      <x:c r="I249" s="2" t="n">
        <x:f>IF(OR(B249="",C249="",A249="",A249&gt;'Panel'!$N$5),0,IF(COUNTIFS($B$7:B249,B249,$C$7:C249,C249,$A$7:A249,"&lt;="&amp;'Panel'!$N$5)=1,1,0))</x:f>
        <x:v>0</x:v>
      </x:c>
      <x:c r="J249" s="2" t="n">
        <x:f>IF(OR(B249="",C249="",A249="",A249&gt;'Panel'!$N$5,A249&lt;'Panel'!$N$5-WEEKDAY('Panel'!$N$5,2)+1),0,IF(COUNTIFS($B$7:B249,B249,$C$7:C249,C249,$A$7:A249,"&gt;="&amp;('Panel'!$N$5-WEEKDAY('Panel'!$N$5,2)+1),$A$7:A249,"&lt;="&amp;'Panel'!$N$5)=1,1,0))</x:f>
        <x:v>0</x:v>
      </x:c>
    </x:row>
    <x:row r="250" ht="22" customHeight="1">
      <x:c r="A250" s="7"/>
      <x:c r="B250" s="6"/>
      <x:c r="C250" s="6"/>
      <x:c r="D250" s="6"/>
      <x:c r="E250" s="6"/>
      <x:c r="F250" s="17"/>
      <x:c r="G250" s="13"/>
      <x:c r="H250" s="14" t="str">
        <x:f>IF(B250="","",IF(OR(A250="",C250="",NOT(ISNUMBER(F250)),NOT(ISNUMBER(G250))),"Eksik efor",F250*G250))</x:f>
      </x:c>
      <x:c r="I250" s="2" t="n">
        <x:f>IF(OR(B250="",C250="",A250="",A250&gt;'Panel'!$N$5),0,IF(COUNTIFS($B$7:B250,B250,$C$7:C250,C250,$A$7:A250,"&lt;="&amp;'Panel'!$N$5)=1,1,0))</x:f>
        <x:v>0</x:v>
      </x:c>
      <x:c r="J250" s="2" t="n">
        <x:f>IF(OR(B250="",C250="",A250="",A250&gt;'Panel'!$N$5,A250&lt;'Panel'!$N$5-WEEKDAY('Panel'!$N$5,2)+1),0,IF(COUNTIFS($B$7:B250,B250,$C$7:C250,C250,$A$7:A250,"&gt;="&amp;('Panel'!$N$5-WEEKDAY('Panel'!$N$5,2)+1),$A$7:A250,"&lt;="&amp;'Panel'!$N$5)=1,1,0))</x:f>
        <x:v>0</x:v>
      </x:c>
    </x:row>
    <x:row r="251" ht="22" customHeight="1">
      <x:c r="A251" s="7"/>
      <x:c r="B251" s="6"/>
      <x:c r="C251" s="6"/>
      <x:c r="D251" s="6"/>
      <x:c r="E251" s="6"/>
      <x:c r="F251" s="17"/>
      <x:c r="G251" s="13"/>
      <x:c r="H251" s="14" t="str">
        <x:f>IF(B251="","",IF(OR(A251="",C251="",NOT(ISNUMBER(F251)),NOT(ISNUMBER(G251))),"Eksik efor",F251*G251))</x:f>
      </x:c>
      <x:c r="I251" s="2" t="n">
        <x:f>IF(OR(B251="",C251="",A251="",A251&gt;'Panel'!$N$5),0,IF(COUNTIFS($B$7:B251,B251,$C$7:C251,C251,$A$7:A251,"&lt;="&amp;'Panel'!$N$5)=1,1,0))</x:f>
        <x:v>0</x:v>
      </x:c>
      <x:c r="J251" s="2" t="n">
        <x:f>IF(OR(B251="",C251="",A251="",A251&gt;'Panel'!$N$5,A251&lt;'Panel'!$N$5-WEEKDAY('Panel'!$N$5,2)+1),0,IF(COUNTIFS($B$7:B251,B251,$C$7:C251,C251,$A$7:A251,"&gt;="&amp;('Panel'!$N$5-WEEKDAY('Panel'!$N$5,2)+1),$A$7:A251,"&lt;="&amp;'Panel'!$N$5)=1,1,0))</x:f>
        <x:v>0</x:v>
      </x:c>
    </x:row>
    <x:row r="252" ht="22" customHeight="1">
      <x:c r="A252" s="7"/>
      <x:c r="B252" s="6"/>
      <x:c r="C252" s="6"/>
      <x:c r="D252" s="6"/>
      <x:c r="E252" s="6"/>
      <x:c r="F252" s="17"/>
      <x:c r="G252" s="13"/>
      <x:c r="H252" s="14" t="str">
        <x:f>IF(B252="","",IF(OR(A252="",C252="",NOT(ISNUMBER(F252)),NOT(ISNUMBER(G252))),"Eksik efor",F252*G252))</x:f>
      </x:c>
      <x:c r="I252" s="2" t="n">
        <x:f>IF(OR(B252="",C252="",A252="",A252&gt;'Panel'!$N$5),0,IF(COUNTIFS($B$7:B252,B252,$C$7:C252,C252,$A$7:A252,"&lt;="&amp;'Panel'!$N$5)=1,1,0))</x:f>
        <x:v>0</x:v>
      </x:c>
      <x:c r="J252" s="2" t="n">
        <x:f>IF(OR(B252="",C252="",A252="",A252&gt;'Panel'!$N$5,A252&lt;'Panel'!$N$5-WEEKDAY('Panel'!$N$5,2)+1),0,IF(COUNTIFS($B$7:B252,B252,$C$7:C252,C252,$A$7:A252,"&gt;="&amp;('Panel'!$N$5-WEEKDAY('Panel'!$N$5,2)+1),$A$7:A252,"&lt;="&amp;'Panel'!$N$5)=1,1,0))</x:f>
        <x:v>0</x:v>
      </x:c>
    </x:row>
    <x:row r="253" ht="22" customHeight="1">
      <x:c r="A253" s="7"/>
      <x:c r="B253" s="6"/>
      <x:c r="C253" s="6"/>
      <x:c r="D253" s="6"/>
      <x:c r="E253" s="6"/>
      <x:c r="F253" s="17"/>
      <x:c r="G253" s="13"/>
      <x:c r="H253" s="14" t="str">
        <x:f>IF(B253="","",IF(OR(A253="",C253="",NOT(ISNUMBER(F253)),NOT(ISNUMBER(G253))),"Eksik efor",F253*G253))</x:f>
      </x:c>
      <x:c r="I253" s="2" t="n">
        <x:f>IF(OR(B253="",C253="",A253="",A253&gt;'Panel'!$N$5),0,IF(COUNTIFS($B$7:B253,B253,$C$7:C253,C253,$A$7:A253,"&lt;="&amp;'Panel'!$N$5)=1,1,0))</x:f>
        <x:v>0</x:v>
      </x:c>
      <x:c r="J253" s="2" t="n">
        <x:f>IF(OR(B253="",C253="",A253="",A253&gt;'Panel'!$N$5,A253&lt;'Panel'!$N$5-WEEKDAY('Panel'!$N$5,2)+1),0,IF(COUNTIFS($B$7:B253,B253,$C$7:C253,C253,$A$7:A253,"&gt;="&amp;('Panel'!$N$5-WEEKDAY('Panel'!$N$5,2)+1),$A$7:A253,"&lt;="&amp;'Panel'!$N$5)=1,1,0))</x:f>
        <x:v>0</x:v>
      </x:c>
    </x:row>
    <x:row r="254" ht="22" customHeight="1">
      <x:c r="A254" s="7"/>
      <x:c r="B254" s="6"/>
      <x:c r="C254" s="6"/>
      <x:c r="D254" s="6"/>
      <x:c r="E254" s="6"/>
      <x:c r="F254" s="17"/>
      <x:c r="G254" s="13"/>
      <x:c r="H254" s="14" t="str">
        <x:f>IF(B254="","",IF(OR(A254="",C254="",NOT(ISNUMBER(F254)),NOT(ISNUMBER(G254))),"Eksik efor",F254*G254))</x:f>
      </x:c>
      <x:c r="I254" s="2" t="n">
        <x:f>IF(OR(B254="",C254="",A254="",A254&gt;'Panel'!$N$5),0,IF(COUNTIFS($B$7:B254,B254,$C$7:C254,C254,$A$7:A254,"&lt;="&amp;'Panel'!$N$5)=1,1,0))</x:f>
        <x:v>0</x:v>
      </x:c>
      <x:c r="J254" s="2" t="n">
        <x:f>IF(OR(B254="",C254="",A254="",A254&gt;'Panel'!$N$5,A254&lt;'Panel'!$N$5-WEEKDAY('Panel'!$N$5,2)+1),0,IF(COUNTIFS($B$7:B254,B254,$C$7:C254,C254,$A$7:A254,"&gt;="&amp;('Panel'!$N$5-WEEKDAY('Panel'!$N$5,2)+1),$A$7:A254,"&lt;="&amp;'Panel'!$N$5)=1,1,0))</x:f>
        <x:v>0</x:v>
      </x:c>
    </x:row>
    <x:row r="255" ht="22" customHeight="1">
      <x:c r="A255" s="7"/>
      <x:c r="B255" s="6"/>
      <x:c r="C255" s="6"/>
      <x:c r="D255" s="6"/>
      <x:c r="E255" s="6"/>
      <x:c r="F255" s="17"/>
      <x:c r="G255" s="13"/>
      <x:c r="H255" s="14" t="str">
        <x:f>IF(B255="","",IF(OR(A255="",C255="",NOT(ISNUMBER(F255)),NOT(ISNUMBER(G255))),"Eksik efor",F255*G255))</x:f>
      </x:c>
      <x:c r="I255" s="2" t="n">
        <x:f>IF(OR(B255="",C255="",A255="",A255&gt;'Panel'!$N$5),0,IF(COUNTIFS($B$7:B255,B255,$C$7:C255,C255,$A$7:A255,"&lt;="&amp;'Panel'!$N$5)=1,1,0))</x:f>
        <x:v>0</x:v>
      </x:c>
      <x:c r="J255" s="2" t="n">
        <x:f>IF(OR(B255="",C255="",A255="",A255&gt;'Panel'!$N$5,A255&lt;'Panel'!$N$5-WEEKDAY('Panel'!$N$5,2)+1),0,IF(COUNTIFS($B$7:B255,B255,$C$7:C255,C255,$A$7:A255,"&gt;="&amp;('Panel'!$N$5-WEEKDAY('Panel'!$N$5,2)+1),$A$7:A255,"&lt;="&amp;'Panel'!$N$5)=1,1,0))</x:f>
        <x:v>0</x:v>
      </x:c>
    </x:row>
    <x:row r="256" ht="22" customHeight="1">
      <x:c r="A256" s="7"/>
      <x:c r="B256" s="6"/>
      <x:c r="C256" s="6"/>
      <x:c r="D256" s="6"/>
      <x:c r="E256" s="6"/>
      <x:c r="F256" s="17"/>
      <x:c r="G256" s="13"/>
      <x:c r="H256" s="14" t="str">
        <x:f>IF(B256="","",IF(OR(A256="",C256="",NOT(ISNUMBER(F256)),NOT(ISNUMBER(G256))),"Eksik efor",F256*G256))</x:f>
      </x:c>
      <x:c r="I256" s="2" t="n">
        <x:f>IF(OR(B256="",C256="",A256="",A256&gt;'Panel'!$N$5),0,IF(COUNTIFS($B$7:B256,B256,$C$7:C256,C256,$A$7:A256,"&lt;="&amp;'Panel'!$N$5)=1,1,0))</x:f>
        <x:v>0</x:v>
      </x:c>
      <x:c r="J256" s="2" t="n">
        <x:f>IF(OR(B256="",C256="",A256="",A256&gt;'Panel'!$N$5,A256&lt;'Panel'!$N$5-WEEKDAY('Panel'!$N$5,2)+1),0,IF(COUNTIFS($B$7:B256,B256,$C$7:C256,C256,$A$7:A256,"&gt;="&amp;('Panel'!$N$5-WEEKDAY('Panel'!$N$5,2)+1),$A$7:A256,"&lt;="&amp;'Panel'!$N$5)=1,1,0))</x:f>
        <x:v>0</x:v>
      </x:c>
    </x:row>
    <x:row r="257" ht="22" customHeight="1">
      <x:c r="A257" s="7"/>
      <x:c r="B257" s="6"/>
      <x:c r="C257" s="6"/>
      <x:c r="D257" s="6"/>
      <x:c r="E257" s="6"/>
      <x:c r="F257" s="17"/>
      <x:c r="G257" s="13"/>
      <x:c r="H257" s="14" t="str">
        <x:f>IF(B257="","",IF(OR(A257="",C257="",NOT(ISNUMBER(F257)),NOT(ISNUMBER(G257))),"Eksik efor",F257*G257))</x:f>
      </x:c>
      <x:c r="I257" s="2" t="n">
        <x:f>IF(OR(B257="",C257="",A257="",A257&gt;'Panel'!$N$5),0,IF(COUNTIFS($B$7:B257,B257,$C$7:C257,C257,$A$7:A257,"&lt;="&amp;'Panel'!$N$5)=1,1,0))</x:f>
        <x:v>0</x:v>
      </x:c>
      <x:c r="J257" s="2" t="n">
        <x:f>IF(OR(B257="",C257="",A257="",A257&gt;'Panel'!$N$5,A257&lt;'Panel'!$N$5-WEEKDAY('Panel'!$N$5,2)+1),0,IF(COUNTIFS($B$7:B257,B257,$C$7:C257,C257,$A$7:A257,"&gt;="&amp;('Panel'!$N$5-WEEKDAY('Panel'!$N$5,2)+1),$A$7:A257,"&lt;="&amp;'Panel'!$N$5)=1,1,0))</x:f>
        <x:v>0</x:v>
      </x:c>
    </x:row>
    <x:row r="258" ht="22" customHeight="1">
      <x:c r="A258" s="7"/>
      <x:c r="B258" s="6"/>
      <x:c r="C258" s="6"/>
      <x:c r="D258" s="6"/>
      <x:c r="E258" s="6"/>
      <x:c r="F258" s="17"/>
      <x:c r="G258" s="13"/>
      <x:c r="H258" s="14" t="str">
        <x:f>IF(B258="","",IF(OR(A258="",C258="",NOT(ISNUMBER(F258)),NOT(ISNUMBER(G258))),"Eksik efor",F258*G258))</x:f>
      </x:c>
      <x:c r="I258" s="2" t="n">
        <x:f>IF(OR(B258="",C258="",A258="",A258&gt;'Panel'!$N$5),0,IF(COUNTIFS($B$7:B258,B258,$C$7:C258,C258,$A$7:A258,"&lt;="&amp;'Panel'!$N$5)=1,1,0))</x:f>
        <x:v>0</x:v>
      </x:c>
      <x:c r="J258" s="2" t="n">
        <x:f>IF(OR(B258="",C258="",A258="",A258&gt;'Panel'!$N$5,A258&lt;'Panel'!$N$5-WEEKDAY('Panel'!$N$5,2)+1),0,IF(COUNTIFS($B$7:B258,B258,$C$7:C258,C258,$A$7:A258,"&gt;="&amp;('Panel'!$N$5-WEEKDAY('Panel'!$N$5,2)+1),$A$7:A258,"&lt;="&amp;'Panel'!$N$5)=1,1,0))</x:f>
        <x:v>0</x:v>
      </x:c>
    </x:row>
    <x:row r="259" ht="22" customHeight="1">
      <x:c r="A259" s="7"/>
      <x:c r="B259" s="6"/>
      <x:c r="C259" s="6"/>
      <x:c r="D259" s="6"/>
      <x:c r="E259" s="6"/>
      <x:c r="F259" s="17"/>
      <x:c r="G259" s="13"/>
      <x:c r="H259" s="14" t="str">
        <x:f>IF(B259="","",IF(OR(A259="",C259="",NOT(ISNUMBER(F259)),NOT(ISNUMBER(G259))),"Eksik efor",F259*G259))</x:f>
      </x:c>
      <x:c r="I259" s="2" t="n">
        <x:f>IF(OR(B259="",C259="",A259="",A259&gt;'Panel'!$N$5),0,IF(COUNTIFS($B$7:B259,B259,$C$7:C259,C259,$A$7:A259,"&lt;="&amp;'Panel'!$N$5)=1,1,0))</x:f>
        <x:v>0</x:v>
      </x:c>
      <x:c r="J259" s="2" t="n">
        <x:f>IF(OR(B259="",C259="",A259="",A259&gt;'Panel'!$N$5,A259&lt;'Panel'!$N$5-WEEKDAY('Panel'!$N$5,2)+1),0,IF(COUNTIFS($B$7:B259,B259,$C$7:C259,C259,$A$7:A259,"&gt;="&amp;('Panel'!$N$5-WEEKDAY('Panel'!$N$5,2)+1),$A$7:A259,"&lt;="&amp;'Panel'!$N$5)=1,1,0))</x:f>
        <x:v>0</x:v>
      </x:c>
    </x:row>
    <x:row r="260" ht="22" customHeight="1">
      <x:c r="A260" s="7"/>
      <x:c r="B260" s="6"/>
      <x:c r="C260" s="6"/>
      <x:c r="D260" s="6"/>
      <x:c r="E260" s="6"/>
      <x:c r="F260" s="17"/>
      <x:c r="G260" s="13"/>
      <x:c r="H260" s="14" t="str">
        <x:f>IF(B260="","",IF(OR(A260="",C260="",NOT(ISNUMBER(F260)),NOT(ISNUMBER(G260))),"Eksik efor",F260*G260))</x:f>
      </x:c>
      <x:c r="I260" s="2" t="n">
        <x:f>IF(OR(B260="",C260="",A260="",A260&gt;'Panel'!$N$5),0,IF(COUNTIFS($B$7:B260,B260,$C$7:C260,C260,$A$7:A260,"&lt;="&amp;'Panel'!$N$5)=1,1,0))</x:f>
        <x:v>0</x:v>
      </x:c>
      <x:c r="J260" s="2" t="n">
        <x:f>IF(OR(B260="",C260="",A260="",A260&gt;'Panel'!$N$5,A260&lt;'Panel'!$N$5-WEEKDAY('Panel'!$N$5,2)+1),0,IF(COUNTIFS($B$7:B260,B260,$C$7:C260,C260,$A$7:A260,"&gt;="&amp;('Panel'!$N$5-WEEKDAY('Panel'!$N$5,2)+1),$A$7:A260,"&lt;="&amp;'Panel'!$N$5)=1,1,0))</x:f>
        <x:v>0</x:v>
      </x:c>
    </x:row>
    <x:row r="261" ht="22" customHeight="1">
      <x:c r="A261" s="7"/>
      <x:c r="B261" s="6"/>
      <x:c r="C261" s="6"/>
      <x:c r="D261" s="6"/>
      <x:c r="E261" s="6"/>
      <x:c r="F261" s="17"/>
      <x:c r="G261" s="13"/>
      <x:c r="H261" s="14" t="str">
        <x:f>IF(B261="","",IF(OR(A261="",C261="",NOT(ISNUMBER(F261)),NOT(ISNUMBER(G261))),"Eksik efor",F261*G261))</x:f>
      </x:c>
      <x:c r="I261" s="2" t="n">
        <x:f>IF(OR(B261="",C261="",A261="",A261&gt;'Panel'!$N$5),0,IF(COUNTIFS($B$7:B261,B261,$C$7:C261,C261,$A$7:A261,"&lt;="&amp;'Panel'!$N$5)=1,1,0))</x:f>
        <x:v>0</x:v>
      </x:c>
      <x:c r="J261" s="2" t="n">
        <x:f>IF(OR(B261="",C261="",A261="",A261&gt;'Panel'!$N$5,A261&lt;'Panel'!$N$5-WEEKDAY('Panel'!$N$5,2)+1),0,IF(COUNTIFS($B$7:B261,B261,$C$7:C261,C261,$A$7:A261,"&gt;="&amp;('Panel'!$N$5-WEEKDAY('Panel'!$N$5,2)+1),$A$7:A261,"&lt;="&amp;'Panel'!$N$5)=1,1,0))</x:f>
        <x:v>0</x:v>
      </x:c>
    </x:row>
    <x:row r="262" ht="22" customHeight="1">
      <x:c r="A262" s="7"/>
      <x:c r="B262" s="6"/>
      <x:c r="C262" s="6"/>
      <x:c r="D262" s="6"/>
      <x:c r="E262" s="6"/>
      <x:c r="F262" s="17"/>
      <x:c r="G262" s="13"/>
      <x:c r="H262" s="14" t="str">
        <x:f>IF(B262="","",IF(OR(A262="",C262="",NOT(ISNUMBER(F262)),NOT(ISNUMBER(G262))),"Eksik efor",F262*G262))</x:f>
      </x:c>
      <x:c r="I262" s="2" t="n">
        <x:f>IF(OR(B262="",C262="",A262="",A262&gt;'Panel'!$N$5),0,IF(COUNTIFS($B$7:B262,B262,$C$7:C262,C262,$A$7:A262,"&lt;="&amp;'Panel'!$N$5)=1,1,0))</x:f>
        <x:v>0</x:v>
      </x:c>
      <x:c r="J262" s="2" t="n">
        <x:f>IF(OR(B262="",C262="",A262="",A262&gt;'Panel'!$N$5,A262&lt;'Panel'!$N$5-WEEKDAY('Panel'!$N$5,2)+1),0,IF(COUNTIFS($B$7:B262,B262,$C$7:C262,C262,$A$7:A262,"&gt;="&amp;('Panel'!$N$5-WEEKDAY('Panel'!$N$5,2)+1),$A$7:A262,"&lt;="&amp;'Panel'!$N$5)=1,1,0))</x:f>
        <x:v>0</x:v>
      </x:c>
    </x:row>
    <x:row r="263" ht="22" customHeight="1">
      <x:c r="A263" s="7"/>
      <x:c r="B263" s="6"/>
      <x:c r="C263" s="6"/>
      <x:c r="D263" s="6"/>
      <x:c r="E263" s="6"/>
      <x:c r="F263" s="17"/>
      <x:c r="G263" s="13"/>
      <x:c r="H263" s="14" t="str">
        <x:f>IF(B263="","",IF(OR(A263="",C263="",NOT(ISNUMBER(F263)),NOT(ISNUMBER(G263))),"Eksik efor",F263*G263))</x:f>
      </x:c>
      <x:c r="I263" s="2" t="n">
        <x:f>IF(OR(B263="",C263="",A263="",A263&gt;'Panel'!$N$5),0,IF(COUNTIFS($B$7:B263,B263,$C$7:C263,C263,$A$7:A263,"&lt;="&amp;'Panel'!$N$5)=1,1,0))</x:f>
        <x:v>0</x:v>
      </x:c>
      <x:c r="J263" s="2" t="n">
        <x:f>IF(OR(B263="",C263="",A263="",A263&gt;'Panel'!$N$5,A263&lt;'Panel'!$N$5-WEEKDAY('Panel'!$N$5,2)+1),0,IF(COUNTIFS($B$7:B263,B263,$C$7:C263,C263,$A$7:A263,"&gt;="&amp;('Panel'!$N$5-WEEKDAY('Panel'!$N$5,2)+1),$A$7:A263,"&lt;="&amp;'Panel'!$N$5)=1,1,0))</x:f>
        <x:v>0</x:v>
      </x:c>
    </x:row>
    <x:row r="264" ht="22" customHeight="1">
      <x:c r="A264" s="7"/>
      <x:c r="B264" s="6"/>
      <x:c r="C264" s="6"/>
      <x:c r="D264" s="6"/>
      <x:c r="E264" s="6"/>
      <x:c r="F264" s="17"/>
      <x:c r="G264" s="13"/>
      <x:c r="H264" s="14" t="str">
        <x:f>IF(B264="","",IF(OR(A264="",C264="",NOT(ISNUMBER(F264)),NOT(ISNUMBER(G264))),"Eksik efor",F264*G264))</x:f>
      </x:c>
      <x:c r="I264" s="2" t="n">
        <x:f>IF(OR(B264="",C264="",A264="",A264&gt;'Panel'!$N$5),0,IF(COUNTIFS($B$7:B264,B264,$C$7:C264,C264,$A$7:A264,"&lt;="&amp;'Panel'!$N$5)=1,1,0))</x:f>
        <x:v>0</x:v>
      </x:c>
      <x:c r="J264" s="2" t="n">
        <x:f>IF(OR(B264="",C264="",A264="",A264&gt;'Panel'!$N$5,A264&lt;'Panel'!$N$5-WEEKDAY('Panel'!$N$5,2)+1),0,IF(COUNTIFS($B$7:B264,B264,$C$7:C264,C264,$A$7:A264,"&gt;="&amp;('Panel'!$N$5-WEEKDAY('Panel'!$N$5,2)+1),$A$7:A264,"&lt;="&amp;'Panel'!$N$5)=1,1,0))</x:f>
        <x:v>0</x:v>
      </x:c>
    </x:row>
    <x:row r="265" ht="22" customHeight="1">
      <x:c r="A265" s="7"/>
      <x:c r="B265" s="6"/>
      <x:c r="C265" s="6"/>
      <x:c r="D265" s="6"/>
      <x:c r="E265" s="6"/>
      <x:c r="F265" s="17"/>
      <x:c r="G265" s="13"/>
      <x:c r="H265" s="14" t="str">
        <x:f>IF(B265="","",IF(OR(A265="",C265="",NOT(ISNUMBER(F265)),NOT(ISNUMBER(G265))),"Eksik efor",F265*G265))</x:f>
      </x:c>
      <x:c r="I265" s="2" t="n">
        <x:f>IF(OR(B265="",C265="",A265="",A265&gt;'Panel'!$N$5),0,IF(COUNTIFS($B$7:B265,B265,$C$7:C265,C265,$A$7:A265,"&lt;="&amp;'Panel'!$N$5)=1,1,0))</x:f>
        <x:v>0</x:v>
      </x:c>
      <x:c r="J265" s="2" t="n">
        <x:f>IF(OR(B265="",C265="",A265="",A265&gt;'Panel'!$N$5,A265&lt;'Panel'!$N$5-WEEKDAY('Panel'!$N$5,2)+1),0,IF(COUNTIFS($B$7:B265,B265,$C$7:C265,C265,$A$7:A265,"&gt;="&amp;('Panel'!$N$5-WEEKDAY('Panel'!$N$5,2)+1),$A$7:A265,"&lt;="&amp;'Panel'!$N$5)=1,1,0))</x:f>
        <x:v>0</x:v>
      </x:c>
    </x:row>
    <x:row r="266" ht="22" customHeight="1">
      <x:c r="A266" s="7"/>
      <x:c r="B266" s="6"/>
      <x:c r="C266" s="6"/>
      <x:c r="D266" s="6"/>
      <x:c r="E266" s="6"/>
      <x:c r="F266" s="17"/>
      <x:c r="G266" s="13"/>
      <x:c r="H266" s="14" t="str">
        <x:f>IF(B266="","",IF(OR(A266="",C266="",NOT(ISNUMBER(F266)),NOT(ISNUMBER(G266))),"Eksik efor",F266*G266))</x:f>
      </x:c>
      <x:c r="I266" s="2" t="n">
        <x:f>IF(OR(B266="",C266="",A266="",A266&gt;'Panel'!$N$5),0,IF(COUNTIFS($B$7:B266,B266,$C$7:C266,C266,$A$7:A266,"&lt;="&amp;'Panel'!$N$5)=1,1,0))</x:f>
        <x:v>0</x:v>
      </x:c>
      <x:c r="J266" s="2" t="n">
        <x:f>IF(OR(B266="",C266="",A266="",A266&gt;'Panel'!$N$5,A266&lt;'Panel'!$N$5-WEEKDAY('Panel'!$N$5,2)+1),0,IF(COUNTIFS($B$7:B266,B266,$C$7:C266,C266,$A$7:A266,"&gt;="&amp;('Panel'!$N$5-WEEKDAY('Panel'!$N$5,2)+1),$A$7:A266,"&lt;="&amp;'Panel'!$N$5)=1,1,0))</x:f>
        <x:v>0</x:v>
      </x:c>
    </x:row>
    <x:row r="267" ht="22" customHeight="1">
      <x:c r="A267" s="7"/>
      <x:c r="B267" s="6"/>
      <x:c r="C267" s="6"/>
      <x:c r="D267" s="6"/>
      <x:c r="E267" s="6"/>
      <x:c r="F267" s="17"/>
      <x:c r="G267" s="13"/>
      <x:c r="H267" s="14" t="str">
        <x:f>IF(B267="","",IF(OR(A267="",C267="",NOT(ISNUMBER(F267)),NOT(ISNUMBER(G267))),"Eksik efor",F267*G267))</x:f>
      </x:c>
      <x:c r="I267" s="2" t="n">
        <x:f>IF(OR(B267="",C267="",A267="",A267&gt;'Panel'!$N$5),0,IF(COUNTIFS($B$7:B267,B267,$C$7:C267,C267,$A$7:A267,"&lt;="&amp;'Panel'!$N$5)=1,1,0))</x:f>
        <x:v>0</x:v>
      </x:c>
      <x:c r="J267" s="2" t="n">
        <x:f>IF(OR(B267="",C267="",A267="",A267&gt;'Panel'!$N$5,A267&lt;'Panel'!$N$5-WEEKDAY('Panel'!$N$5,2)+1),0,IF(COUNTIFS($B$7:B267,B267,$C$7:C267,C267,$A$7:A267,"&gt;="&amp;('Panel'!$N$5-WEEKDAY('Panel'!$N$5,2)+1),$A$7:A267,"&lt;="&amp;'Panel'!$N$5)=1,1,0))</x:f>
        <x:v>0</x:v>
      </x:c>
    </x:row>
    <x:row r="268" ht="22" customHeight="1">
      <x:c r="A268" s="7"/>
      <x:c r="B268" s="6"/>
      <x:c r="C268" s="6"/>
      <x:c r="D268" s="6"/>
      <x:c r="E268" s="6"/>
      <x:c r="F268" s="17"/>
      <x:c r="G268" s="13"/>
      <x:c r="H268" s="14" t="str">
        <x:f>IF(B268="","",IF(OR(A268="",C268="",NOT(ISNUMBER(F268)),NOT(ISNUMBER(G268))),"Eksik efor",F268*G268))</x:f>
      </x:c>
      <x:c r="I268" s="2" t="n">
        <x:f>IF(OR(B268="",C268="",A268="",A268&gt;'Panel'!$N$5),0,IF(COUNTIFS($B$7:B268,B268,$C$7:C268,C268,$A$7:A268,"&lt;="&amp;'Panel'!$N$5)=1,1,0))</x:f>
        <x:v>0</x:v>
      </x:c>
      <x:c r="J268" s="2" t="n">
        <x:f>IF(OR(B268="",C268="",A268="",A268&gt;'Panel'!$N$5,A268&lt;'Panel'!$N$5-WEEKDAY('Panel'!$N$5,2)+1),0,IF(COUNTIFS($B$7:B268,B268,$C$7:C268,C268,$A$7:A268,"&gt;="&amp;('Panel'!$N$5-WEEKDAY('Panel'!$N$5,2)+1),$A$7:A268,"&lt;="&amp;'Panel'!$N$5)=1,1,0))</x:f>
        <x:v>0</x:v>
      </x:c>
    </x:row>
    <x:row r="269" ht="22" customHeight="1">
      <x:c r="A269" s="7"/>
      <x:c r="B269" s="6"/>
      <x:c r="C269" s="6"/>
      <x:c r="D269" s="6"/>
      <x:c r="E269" s="6"/>
      <x:c r="F269" s="17"/>
      <x:c r="G269" s="13"/>
      <x:c r="H269" s="14" t="str">
        <x:f>IF(B269="","",IF(OR(A269="",C269="",NOT(ISNUMBER(F269)),NOT(ISNUMBER(G269))),"Eksik efor",F269*G269))</x:f>
      </x:c>
      <x:c r="I269" s="2" t="n">
        <x:f>IF(OR(B269="",C269="",A269="",A269&gt;'Panel'!$N$5),0,IF(COUNTIFS($B$7:B269,B269,$C$7:C269,C269,$A$7:A269,"&lt;="&amp;'Panel'!$N$5)=1,1,0))</x:f>
        <x:v>0</x:v>
      </x:c>
      <x:c r="J269" s="2" t="n">
        <x:f>IF(OR(B269="",C269="",A269="",A269&gt;'Panel'!$N$5,A269&lt;'Panel'!$N$5-WEEKDAY('Panel'!$N$5,2)+1),0,IF(COUNTIFS($B$7:B269,B269,$C$7:C269,C269,$A$7:A269,"&gt;="&amp;('Panel'!$N$5-WEEKDAY('Panel'!$N$5,2)+1),$A$7:A269,"&lt;="&amp;'Panel'!$N$5)=1,1,0))</x:f>
        <x:v>0</x:v>
      </x:c>
    </x:row>
    <x:row r="270" ht="22" customHeight="1">
      <x:c r="A270" s="7"/>
      <x:c r="B270" s="6"/>
      <x:c r="C270" s="6"/>
      <x:c r="D270" s="6"/>
      <x:c r="E270" s="6"/>
      <x:c r="F270" s="17"/>
      <x:c r="G270" s="13"/>
      <x:c r="H270" s="14" t="str">
        <x:f>IF(B270="","",IF(OR(A270="",C270="",NOT(ISNUMBER(F270)),NOT(ISNUMBER(G270))),"Eksik efor",F270*G270))</x:f>
      </x:c>
      <x:c r="I270" s="2" t="n">
        <x:f>IF(OR(B270="",C270="",A270="",A270&gt;'Panel'!$N$5),0,IF(COUNTIFS($B$7:B270,B270,$C$7:C270,C270,$A$7:A270,"&lt;="&amp;'Panel'!$N$5)=1,1,0))</x:f>
        <x:v>0</x:v>
      </x:c>
      <x:c r="J270" s="2" t="n">
        <x:f>IF(OR(B270="",C270="",A270="",A270&gt;'Panel'!$N$5,A270&lt;'Panel'!$N$5-WEEKDAY('Panel'!$N$5,2)+1),0,IF(COUNTIFS($B$7:B270,B270,$C$7:C270,C270,$A$7:A270,"&gt;="&amp;('Panel'!$N$5-WEEKDAY('Panel'!$N$5,2)+1),$A$7:A270,"&lt;="&amp;'Panel'!$N$5)=1,1,0))</x:f>
        <x:v>0</x:v>
      </x:c>
    </x:row>
    <x:row r="271" ht="22" customHeight="1">
      <x:c r="A271" s="7"/>
      <x:c r="B271" s="6"/>
      <x:c r="C271" s="6"/>
      <x:c r="D271" s="6"/>
      <x:c r="E271" s="6"/>
      <x:c r="F271" s="17"/>
      <x:c r="G271" s="13"/>
      <x:c r="H271" s="14" t="str">
        <x:f>IF(B271="","",IF(OR(A271="",C271="",NOT(ISNUMBER(F271)),NOT(ISNUMBER(G271))),"Eksik efor",F271*G271))</x:f>
      </x:c>
      <x:c r="I271" s="2" t="n">
        <x:f>IF(OR(B271="",C271="",A271="",A271&gt;'Panel'!$N$5),0,IF(COUNTIFS($B$7:B271,B271,$C$7:C271,C271,$A$7:A271,"&lt;="&amp;'Panel'!$N$5)=1,1,0))</x:f>
        <x:v>0</x:v>
      </x:c>
      <x:c r="J271" s="2" t="n">
        <x:f>IF(OR(B271="",C271="",A271="",A271&gt;'Panel'!$N$5,A271&lt;'Panel'!$N$5-WEEKDAY('Panel'!$N$5,2)+1),0,IF(COUNTIFS($B$7:B271,B271,$C$7:C271,C271,$A$7:A271,"&gt;="&amp;('Panel'!$N$5-WEEKDAY('Panel'!$N$5,2)+1),$A$7:A271,"&lt;="&amp;'Panel'!$N$5)=1,1,0))</x:f>
        <x:v>0</x:v>
      </x:c>
    </x:row>
    <x:row r="272" ht="22" customHeight="1">
      <x:c r="A272" s="7"/>
      <x:c r="B272" s="6"/>
      <x:c r="C272" s="6"/>
      <x:c r="D272" s="6"/>
      <x:c r="E272" s="6"/>
      <x:c r="F272" s="17"/>
      <x:c r="G272" s="13"/>
      <x:c r="H272" s="14" t="str">
        <x:f>IF(B272="","",IF(OR(A272="",C272="",NOT(ISNUMBER(F272)),NOT(ISNUMBER(G272))),"Eksik efor",F272*G272))</x:f>
      </x:c>
      <x:c r="I272" s="2" t="n">
        <x:f>IF(OR(B272="",C272="",A272="",A272&gt;'Panel'!$N$5),0,IF(COUNTIFS($B$7:B272,B272,$C$7:C272,C272,$A$7:A272,"&lt;="&amp;'Panel'!$N$5)=1,1,0))</x:f>
        <x:v>0</x:v>
      </x:c>
      <x:c r="J272" s="2" t="n">
        <x:f>IF(OR(B272="",C272="",A272="",A272&gt;'Panel'!$N$5,A272&lt;'Panel'!$N$5-WEEKDAY('Panel'!$N$5,2)+1),0,IF(COUNTIFS($B$7:B272,B272,$C$7:C272,C272,$A$7:A272,"&gt;="&amp;('Panel'!$N$5-WEEKDAY('Panel'!$N$5,2)+1),$A$7:A272,"&lt;="&amp;'Panel'!$N$5)=1,1,0))</x:f>
        <x:v>0</x:v>
      </x:c>
    </x:row>
    <x:row r="273" ht="22" customHeight="1">
      <x:c r="A273" s="7"/>
      <x:c r="B273" s="6"/>
      <x:c r="C273" s="6"/>
      <x:c r="D273" s="6"/>
      <x:c r="E273" s="6"/>
      <x:c r="F273" s="17"/>
      <x:c r="G273" s="13"/>
      <x:c r="H273" s="14" t="str">
        <x:f>IF(B273="","",IF(OR(A273="",C273="",NOT(ISNUMBER(F273)),NOT(ISNUMBER(G273))),"Eksik efor",F273*G273))</x:f>
      </x:c>
      <x:c r="I273" s="2" t="n">
        <x:f>IF(OR(B273="",C273="",A273="",A273&gt;'Panel'!$N$5),0,IF(COUNTIFS($B$7:B273,B273,$C$7:C273,C273,$A$7:A273,"&lt;="&amp;'Panel'!$N$5)=1,1,0))</x:f>
        <x:v>0</x:v>
      </x:c>
      <x:c r="J273" s="2" t="n">
        <x:f>IF(OR(B273="",C273="",A273="",A273&gt;'Panel'!$N$5,A273&lt;'Panel'!$N$5-WEEKDAY('Panel'!$N$5,2)+1),0,IF(COUNTIFS($B$7:B273,B273,$C$7:C273,C273,$A$7:A273,"&gt;="&amp;('Panel'!$N$5-WEEKDAY('Panel'!$N$5,2)+1),$A$7:A273,"&lt;="&amp;'Panel'!$N$5)=1,1,0))</x:f>
        <x:v>0</x:v>
      </x:c>
    </x:row>
    <x:row r="274" ht="22" customHeight="1">
      <x:c r="A274" s="7"/>
      <x:c r="B274" s="6"/>
      <x:c r="C274" s="6"/>
      <x:c r="D274" s="6"/>
      <x:c r="E274" s="6"/>
      <x:c r="F274" s="17"/>
      <x:c r="G274" s="13"/>
      <x:c r="H274" s="14" t="str">
        <x:f>IF(B274="","",IF(OR(A274="",C274="",NOT(ISNUMBER(F274)),NOT(ISNUMBER(G274))),"Eksik efor",F274*G274))</x:f>
      </x:c>
      <x:c r="I274" s="2" t="n">
        <x:f>IF(OR(B274="",C274="",A274="",A274&gt;'Panel'!$N$5),0,IF(COUNTIFS($B$7:B274,B274,$C$7:C274,C274,$A$7:A274,"&lt;="&amp;'Panel'!$N$5)=1,1,0))</x:f>
        <x:v>0</x:v>
      </x:c>
      <x:c r="J274" s="2" t="n">
        <x:f>IF(OR(B274="",C274="",A274="",A274&gt;'Panel'!$N$5,A274&lt;'Panel'!$N$5-WEEKDAY('Panel'!$N$5,2)+1),0,IF(COUNTIFS($B$7:B274,B274,$C$7:C274,C274,$A$7:A274,"&gt;="&amp;('Panel'!$N$5-WEEKDAY('Panel'!$N$5,2)+1),$A$7:A274,"&lt;="&amp;'Panel'!$N$5)=1,1,0))</x:f>
        <x:v>0</x:v>
      </x:c>
    </x:row>
    <x:row r="275" ht="22" customHeight="1">
      <x:c r="A275" s="7"/>
      <x:c r="B275" s="6"/>
      <x:c r="C275" s="6"/>
      <x:c r="D275" s="6"/>
      <x:c r="E275" s="6"/>
      <x:c r="F275" s="17"/>
      <x:c r="G275" s="13"/>
      <x:c r="H275" s="14" t="str">
        <x:f>IF(B275="","",IF(OR(A275="",C275="",NOT(ISNUMBER(F275)),NOT(ISNUMBER(G275))),"Eksik efor",F275*G275))</x:f>
      </x:c>
      <x:c r="I275" s="2" t="n">
        <x:f>IF(OR(B275="",C275="",A275="",A275&gt;'Panel'!$N$5),0,IF(COUNTIFS($B$7:B275,B275,$C$7:C275,C275,$A$7:A275,"&lt;="&amp;'Panel'!$N$5)=1,1,0))</x:f>
        <x:v>0</x:v>
      </x:c>
      <x:c r="J275" s="2" t="n">
        <x:f>IF(OR(B275="",C275="",A275="",A275&gt;'Panel'!$N$5,A275&lt;'Panel'!$N$5-WEEKDAY('Panel'!$N$5,2)+1),0,IF(COUNTIFS($B$7:B275,B275,$C$7:C275,C275,$A$7:A275,"&gt;="&amp;('Panel'!$N$5-WEEKDAY('Panel'!$N$5,2)+1),$A$7:A275,"&lt;="&amp;'Panel'!$N$5)=1,1,0))</x:f>
        <x:v>0</x:v>
      </x:c>
    </x:row>
    <x:row r="276" ht="22" customHeight="1">
      <x:c r="A276" s="7"/>
      <x:c r="B276" s="6"/>
      <x:c r="C276" s="6"/>
      <x:c r="D276" s="6"/>
      <x:c r="E276" s="6"/>
      <x:c r="F276" s="17"/>
      <x:c r="G276" s="13"/>
      <x:c r="H276" s="14" t="str">
        <x:f>IF(B276="","",IF(OR(A276="",C276="",NOT(ISNUMBER(F276)),NOT(ISNUMBER(G276))),"Eksik efor",F276*G276))</x:f>
      </x:c>
      <x:c r="I276" s="2" t="n">
        <x:f>IF(OR(B276="",C276="",A276="",A276&gt;'Panel'!$N$5),0,IF(COUNTIFS($B$7:B276,B276,$C$7:C276,C276,$A$7:A276,"&lt;="&amp;'Panel'!$N$5)=1,1,0))</x:f>
        <x:v>0</x:v>
      </x:c>
      <x:c r="J276" s="2" t="n">
        <x:f>IF(OR(B276="",C276="",A276="",A276&gt;'Panel'!$N$5,A276&lt;'Panel'!$N$5-WEEKDAY('Panel'!$N$5,2)+1),0,IF(COUNTIFS($B$7:B276,B276,$C$7:C276,C276,$A$7:A276,"&gt;="&amp;('Panel'!$N$5-WEEKDAY('Panel'!$N$5,2)+1),$A$7:A276,"&lt;="&amp;'Panel'!$N$5)=1,1,0))</x:f>
        <x:v>0</x:v>
      </x:c>
    </x:row>
    <x:row r="277" ht="22" customHeight="1">
      <x:c r="A277" s="7"/>
      <x:c r="B277" s="6"/>
      <x:c r="C277" s="6"/>
      <x:c r="D277" s="6"/>
      <x:c r="E277" s="6"/>
      <x:c r="F277" s="17"/>
      <x:c r="G277" s="13"/>
      <x:c r="H277" s="14" t="str">
        <x:f>IF(B277="","",IF(OR(A277="",C277="",NOT(ISNUMBER(F277)),NOT(ISNUMBER(G277))),"Eksik efor",F277*G277))</x:f>
      </x:c>
      <x:c r="I277" s="2" t="n">
        <x:f>IF(OR(B277="",C277="",A277="",A277&gt;'Panel'!$N$5),0,IF(COUNTIFS($B$7:B277,B277,$C$7:C277,C277,$A$7:A277,"&lt;="&amp;'Panel'!$N$5)=1,1,0))</x:f>
        <x:v>0</x:v>
      </x:c>
      <x:c r="J277" s="2" t="n">
        <x:f>IF(OR(B277="",C277="",A277="",A277&gt;'Panel'!$N$5,A277&lt;'Panel'!$N$5-WEEKDAY('Panel'!$N$5,2)+1),0,IF(COUNTIFS($B$7:B277,B277,$C$7:C277,C277,$A$7:A277,"&gt;="&amp;('Panel'!$N$5-WEEKDAY('Panel'!$N$5,2)+1),$A$7:A277,"&lt;="&amp;'Panel'!$N$5)=1,1,0))</x:f>
        <x:v>0</x:v>
      </x:c>
    </x:row>
    <x:row r="278" ht="22" customHeight="1">
      <x:c r="A278" s="7"/>
      <x:c r="B278" s="6"/>
      <x:c r="C278" s="6"/>
      <x:c r="D278" s="6"/>
      <x:c r="E278" s="6"/>
      <x:c r="F278" s="17"/>
      <x:c r="G278" s="13"/>
      <x:c r="H278" s="14" t="str">
        <x:f>IF(B278="","",IF(OR(A278="",C278="",NOT(ISNUMBER(F278)),NOT(ISNUMBER(G278))),"Eksik efor",F278*G278))</x:f>
      </x:c>
      <x:c r="I278" s="2" t="n">
        <x:f>IF(OR(B278="",C278="",A278="",A278&gt;'Panel'!$N$5),0,IF(COUNTIFS($B$7:B278,B278,$C$7:C278,C278,$A$7:A278,"&lt;="&amp;'Panel'!$N$5)=1,1,0))</x:f>
        <x:v>0</x:v>
      </x:c>
      <x:c r="J278" s="2" t="n">
        <x:f>IF(OR(B278="",C278="",A278="",A278&gt;'Panel'!$N$5,A278&lt;'Panel'!$N$5-WEEKDAY('Panel'!$N$5,2)+1),0,IF(COUNTIFS($B$7:B278,B278,$C$7:C278,C278,$A$7:A278,"&gt;="&amp;('Panel'!$N$5-WEEKDAY('Panel'!$N$5,2)+1),$A$7:A278,"&lt;="&amp;'Panel'!$N$5)=1,1,0))</x:f>
        <x:v>0</x:v>
      </x:c>
    </x:row>
    <x:row r="279" ht="22" customHeight="1">
      <x:c r="A279" s="7"/>
      <x:c r="B279" s="6"/>
      <x:c r="C279" s="6"/>
      <x:c r="D279" s="6"/>
      <x:c r="E279" s="6"/>
      <x:c r="F279" s="17"/>
      <x:c r="G279" s="13"/>
      <x:c r="H279" s="14" t="str">
        <x:f>IF(B279="","",IF(OR(A279="",C279="",NOT(ISNUMBER(F279)),NOT(ISNUMBER(G279))),"Eksik efor",F279*G279))</x:f>
      </x:c>
      <x:c r="I279" s="2" t="n">
        <x:f>IF(OR(B279="",C279="",A279="",A279&gt;'Panel'!$N$5),0,IF(COUNTIFS($B$7:B279,B279,$C$7:C279,C279,$A$7:A279,"&lt;="&amp;'Panel'!$N$5)=1,1,0))</x:f>
        <x:v>0</x:v>
      </x:c>
      <x:c r="J279" s="2" t="n">
        <x:f>IF(OR(B279="",C279="",A279="",A279&gt;'Panel'!$N$5,A279&lt;'Panel'!$N$5-WEEKDAY('Panel'!$N$5,2)+1),0,IF(COUNTIFS($B$7:B279,B279,$C$7:C279,C279,$A$7:A279,"&gt;="&amp;('Panel'!$N$5-WEEKDAY('Panel'!$N$5,2)+1),$A$7:A279,"&lt;="&amp;'Panel'!$N$5)=1,1,0))</x:f>
        <x:v>0</x:v>
      </x:c>
    </x:row>
    <x:row r="280" ht="22" customHeight="1">
      <x:c r="A280" s="7"/>
      <x:c r="B280" s="6"/>
      <x:c r="C280" s="6"/>
      <x:c r="D280" s="6"/>
      <x:c r="E280" s="6"/>
      <x:c r="F280" s="17"/>
      <x:c r="G280" s="13"/>
      <x:c r="H280" s="14" t="str">
        <x:f>IF(B280="","",IF(OR(A280="",C280="",NOT(ISNUMBER(F280)),NOT(ISNUMBER(G280))),"Eksik efor",F280*G280))</x:f>
      </x:c>
      <x:c r="I280" s="2" t="n">
        <x:f>IF(OR(B280="",C280="",A280="",A280&gt;'Panel'!$N$5),0,IF(COUNTIFS($B$7:B280,B280,$C$7:C280,C280,$A$7:A280,"&lt;="&amp;'Panel'!$N$5)=1,1,0))</x:f>
        <x:v>0</x:v>
      </x:c>
      <x:c r="J280" s="2" t="n">
        <x:f>IF(OR(B280="",C280="",A280="",A280&gt;'Panel'!$N$5,A280&lt;'Panel'!$N$5-WEEKDAY('Panel'!$N$5,2)+1),0,IF(COUNTIFS($B$7:B280,B280,$C$7:C280,C280,$A$7:A280,"&gt;="&amp;('Panel'!$N$5-WEEKDAY('Panel'!$N$5,2)+1),$A$7:A280,"&lt;="&amp;'Panel'!$N$5)=1,1,0))</x:f>
        <x:v>0</x:v>
      </x:c>
    </x:row>
    <x:row r="281" ht="22" customHeight="1">
      <x:c r="A281" s="7"/>
      <x:c r="B281" s="6"/>
      <x:c r="C281" s="6"/>
      <x:c r="D281" s="6"/>
      <x:c r="E281" s="6"/>
      <x:c r="F281" s="17"/>
      <x:c r="G281" s="13"/>
      <x:c r="H281" s="14" t="str">
        <x:f>IF(B281="","",IF(OR(A281="",C281="",NOT(ISNUMBER(F281)),NOT(ISNUMBER(G281))),"Eksik efor",F281*G281))</x:f>
      </x:c>
      <x:c r="I281" s="2" t="n">
        <x:f>IF(OR(B281="",C281="",A281="",A281&gt;'Panel'!$N$5),0,IF(COUNTIFS($B$7:B281,B281,$C$7:C281,C281,$A$7:A281,"&lt;="&amp;'Panel'!$N$5)=1,1,0))</x:f>
        <x:v>0</x:v>
      </x:c>
      <x:c r="J281" s="2" t="n">
        <x:f>IF(OR(B281="",C281="",A281="",A281&gt;'Panel'!$N$5,A281&lt;'Panel'!$N$5-WEEKDAY('Panel'!$N$5,2)+1),0,IF(COUNTIFS($B$7:B281,B281,$C$7:C281,C281,$A$7:A281,"&gt;="&amp;('Panel'!$N$5-WEEKDAY('Panel'!$N$5,2)+1),$A$7:A281,"&lt;="&amp;'Panel'!$N$5)=1,1,0))</x:f>
        <x:v>0</x:v>
      </x:c>
    </x:row>
    <x:row r="282" ht="22" customHeight="1">
      <x:c r="A282" s="7"/>
      <x:c r="B282" s="6"/>
      <x:c r="C282" s="6"/>
      <x:c r="D282" s="6"/>
      <x:c r="E282" s="6"/>
      <x:c r="F282" s="17"/>
      <x:c r="G282" s="13"/>
      <x:c r="H282" s="14" t="str">
        <x:f>IF(B282="","",IF(OR(A282="",C282="",NOT(ISNUMBER(F282)),NOT(ISNUMBER(G282))),"Eksik efor",F282*G282))</x:f>
      </x:c>
      <x:c r="I282" s="2" t="n">
        <x:f>IF(OR(B282="",C282="",A282="",A282&gt;'Panel'!$N$5),0,IF(COUNTIFS($B$7:B282,B282,$C$7:C282,C282,$A$7:A282,"&lt;="&amp;'Panel'!$N$5)=1,1,0))</x:f>
        <x:v>0</x:v>
      </x:c>
      <x:c r="J282" s="2" t="n">
        <x:f>IF(OR(B282="",C282="",A282="",A282&gt;'Panel'!$N$5,A282&lt;'Panel'!$N$5-WEEKDAY('Panel'!$N$5,2)+1),0,IF(COUNTIFS($B$7:B282,B282,$C$7:C282,C282,$A$7:A282,"&gt;="&amp;('Panel'!$N$5-WEEKDAY('Panel'!$N$5,2)+1),$A$7:A282,"&lt;="&amp;'Panel'!$N$5)=1,1,0))</x:f>
        <x:v>0</x:v>
      </x:c>
    </x:row>
    <x:row r="283" ht="22" customHeight="1">
      <x:c r="A283" s="7"/>
      <x:c r="B283" s="6"/>
      <x:c r="C283" s="6"/>
      <x:c r="D283" s="6"/>
      <x:c r="E283" s="6"/>
      <x:c r="F283" s="17"/>
      <x:c r="G283" s="13"/>
      <x:c r="H283" s="14" t="str">
        <x:f>IF(B283="","",IF(OR(A283="",C283="",NOT(ISNUMBER(F283)),NOT(ISNUMBER(G283))),"Eksik efor",F283*G283))</x:f>
      </x:c>
      <x:c r="I283" s="2" t="n">
        <x:f>IF(OR(B283="",C283="",A283="",A283&gt;'Panel'!$N$5),0,IF(COUNTIFS($B$7:B283,B283,$C$7:C283,C283,$A$7:A283,"&lt;="&amp;'Panel'!$N$5)=1,1,0))</x:f>
        <x:v>0</x:v>
      </x:c>
      <x:c r="J283" s="2" t="n">
        <x:f>IF(OR(B283="",C283="",A283="",A283&gt;'Panel'!$N$5,A283&lt;'Panel'!$N$5-WEEKDAY('Panel'!$N$5,2)+1),0,IF(COUNTIFS($B$7:B283,B283,$C$7:C283,C283,$A$7:A283,"&gt;="&amp;('Panel'!$N$5-WEEKDAY('Panel'!$N$5,2)+1),$A$7:A283,"&lt;="&amp;'Panel'!$N$5)=1,1,0))</x:f>
        <x:v>0</x:v>
      </x:c>
    </x:row>
    <x:row r="284" ht="22" customHeight="1">
      <x:c r="A284" s="7"/>
      <x:c r="B284" s="6"/>
      <x:c r="C284" s="6"/>
      <x:c r="D284" s="6"/>
      <x:c r="E284" s="6"/>
      <x:c r="F284" s="17"/>
      <x:c r="G284" s="13"/>
      <x:c r="H284" s="14" t="str">
        <x:f>IF(B284="","",IF(OR(A284="",C284="",NOT(ISNUMBER(F284)),NOT(ISNUMBER(G284))),"Eksik efor",F284*G284))</x:f>
      </x:c>
      <x:c r="I284" s="2" t="n">
        <x:f>IF(OR(B284="",C284="",A284="",A284&gt;'Panel'!$N$5),0,IF(COUNTIFS($B$7:B284,B284,$C$7:C284,C284,$A$7:A284,"&lt;="&amp;'Panel'!$N$5)=1,1,0))</x:f>
        <x:v>0</x:v>
      </x:c>
      <x:c r="J284" s="2" t="n">
        <x:f>IF(OR(B284="",C284="",A284="",A284&gt;'Panel'!$N$5,A284&lt;'Panel'!$N$5-WEEKDAY('Panel'!$N$5,2)+1),0,IF(COUNTIFS($B$7:B284,B284,$C$7:C284,C284,$A$7:A284,"&gt;="&amp;('Panel'!$N$5-WEEKDAY('Panel'!$N$5,2)+1),$A$7:A284,"&lt;="&amp;'Panel'!$N$5)=1,1,0))</x:f>
        <x:v>0</x:v>
      </x:c>
    </x:row>
    <x:row r="285" ht="22" customHeight="1">
      <x:c r="A285" s="7"/>
      <x:c r="B285" s="6"/>
      <x:c r="C285" s="6"/>
      <x:c r="D285" s="6"/>
      <x:c r="E285" s="6"/>
      <x:c r="F285" s="17"/>
      <x:c r="G285" s="13"/>
      <x:c r="H285" s="14" t="str">
        <x:f>IF(B285="","",IF(OR(A285="",C285="",NOT(ISNUMBER(F285)),NOT(ISNUMBER(G285))),"Eksik efor",F285*G285))</x:f>
      </x:c>
      <x:c r="I285" s="2" t="n">
        <x:f>IF(OR(B285="",C285="",A285="",A285&gt;'Panel'!$N$5),0,IF(COUNTIFS($B$7:B285,B285,$C$7:C285,C285,$A$7:A285,"&lt;="&amp;'Panel'!$N$5)=1,1,0))</x:f>
        <x:v>0</x:v>
      </x:c>
      <x:c r="J285" s="2" t="n">
        <x:f>IF(OR(B285="",C285="",A285="",A285&gt;'Panel'!$N$5,A285&lt;'Panel'!$N$5-WEEKDAY('Panel'!$N$5,2)+1),0,IF(COUNTIFS($B$7:B285,B285,$C$7:C285,C285,$A$7:A285,"&gt;="&amp;('Panel'!$N$5-WEEKDAY('Panel'!$N$5,2)+1),$A$7:A285,"&lt;="&amp;'Panel'!$N$5)=1,1,0))</x:f>
        <x:v>0</x:v>
      </x:c>
    </x:row>
    <x:row r="286" ht="22" customHeight="1">
      <x:c r="A286" s="7"/>
      <x:c r="B286" s="6"/>
      <x:c r="C286" s="6"/>
      <x:c r="D286" s="6"/>
      <x:c r="E286" s="6"/>
      <x:c r="F286" s="17"/>
      <x:c r="G286" s="13"/>
      <x:c r="H286" s="14" t="str">
        <x:f>IF(B286="","",IF(OR(A286="",C286="",NOT(ISNUMBER(F286)),NOT(ISNUMBER(G286))),"Eksik efor",F286*G286))</x:f>
      </x:c>
      <x:c r="I286" s="2" t="n">
        <x:f>IF(OR(B286="",C286="",A286="",A286&gt;'Panel'!$N$5),0,IF(COUNTIFS($B$7:B286,B286,$C$7:C286,C286,$A$7:A286,"&lt;="&amp;'Panel'!$N$5)=1,1,0))</x:f>
        <x:v>0</x:v>
      </x:c>
      <x:c r="J286" s="2" t="n">
        <x:f>IF(OR(B286="",C286="",A286="",A286&gt;'Panel'!$N$5,A286&lt;'Panel'!$N$5-WEEKDAY('Panel'!$N$5,2)+1),0,IF(COUNTIFS($B$7:B286,B286,$C$7:C286,C286,$A$7:A286,"&gt;="&amp;('Panel'!$N$5-WEEKDAY('Panel'!$N$5,2)+1),$A$7:A286,"&lt;="&amp;'Panel'!$N$5)=1,1,0))</x:f>
        <x:v>0</x:v>
      </x:c>
    </x:row>
    <x:row r="287" ht="22" customHeight="1">
      <x:c r="A287" s="7"/>
      <x:c r="B287" s="6"/>
      <x:c r="C287" s="6"/>
      <x:c r="D287" s="6"/>
      <x:c r="E287" s="6"/>
      <x:c r="F287" s="17"/>
      <x:c r="G287" s="13"/>
      <x:c r="H287" s="14" t="str">
        <x:f>IF(B287="","",IF(OR(A287="",C287="",NOT(ISNUMBER(F287)),NOT(ISNUMBER(G287))),"Eksik efor",F287*G287))</x:f>
      </x:c>
      <x:c r="I287" s="2" t="n">
        <x:f>IF(OR(B287="",C287="",A287="",A287&gt;'Panel'!$N$5),0,IF(COUNTIFS($B$7:B287,B287,$C$7:C287,C287,$A$7:A287,"&lt;="&amp;'Panel'!$N$5)=1,1,0))</x:f>
        <x:v>0</x:v>
      </x:c>
      <x:c r="J287" s="2" t="n">
        <x:f>IF(OR(B287="",C287="",A287="",A287&gt;'Panel'!$N$5,A287&lt;'Panel'!$N$5-WEEKDAY('Panel'!$N$5,2)+1),0,IF(COUNTIFS($B$7:B287,B287,$C$7:C287,C287,$A$7:A287,"&gt;="&amp;('Panel'!$N$5-WEEKDAY('Panel'!$N$5,2)+1),$A$7:A287,"&lt;="&amp;'Panel'!$N$5)=1,1,0))</x:f>
        <x:v>0</x:v>
      </x:c>
    </x:row>
    <x:row r="288" ht="22" customHeight="1">
      <x:c r="A288" s="7"/>
      <x:c r="B288" s="6"/>
      <x:c r="C288" s="6"/>
      <x:c r="D288" s="6"/>
      <x:c r="E288" s="6"/>
      <x:c r="F288" s="17"/>
      <x:c r="G288" s="13"/>
      <x:c r="H288" s="14" t="str">
        <x:f>IF(B288="","",IF(OR(A288="",C288="",NOT(ISNUMBER(F288)),NOT(ISNUMBER(G288))),"Eksik efor",F288*G288))</x:f>
      </x:c>
      <x:c r="I288" s="2" t="n">
        <x:f>IF(OR(B288="",C288="",A288="",A288&gt;'Panel'!$N$5),0,IF(COUNTIFS($B$7:B288,B288,$C$7:C288,C288,$A$7:A288,"&lt;="&amp;'Panel'!$N$5)=1,1,0))</x:f>
        <x:v>0</x:v>
      </x:c>
      <x:c r="J288" s="2" t="n">
        <x:f>IF(OR(B288="",C288="",A288="",A288&gt;'Panel'!$N$5,A288&lt;'Panel'!$N$5-WEEKDAY('Panel'!$N$5,2)+1),0,IF(COUNTIFS($B$7:B288,B288,$C$7:C288,C288,$A$7:A288,"&gt;="&amp;('Panel'!$N$5-WEEKDAY('Panel'!$N$5,2)+1),$A$7:A288,"&lt;="&amp;'Panel'!$N$5)=1,1,0))</x:f>
        <x:v>0</x:v>
      </x:c>
    </x:row>
    <x:row r="289" ht="22" customHeight="1">
      <x:c r="A289" s="7"/>
      <x:c r="B289" s="6"/>
      <x:c r="C289" s="6"/>
      <x:c r="D289" s="6"/>
      <x:c r="E289" s="6"/>
      <x:c r="F289" s="17"/>
      <x:c r="G289" s="13"/>
      <x:c r="H289" s="14" t="str">
        <x:f>IF(B289="","",IF(OR(A289="",C289="",NOT(ISNUMBER(F289)),NOT(ISNUMBER(G289))),"Eksik efor",F289*G289))</x:f>
      </x:c>
      <x:c r="I289" s="2" t="n">
        <x:f>IF(OR(B289="",C289="",A289="",A289&gt;'Panel'!$N$5),0,IF(COUNTIFS($B$7:B289,B289,$C$7:C289,C289,$A$7:A289,"&lt;="&amp;'Panel'!$N$5)=1,1,0))</x:f>
        <x:v>0</x:v>
      </x:c>
      <x:c r="J289" s="2" t="n">
        <x:f>IF(OR(B289="",C289="",A289="",A289&gt;'Panel'!$N$5,A289&lt;'Panel'!$N$5-WEEKDAY('Panel'!$N$5,2)+1),0,IF(COUNTIFS($B$7:B289,B289,$C$7:C289,C289,$A$7:A289,"&gt;="&amp;('Panel'!$N$5-WEEKDAY('Panel'!$N$5,2)+1),$A$7:A289,"&lt;="&amp;'Panel'!$N$5)=1,1,0))</x:f>
        <x:v>0</x:v>
      </x:c>
    </x:row>
    <x:row r="290" ht="22" customHeight="1">
      <x:c r="A290" s="7"/>
      <x:c r="B290" s="6"/>
      <x:c r="C290" s="6"/>
      <x:c r="D290" s="6"/>
      <x:c r="E290" s="6"/>
      <x:c r="F290" s="17"/>
      <x:c r="G290" s="13"/>
      <x:c r="H290" s="14" t="str">
        <x:f>IF(B290="","",IF(OR(A290="",C290="",NOT(ISNUMBER(F290)),NOT(ISNUMBER(G290))),"Eksik efor",F290*G290))</x:f>
      </x:c>
      <x:c r="I290" s="2" t="n">
        <x:f>IF(OR(B290="",C290="",A290="",A290&gt;'Panel'!$N$5),0,IF(COUNTIFS($B$7:B290,B290,$C$7:C290,C290,$A$7:A290,"&lt;="&amp;'Panel'!$N$5)=1,1,0))</x:f>
        <x:v>0</x:v>
      </x:c>
      <x:c r="J290" s="2" t="n">
        <x:f>IF(OR(B290="",C290="",A290="",A290&gt;'Panel'!$N$5,A290&lt;'Panel'!$N$5-WEEKDAY('Panel'!$N$5,2)+1),0,IF(COUNTIFS($B$7:B290,B290,$C$7:C290,C290,$A$7:A290,"&gt;="&amp;('Panel'!$N$5-WEEKDAY('Panel'!$N$5,2)+1),$A$7:A290,"&lt;="&amp;'Panel'!$N$5)=1,1,0))</x:f>
        <x:v>0</x:v>
      </x:c>
    </x:row>
    <x:row r="291" ht="22" customHeight="1">
      <x:c r="A291" s="7"/>
      <x:c r="B291" s="6"/>
      <x:c r="C291" s="6"/>
      <x:c r="D291" s="6"/>
      <x:c r="E291" s="6"/>
      <x:c r="F291" s="17"/>
      <x:c r="G291" s="13"/>
      <x:c r="H291" s="14" t="str">
        <x:f>IF(B291="","",IF(OR(A291="",C291="",NOT(ISNUMBER(F291)),NOT(ISNUMBER(G291))),"Eksik efor",F291*G291))</x:f>
      </x:c>
      <x:c r="I291" s="2" t="n">
        <x:f>IF(OR(B291="",C291="",A291="",A291&gt;'Panel'!$N$5),0,IF(COUNTIFS($B$7:B291,B291,$C$7:C291,C291,$A$7:A291,"&lt;="&amp;'Panel'!$N$5)=1,1,0))</x:f>
        <x:v>0</x:v>
      </x:c>
      <x:c r="J291" s="2" t="n">
        <x:f>IF(OR(B291="",C291="",A291="",A291&gt;'Panel'!$N$5,A291&lt;'Panel'!$N$5-WEEKDAY('Panel'!$N$5,2)+1),0,IF(COUNTIFS($B$7:B291,B291,$C$7:C291,C291,$A$7:A291,"&gt;="&amp;('Panel'!$N$5-WEEKDAY('Panel'!$N$5,2)+1),$A$7:A291,"&lt;="&amp;'Panel'!$N$5)=1,1,0))</x:f>
        <x:v>0</x:v>
      </x:c>
    </x:row>
    <x:row r="292" ht="22" customHeight="1">
      <x:c r="A292" s="7"/>
      <x:c r="B292" s="6"/>
      <x:c r="C292" s="6"/>
      <x:c r="D292" s="6"/>
      <x:c r="E292" s="6"/>
      <x:c r="F292" s="17"/>
      <x:c r="G292" s="13"/>
      <x:c r="H292" s="14" t="str">
        <x:f>IF(B292="","",IF(OR(A292="",C292="",NOT(ISNUMBER(F292)),NOT(ISNUMBER(G292))),"Eksik efor",F292*G292))</x:f>
      </x:c>
      <x:c r="I292" s="2" t="n">
        <x:f>IF(OR(B292="",C292="",A292="",A292&gt;'Panel'!$N$5),0,IF(COUNTIFS($B$7:B292,B292,$C$7:C292,C292,$A$7:A292,"&lt;="&amp;'Panel'!$N$5)=1,1,0))</x:f>
        <x:v>0</x:v>
      </x:c>
      <x:c r="J292" s="2" t="n">
        <x:f>IF(OR(B292="",C292="",A292="",A292&gt;'Panel'!$N$5,A292&lt;'Panel'!$N$5-WEEKDAY('Panel'!$N$5,2)+1),0,IF(COUNTIFS($B$7:B292,B292,$C$7:C292,C292,$A$7:A292,"&gt;="&amp;('Panel'!$N$5-WEEKDAY('Panel'!$N$5,2)+1),$A$7:A292,"&lt;="&amp;'Panel'!$N$5)=1,1,0))</x:f>
        <x:v>0</x:v>
      </x:c>
    </x:row>
    <x:row r="293" ht="22" customHeight="1">
      <x:c r="A293" s="7"/>
      <x:c r="B293" s="6"/>
      <x:c r="C293" s="6"/>
      <x:c r="D293" s="6"/>
      <x:c r="E293" s="6"/>
      <x:c r="F293" s="17"/>
      <x:c r="G293" s="13"/>
      <x:c r="H293" s="14" t="str">
        <x:f>IF(B293="","",IF(OR(A293="",C293="",NOT(ISNUMBER(F293)),NOT(ISNUMBER(G293))),"Eksik efor",F293*G293))</x:f>
      </x:c>
      <x:c r="I293" s="2" t="n">
        <x:f>IF(OR(B293="",C293="",A293="",A293&gt;'Panel'!$N$5),0,IF(COUNTIFS($B$7:B293,B293,$C$7:C293,C293,$A$7:A293,"&lt;="&amp;'Panel'!$N$5)=1,1,0))</x:f>
        <x:v>0</x:v>
      </x:c>
      <x:c r="J293" s="2" t="n">
        <x:f>IF(OR(B293="",C293="",A293="",A293&gt;'Panel'!$N$5,A293&lt;'Panel'!$N$5-WEEKDAY('Panel'!$N$5,2)+1),0,IF(COUNTIFS($B$7:B293,B293,$C$7:C293,C293,$A$7:A293,"&gt;="&amp;('Panel'!$N$5-WEEKDAY('Panel'!$N$5,2)+1),$A$7:A293,"&lt;="&amp;'Panel'!$N$5)=1,1,0))</x:f>
        <x:v>0</x:v>
      </x:c>
    </x:row>
    <x:row r="294" ht="22" customHeight="1">
      <x:c r="A294" s="7"/>
      <x:c r="B294" s="6"/>
      <x:c r="C294" s="6"/>
      <x:c r="D294" s="6"/>
      <x:c r="E294" s="6"/>
      <x:c r="F294" s="17"/>
      <x:c r="G294" s="13"/>
      <x:c r="H294" s="14" t="str">
        <x:f>IF(B294="","",IF(OR(A294="",C294="",NOT(ISNUMBER(F294)),NOT(ISNUMBER(G294))),"Eksik efor",F294*G294))</x:f>
      </x:c>
      <x:c r="I294" s="2" t="n">
        <x:f>IF(OR(B294="",C294="",A294="",A294&gt;'Panel'!$N$5),0,IF(COUNTIFS($B$7:B294,B294,$C$7:C294,C294,$A$7:A294,"&lt;="&amp;'Panel'!$N$5)=1,1,0))</x:f>
        <x:v>0</x:v>
      </x:c>
      <x:c r="J294" s="2" t="n">
        <x:f>IF(OR(B294="",C294="",A294="",A294&gt;'Panel'!$N$5,A294&lt;'Panel'!$N$5-WEEKDAY('Panel'!$N$5,2)+1),0,IF(COUNTIFS($B$7:B294,B294,$C$7:C294,C294,$A$7:A294,"&gt;="&amp;('Panel'!$N$5-WEEKDAY('Panel'!$N$5,2)+1),$A$7:A294,"&lt;="&amp;'Panel'!$N$5)=1,1,0))</x:f>
        <x:v>0</x:v>
      </x:c>
    </x:row>
    <x:row r="295" ht="22" customHeight="1">
      <x:c r="A295" s="7"/>
      <x:c r="B295" s="6"/>
      <x:c r="C295" s="6"/>
      <x:c r="D295" s="6"/>
      <x:c r="E295" s="6"/>
      <x:c r="F295" s="17"/>
      <x:c r="G295" s="13"/>
      <x:c r="H295" s="14" t="str">
        <x:f>IF(B295="","",IF(OR(A295="",C295="",NOT(ISNUMBER(F295)),NOT(ISNUMBER(G295))),"Eksik efor",F295*G295))</x:f>
      </x:c>
      <x:c r="I295" s="2" t="n">
        <x:f>IF(OR(B295="",C295="",A295="",A295&gt;'Panel'!$N$5),0,IF(COUNTIFS($B$7:B295,B295,$C$7:C295,C295,$A$7:A295,"&lt;="&amp;'Panel'!$N$5)=1,1,0))</x:f>
        <x:v>0</x:v>
      </x:c>
      <x:c r="J295" s="2" t="n">
        <x:f>IF(OR(B295="",C295="",A295="",A295&gt;'Panel'!$N$5,A295&lt;'Panel'!$N$5-WEEKDAY('Panel'!$N$5,2)+1),0,IF(COUNTIFS($B$7:B295,B295,$C$7:C295,C295,$A$7:A295,"&gt;="&amp;('Panel'!$N$5-WEEKDAY('Panel'!$N$5,2)+1),$A$7:A295,"&lt;="&amp;'Panel'!$N$5)=1,1,0))</x:f>
        <x:v>0</x:v>
      </x:c>
    </x:row>
    <x:row r="296" ht="22" customHeight="1">
      <x:c r="A296" s="7"/>
      <x:c r="B296" s="6"/>
      <x:c r="C296" s="6"/>
      <x:c r="D296" s="6"/>
      <x:c r="E296" s="6"/>
      <x:c r="F296" s="17"/>
      <x:c r="G296" s="13"/>
      <x:c r="H296" s="14" t="str">
        <x:f>IF(B296="","",IF(OR(A296="",C296="",NOT(ISNUMBER(F296)),NOT(ISNUMBER(G296))),"Eksik efor",F296*G296))</x:f>
      </x:c>
      <x:c r="I296" s="2" t="n">
        <x:f>IF(OR(B296="",C296="",A296="",A296&gt;'Panel'!$N$5),0,IF(COUNTIFS($B$7:B296,B296,$C$7:C296,C296,$A$7:A296,"&lt;="&amp;'Panel'!$N$5)=1,1,0))</x:f>
        <x:v>0</x:v>
      </x:c>
      <x:c r="J296" s="2" t="n">
        <x:f>IF(OR(B296="",C296="",A296="",A296&gt;'Panel'!$N$5,A296&lt;'Panel'!$N$5-WEEKDAY('Panel'!$N$5,2)+1),0,IF(COUNTIFS($B$7:B296,B296,$C$7:C296,C296,$A$7:A296,"&gt;="&amp;('Panel'!$N$5-WEEKDAY('Panel'!$N$5,2)+1),$A$7:A296,"&lt;="&amp;'Panel'!$N$5)=1,1,0))</x:f>
        <x:v>0</x:v>
      </x:c>
    </x:row>
    <x:row r="297" ht="22" customHeight="1">
      <x:c r="A297" s="7"/>
      <x:c r="B297" s="6"/>
      <x:c r="C297" s="6"/>
      <x:c r="D297" s="6"/>
      <x:c r="E297" s="6"/>
      <x:c r="F297" s="17"/>
      <x:c r="G297" s="13"/>
      <x:c r="H297" s="14" t="str">
        <x:f>IF(B297="","",IF(OR(A297="",C297="",NOT(ISNUMBER(F297)),NOT(ISNUMBER(G297))),"Eksik efor",F297*G297))</x:f>
      </x:c>
      <x:c r="I297" s="2" t="n">
        <x:f>IF(OR(B297="",C297="",A297="",A297&gt;'Panel'!$N$5),0,IF(COUNTIFS($B$7:B297,B297,$C$7:C297,C297,$A$7:A297,"&lt;="&amp;'Panel'!$N$5)=1,1,0))</x:f>
        <x:v>0</x:v>
      </x:c>
      <x:c r="J297" s="2" t="n">
        <x:f>IF(OR(B297="",C297="",A297="",A297&gt;'Panel'!$N$5,A297&lt;'Panel'!$N$5-WEEKDAY('Panel'!$N$5,2)+1),0,IF(COUNTIFS($B$7:B297,B297,$C$7:C297,C297,$A$7:A297,"&gt;="&amp;('Panel'!$N$5-WEEKDAY('Panel'!$N$5,2)+1),$A$7:A297,"&lt;="&amp;'Panel'!$N$5)=1,1,0))</x:f>
        <x:v>0</x:v>
      </x:c>
    </x:row>
    <x:row r="298" ht="22" customHeight="1">
      <x:c r="A298" s="7"/>
      <x:c r="B298" s="6"/>
      <x:c r="C298" s="6"/>
      <x:c r="D298" s="6"/>
      <x:c r="E298" s="6"/>
      <x:c r="F298" s="17"/>
      <x:c r="G298" s="13"/>
      <x:c r="H298" s="14" t="str">
        <x:f>IF(B298="","",IF(OR(A298="",C298="",NOT(ISNUMBER(F298)),NOT(ISNUMBER(G298))),"Eksik efor",F298*G298))</x:f>
      </x:c>
      <x:c r="I298" s="2" t="n">
        <x:f>IF(OR(B298="",C298="",A298="",A298&gt;'Panel'!$N$5),0,IF(COUNTIFS($B$7:B298,B298,$C$7:C298,C298,$A$7:A298,"&lt;="&amp;'Panel'!$N$5)=1,1,0))</x:f>
        <x:v>0</x:v>
      </x:c>
      <x:c r="J298" s="2" t="n">
        <x:f>IF(OR(B298="",C298="",A298="",A298&gt;'Panel'!$N$5,A298&lt;'Panel'!$N$5-WEEKDAY('Panel'!$N$5,2)+1),0,IF(COUNTIFS($B$7:B298,B298,$C$7:C298,C298,$A$7:A298,"&gt;="&amp;('Panel'!$N$5-WEEKDAY('Panel'!$N$5,2)+1),$A$7:A298,"&lt;="&amp;'Panel'!$N$5)=1,1,0))</x:f>
        <x:v>0</x:v>
      </x:c>
    </x:row>
    <x:row r="299" ht="22" customHeight="1">
      <x:c r="A299" s="7"/>
      <x:c r="B299" s="6"/>
      <x:c r="C299" s="6"/>
      <x:c r="D299" s="6"/>
      <x:c r="E299" s="6"/>
      <x:c r="F299" s="17"/>
      <x:c r="G299" s="13"/>
      <x:c r="H299" s="14" t="str">
        <x:f>IF(B299="","",IF(OR(A299="",C299="",NOT(ISNUMBER(F299)),NOT(ISNUMBER(G299))),"Eksik efor",F299*G299))</x:f>
      </x:c>
      <x:c r="I299" s="2" t="n">
        <x:f>IF(OR(B299="",C299="",A299="",A299&gt;'Panel'!$N$5),0,IF(COUNTIFS($B$7:B299,B299,$C$7:C299,C299,$A$7:A299,"&lt;="&amp;'Panel'!$N$5)=1,1,0))</x:f>
        <x:v>0</x:v>
      </x:c>
      <x:c r="J299" s="2" t="n">
        <x:f>IF(OR(B299="",C299="",A299="",A299&gt;'Panel'!$N$5,A299&lt;'Panel'!$N$5-WEEKDAY('Panel'!$N$5,2)+1),0,IF(COUNTIFS($B$7:B299,B299,$C$7:C299,C299,$A$7:A299,"&gt;="&amp;('Panel'!$N$5-WEEKDAY('Panel'!$N$5,2)+1),$A$7:A299,"&lt;="&amp;'Panel'!$N$5)=1,1,0))</x:f>
        <x:v>0</x:v>
      </x:c>
    </x:row>
    <x:row r="300" ht="22" customHeight="1">
      <x:c r="A300" s="7"/>
      <x:c r="B300" s="6"/>
      <x:c r="C300" s="6"/>
      <x:c r="D300" s="6"/>
      <x:c r="E300" s="6"/>
      <x:c r="F300" s="17"/>
      <x:c r="G300" s="13"/>
      <x:c r="H300" s="14" t="str">
        <x:f>IF(B300="","",IF(OR(A300="",C300="",NOT(ISNUMBER(F300)),NOT(ISNUMBER(G300))),"Eksik efor",F300*G300))</x:f>
      </x:c>
      <x:c r="I300" s="2" t="n">
        <x:f>IF(OR(B300="",C300="",A300="",A300&gt;'Panel'!$N$5),0,IF(COUNTIFS($B$7:B300,B300,$C$7:C300,C300,$A$7:A300,"&lt;="&amp;'Panel'!$N$5)=1,1,0))</x:f>
        <x:v>0</x:v>
      </x:c>
      <x:c r="J300" s="2" t="n">
        <x:f>IF(OR(B300="",C300="",A300="",A300&gt;'Panel'!$N$5,A300&lt;'Panel'!$N$5-WEEKDAY('Panel'!$N$5,2)+1),0,IF(COUNTIFS($B$7:B300,B300,$C$7:C300,C300,$A$7:A300,"&gt;="&amp;('Panel'!$N$5-WEEKDAY('Panel'!$N$5,2)+1),$A$7:A300,"&lt;="&amp;'Panel'!$N$5)=1,1,0))</x:f>
        <x:v>0</x:v>
      </x:c>
    </x:row>
    <x:row r="301" ht="22" customHeight="1">
      <x:c r="A301" s="7"/>
      <x:c r="B301" s="6"/>
      <x:c r="C301" s="6"/>
      <x:c r="D301" s="6"/>
      <x:c r="E301" s="6"/>
      <x:c r="F301" s="17"/>
      <x:c r="G301" s="13"/>
      <x:c r="H301" s="14" t="str">
        <x:f>IF(B301="","",IF(OR(A301="",C301="",NOT(ISNUMBER(F301)),NOT(ISNUMBER(G301))),"Eksik efor",F301*G301))</x:f>
      </x:c>
      <x:c r="I301" s="2" t="n">
        <x:f>IF(OR(B301="",C301="",A301="",A301&gt;'Panel'!$N$5),0,IF(COUNTIFS($B$7:B301,B301,$C$7:C301,C301,$A$7:A301,"&lt;="&amp;'Panel'!$N$5)=1,1,0))</x:f>
        <x:v>0</x:v>
      </x:c>
      <x:c r="J301" s="2" t="n">
        <x:f>IF(OR(B301="",C301="",A301="",A301&gt;'Panel'!$N$5,A301&lt;'Panel'!$N$5-WEEKDAY('Panel'!$N$5,2)+1),0,IF(COUNTIFS($B$7:B301,B301,$C$7:C301,C301,$A$7:A301,"&gt;="&amp;('Panel'!$N$5-WEEKDAY('Panel'!$N$5,2)+1),$A$7:A301,"&lt;="&amp;'Panel'!$N$5)=1,1,0))</x:f>
        <x:v>0</x:v>
      </x:c>
    </x:row>
    <x:row r="302" ht="22" customHeight="1">
      <x:c r="A302" s="7"/>
      <x:c r="B302" s="6"/>
      <x:c r="C302" s="6"/>
      <x:c r="D302" s="6"/>
      <x:c r="E302" s="6"/>
      <x:c r="F302" s="17"/>
      <x:c r="G302" s="13"/>
      <x:c r="H302" s="14" t="str">
        <x:f>IF(B302="","",IF(OR(A302="",C302="",NOT(ISNUMBER(F302)),NOT(ISNUMBER(G302))),"Eksik efor",F302*G302))</x:f>
      </x:c>
      <x:c r="I302" s="2" t="n">
        <x:f>IF(OR(B302="",C302="",A302="",A302&gt;'Panel'!$N$5),0,IF(COUNTIFS($B$7:B302,B302,$C$7:C302,C302,$A$7:A302,"&lt;="&amp;'Panel'!$N$5)=1,1,0))</x:f>
        <x:v>0</x:v>
      </x:c>
      <x:c r="J302" s="2" t="n">
        <x:f>IF(OR(B302="",C302="",A302="",A302&gt;'Panel'!$N$5,A302&lt;'Panel'!$N$5-WEEKDAY('Panel'!$N$5,2)+1),0,IF(COUNTIFS($B$7:B302,B302,$C$7:C302,C302,$A$7:A302,"&gt;="&amp;('Panel'!$N$5-WEEKDAY('Panel'!$N$5,2)+1),$A$7:A302,"&lt;="&amp;'Panel'!$N$5)=1,1,0))</x:f>
        <x:v>0</x:v>
      </x:c>
    </x:row>
    <x:row r="303" ht="22" customHeight="1">
      <x:c r="A303" s="7"/>
      <x:c r="B303" s="6"/>
      <x:c r="C303" s="6"/>
      <x:c r="D303" s="6"/>
      <x:c r="E303" s="6"/>
      <x:c r="F303" s="17"/>
      <x:c r="G303" s="13"/>
      <x:c r="H303" s="14" t="str">
        <x:f>IF(B303="","",IF(OR(A303="",C303="",NOT(ISNUMBER(F303)),NOT(ISNUMBER(G303))),"Eksik efor",F303*G303))</x:f>
      </x:c>
      <x:c r="I303" s="2" t="n">
        <x:f>IF(OR(B303="",C303="",A303="",A303&gt;'Panel'!$N$5),0,IF(COUNTIFS($B$7:B303,B303,$C$7:C303,C303,$A$7:A303,"&lt;="&amp;'Panel'!$N$5)=1,1,0))</x:f>
        <x:v>0</x:v>
      </x:c>
      <x:c r="J303" s="2" t="n">
        <x:f>IF(OR(B303="",C303="",A303="",A303&gt;'Panel'!$N$5,A303&lt;'Panel'!$N$5-WEEKDAY('Panel'!$N$5,2)+1),0,IF(COUNTIFS($B$7:B303,B303,$C$7:C303,C303,$A$7:A303,"&gt;="&amp;('Panel'!$N$5-WEEKDAY('Panel'!$N$5,2)+1),$A$7:A303,"&lt;="&amp;'Panel'!$N$5)=1,1,0))</x:f>
        <x:v>0</x:v>
      </x:c>
    </x:row>
    <x:row r="304" ht="22" customHeight="1">
      <x:c r="A304" s="7"/>
      <x:c r="B304" s="6"/>
      <x:c r="C304" s="6"/>
      <x:c r="D304" s="6"/>
      <x:c r="E304" s="6"/>
      <x:c r="F304" s="17"/>
      <x:c r="G304" s="13"/>
      <x:c r="H304" s="14" t="str">
        <x:f>IF(B304="","",IF(OR(A304="",C304="",NOT(ISNUMBER(F304)),NOT(ISNUMBER(G304))),"Eksik efor",F304*G304))</x:f>
      </x:c>
      <x:c r="I304" s="2" t="n">
        <x:f>IF(OR(B304="",C304="",A304="",A304&gt;'Panel'!$N$5),0,IF(COUNTIFS($B$7:B304,B304,$C$7:C304,C304,$A$7:A304,"&lt;="&amp;'Panel'!$N$5)=1,1,0))</x:f>
        <x:v>0</x:v>
      </x:c>
      <x:c r="J304" s="2" t="n">
        <x:f>IF(OR(B304="",C304="",A304="",A304&gt;'Panel'!$N$5,A304&lt;'Panel'!$N$5-WEEKDAY('Panel'!$N$5,2)+1),0,IF(COUNTIFS($B$7:B304,B304,$C$7:C304,C304,$A$7:A304,"&gt;="&amp;('Panel'!$N$5-WEEKDAY('Panel'!$N$5,2)+1),$A$7:A304,"&lt;="&amp;'Panel'!$N$5)=1,1,0))</x:f>
        <x:v>0</x:v>
      </x:c>
    </x:row>
    <x:row r="305" ht="22" customHeight="1">
      <x:c r="A305" s="7"/>
      <x:c r="B305" s="6"/>
      <x:c r="C305" s="6"/>
      <x:c r="D305" s="6"/>
      <x:c r="E305" s="6"/>
      <x:c r="F305" s="17"/>
      <x:c r="G305" s="13"/>
      <x:c r="H305" s="14" t="str">
        <x:f>IF(B305="","",IF(OR(A305="",C305="",NOT(ISNUMBER(F305)),NOT(ISNUMBER(G305))),"Eksik efor",F305*G305))</x:f>
      </x:c>
      <x:c r="I305" s="2" t="n">
        <x:f>IF(OR(B305="",C305="",A305="",A305&gt;'Panel'!$N$5),0,IF(COUNTIFS($B$7:B305,B305,$C$7:C305,C305,$A$7:A305,"&lt;="&amp;'Panel'!$N$5)=1,1,0))</x:f>
        <x:v>0</x:v>
      </x:c>
      <x:c r="J305" s="2" t="n">
        <x:f>IF(OR(B305="",C305="",A305="",A305&gt;'Panel'!$N$5,A305&lt;'Panel'!$N$5-WEEKDAY('Panel'!$N$5,2)+1),0,IF(COUNTIFS($B$7:B305,B305,$C$7:C305,C305,$A$7:A305,"&gt;="&amp;('Panel'!$N$5-WEEKDAY('Panel'!$N$5,2)+1),$A$7:A305,"&lt;="&amp;'Panel'!$N$5)=1,1,0))</x:f>
        <x:v>0</x:v>
      </x:c>
    </x:row>
    <x:row r="306" ht="22" customHeight="1">
      <x:c r="A306" s="7"/>
      <x:c r="B306" s="6"/>
      <x:c r="C306" s="6"/>
      <x:c r="D306" s="6"/>
      <x:c r="E306" s="6"/>
      <x:c r="F306" s="17"/>
      <x:c r="G306" s="13"/>
      <x:c r="H306" s="14" t="str">
        <x:f>IF(B306="","",IF(OR(A306="",C306="",NOT(ISNUMBER(F306)),NOT(ISNUMBER(G306))),"Eksik efor",F306*G306))</x:f>
      </x:c>
      <x:c r="I306" s="2" t="n">
        <x:f>IF(OR(B306="",C306="",A306="",A306&gt;'Panel'!$N$5),0,IF(COUNTIFS($B$7:B306,B306,$C$7:C306,C306,$A$7:A306,"&lt;="&amp;'Panel'!$N$5)=1,1,0))</x:f>
        <x:v>0</x:v>
      </x:c>
      <x:c r="J306" s="2" t="n">
        <x:f>IF(OR(B306="",C306="",A306="",A306&gt;'Panel'!$N$5,A306&lt;'Panel'!$N$5-WEEKDAY('Panel'!$N$5,2)+1),0,IF(COUNTIFS($B$7:B306,B306,$C$7:C306,C306,$A$7:A306,"&gt;="&amp;('Panel'!$N$5-WEEKDAY('Panel'!$N$5,2)+1),$A$7:A306,"&lt;="&amp;'Panel'!$N$5)=1,1,0))</x:f>
        <x:v>0</x:v>
      </x:c>
    </x:row>
    <x:row r="307" ht="22" customHeight="1">
      <x:c r="A307" s="7"/>
      <x:c r="B307" s="6"/>
      <x:c r="C307" s="6"/>
      <x:c r="D307" s="6"/>
      <x:c r="E307" s="6"/>
      <x:c r="F307" s="17"/>
      <x:c r="G307" s="13"/>
      <x:c r="H307" s="14" t="str">
        <x:f>IF(B307="","",IF(OR(A307="",C307="",NOT(ISNUMBER(F307)),NOT(ISNUMBER(G307))),"Eksik efor",F307*G307))</x:f>
      </x:c>
      <x:c r="I307" s="2" t="n">
        <x:f>IF(OR(B307="",C307="",A307="",A307&gt;'Panel'!$N$5),0,IF(COUNTIFS($B$7:B307,B307,$C$7:C307,C307,$A$7:A307,"&lt;="&amp;'Panel'!$N$5)=1,1,0))</x:f>
        <x:v>0</x:v>
      </x:c>
      <x:c r="J307" s="2" t="n">
        <x:f>IF(OR(B307="",C307="",A307="",A307&gt;'Panel'!$N$5,A307&lt;'Panel'!$N$5-WEEKDAY('Panel'!$N$5,2)+1),0,IF(COUNTIFS($B$7:B307,B307,$C$7:C307,C307,$A$7:A307,"&gt;="&amp;('Panel'!$N$5-WEEKDAY('Panel'!$N$5,2)+1),$A$7:A307,"&lt;="&amp;'Panel'!$N$5)=1,1,0))</x:f>
        <x:v>0</x:v>
      </x:c>
    </x:row>
    <x:row r="308" ht="22" customHeight="1">
      <x:c r="A308" s="7"/>
      <x:c r="B308" s="6"/>
      <x:c r="C308" s="6"/>
      <x:c r="D308" s="6"/>
      <x:c r="E308" s="6"/>
      <x:c r="F308" s="17"/>
      <x:c r="G308" s="13"/>
      <x:c r="H308" s="14" t="str">
        <x:f>IF(B308="","",IF(OR(A308="",C308="",NOT(ISNUMBER(F308)),NOT(ISNUMBER(G308))),"Eksik efor",F308*G308))</x:f>
      </x:c>
      <x:c r="I308" s="2" t="n">
        <x:f>IF(OR(B308="",C308="",A308="",A308&gt;'Panel'!$N$5),0,IF(COUNTIFS($B$7:B308,B308,$C$7:C308,C308,$A$7:A308,"&lt;="&amp;'Panel'!$N$5)=1,1,0))</x:f>
        <x:v>0</x:v>
      </x:c>
      <x:c r="J308" s="2" t="n">
        <x:f>IF(OR(B308="",C308="",A308="",A308&gt;'Panel'!$N$5,A308&lt;'Panel'!$N$5-WEEKDAY('Panel'!$N$5,2)+1),0,IF(COUNTIFS($B$7:B308,B308,$C$7:C308,C308,$A$7:A308,"&gt;="&amp;('Panel'!$N$5-WEEKDAY('Panel'!$N$5,2)+1),$A$7:A308,"&lt;="&amp;'Panel'!$N$5)=1,1,0))</x:f>
        <x:v>0</x:v>
      </x:c>
    </x:row>
    <x:row r="309" ht="22" customHeight="1">
      <x:c r="A309" s="7"/>
      <x:c r="B309" s="6"/>
      <x:c r="C309" s="6"/>
      <x:c r="D309" s="6"/>
      <x:c r="E309" s="6"/>
      <x:c r="F309" s="17"/>
      <x:c r="G309" s="13"/>
      <x:c r="H309" s="14" t="str">
        <x:f>IF(B309="","",IF(OR(A309="",C309="",NOT(ISNUMBER(F309)),NOT(ISNUMBER(G309))),"Eksik efor",F309*G309))</x:f>
      </x:c>
      <x:c r="I309" s="2" t="n">
        <x:f>IF(OR(B309="",C309="",A309="",A309&gt;'Panel'!$N$5),0,IF(COUNTIFS($B$7:B309,B309,$C$7:C309,C309,$A$7:A309,"&lt;="&amp;'Panel'!$N$5)=1,1,0))</x:f>
        <x:v>0</x:v>
      </x:c>
      <x:c r="J309" s="2" t="n">
        <x:f>IF(OR(B309="",C309="",A309="",A309&gt;'Panel'!$N$5,A309&lt;'Panel'!$N$5-WEEKDAY('Panel'!$N$5,2)+1),0,IF(COUNTIFS($B$7:B309,B309,$C$7:C309,C309,$A$7:A309,"&gt;="&amp;('Panel'!$N$5-WEEKDAY('Panel'!$N$5,2)+1),$A$7:A309,"&lt;="&amp;'Panel'!$N$5)=1,1,0))</x:f>
        <x:v>0</x:v>
      </x:c>
    </x:row>
    <x:row r="310" ht="22" customHeight="1">
      <x:c r="A310" s="7"/>
      <x:c r="B310" s="6"/>
      <x:c r="C310" s="6"/>
      <x:c r="D310" s="6"/>
      <x:c r="E310" s="6"/>
      <x:c r="F310" s="17"/>
      <x:c r="G310" s="13"/>
      <x:c r="H310" s="14" t="str">
        <x:f>IF(B310="","",IF(OR(A310="",C310="",NOT(ISNUMBER(F310)),NOT(ISNUMBER(G310))),"Eksik efor",F310*G310))</x:f>
      </x:c>
      <x:c r="I310" s="2" t="n">
        <x:f>IF(OR(B310="",C310="",A310="",A310&gt;'Panel'!$N$5),0,IF(COUNTIFS($B$7:B310,B310,$C$7:C310,C310,$A$7:A310,"&lt;="&amp;'Panel'!$N$5)=1,1,0))</x:f>
        <x:v>0</x:v>
      </x:c>
      <x:c r="J310" s="2" t="n">
        <x:f>IF(OR(B310="",C310="",A310="",A310&gt;'Panel'!$N$5,A310&lt;'Panel'!$N$5-WEEKDAY('Panel'!$N$5,2)+1),0,IF(COUNTIFS($B$7:B310,B310,$C$7:C310,C310,$A$7:A310,"&gt;="&amp;('Panel'!$N$5-WEEKDAY('Panel'!$N$5,2)+1),$A$7:A310,"&lt;="&amp;'Panel'!$N$5)=1,1,0))</x:f>
        <x:v>0</x:v>
      </x:c>
    </x:row>
    <x:row r="311" ht="22" customHeight="1">
      <x:c r="A311" s="7"/>
      <x:c r="B311" s="6"/>
      <x:c r="C311" s="6"/>
      <x:c r="D311" s="6"/>
      <x:c r="E311" s="6"/>
      <x:c r="F311" s="17"/>
      <x:c r="G311" s="13"/>
      <x:c r="H311" s="14" t="str">
        <x:f>IF(B311="","",IF(OR(A311="",C311="",NOT(ISNUMBER(F311)),NOT(ISNUMBER(G311))),"Eksik efor",F311*G311))</x:f>
      </x:c>
      <x:c r="I311" s="2" t="n">
        <x:f>IF(OR(B311="",C311="",A311="",A311&gt;'Panel'!$N$5),0,IF(COUNTIFS($B$7:B311,B311,$C$7:C311,C311,$A$7:A311,"&lt;="&amp;'Panel'!$N$5)=1,1,0))</x:f>
        <x:v>0</x:v>
      </x:c>
      <x:c r="J311" s="2" t="n">
        <x:f>IF(OR(B311="",C311="",A311="",A311&gt;'Panel'!$N$5,A311&lt;'Panel'!$N$5-WEEKDAY('Panel'!$N$5,2)+1),0,IF(COUNTIFS($B$7:B311,B311,$C$7:C311,C311,$A$7:A311,"&gt;="&amp;('Panel'!$N$5-WEEKDAY('Panel'!$N$5,2)+1),$A$7:A311,"&lt;="&amp;'Panel'!$N$5)=1,1,0))</x:f>
        <x:v>0</x:v>
      </x:c>
    </x:row>
    <x:row r="312" ht="22" customHeight="1">
      <x:c r="A312" s="7"/>
      <x:c r="B312" s="6"/>
      <x:c r="C312" s="6"/>
      <x:c r="D312" s="6"/>
      <x:c r="E312" s="6"/>
      <x:c r="F312" s="17"/>
      <x:c r="G312" s="13"/>
      <x:c r="H312" s="14" t="str">
        <x:f>IF(B312="","",IF(OR(A312="",C312="",NOT(ISNUMBER(F312)),NOT(ISNUMBER(G312))),"Eksik efor",F312*G312))</x:f>
      </x:c>
      <x:c r="I312" s="2" t="n">
        <x:f>IF(OR(B312="",C312="",A312="",A312&gt;'Panel'!$N$5),0,IF(COUNTIFS($B$7:B312,B312,$C$7:C312,C312,$A$7:A312,"&lt;="&amp;'Panel'!$N$5)=1,1,0))</x:f>
        <x:v>0</x:v>
      </x:c>
      <x:c r="J312" s="2" t="n">
        <x:f>IF(OR(B312="",C312="",A312="",A312&gt;'Panel'!$N$5,A312&lt;'Panel'!$N$5-WEEKDAY('Panel'!$N$5,2)+1),0,IF(COUNTIFS($B$7:B312,B312,$C$7:C312,C312,$A$7:A312,"&gt;="&amp;('Panel'!$N$5-WEEKDAY('Panel'!$N$5,2)+1),$A$7:A312,"&lt;="&amp;'Panel'!$N$5)=1,1,0))</x:f>
        <x:v>0</x:v>
      </x:c>
    </x:row>
    <x:row r="313" ht="22" customHeight="1">
      <x:c r="A313" s="7"/>
      <x:c r="B313" s="6"/>
      <x:c r="C313" s="6"/>
      <x:c r="D313" s="6"/>
      <x:c r="E313" s="6"/>
      <x:c r="F313" s="17"/>
      <x:c r="G313" s="13"/>
      <x:c r="H313" s="14" t="str">
        <x:f>IF(B313="","",IF(OR(A313="",C313="",NOT(ISNUMBER(F313)),NOT(ISNUMBER(G313))),"Eksik efor",F313*G313))</x:f>
      </x:c>
      <x:c r="I313" s="2" t="n">
        <x:f>IF(OR(B313="",C313="",A313="",A313&gt;'Panel'!$N$5),0,IF(COUNTIFS($B$7:B313,B313,$C$7:C313,C313,$A$7:A313,"&lt;="&amp;'Panel'!$N$5)=1,1,0))</x:f>
        <x:v>0</x:v>
      </x:c>
      <x:c r="J313" s="2" t="n">
        <x:f>IF(OR(B313="",C313="",A313="",A313&gt;'Panel'!$N$5,A313&lt;'Panel'!$N$5-WEEKDAY('Panel'!$N$5,2)+1),0,IF(COUNTIFS($B$7:B313,B313,$C$7:C313,C313,$A$7:A313,"&gt;="&amp;('Panel'!$N$5-WEEKDAY('Panel'!$N$5,2)+1),$A$7:A313,"&lt;="&amp;'Panel'!$N$5)=1,1,0))</x:f>
        <x:v>0</x:v>
      </x:c>
    </x:row>
    <x:row r="314" ht="22" customHeight="1">
      <x:c r="A314" s="7"/>
      <x:c r="B314" s="6"/>
      <x:c r="C314" s="6"/>
      <x:c r="D314" s="6"/>
      <x:c r="E314" s="6"/>
      <x:c r="F314" s="17"/>
      <x:c r="G314" s="13"/>
      <x:c r="H314" s="14" t="str">
        <x:f>IF(B314="","",IF(OR(A314="",C314="",NOT(ISNUMBER(F314)),NOT(ISNUMBER(G314))),"Eksik efor",F314*G314))</x:f>
      </x:c>
      <x:c r="I314" s="2" t="n">
        <x:f>IF(OR(B314="",C314="",A314="",A314&gt;'Panel'!$N$5),0,IF(COUNTIFS($B$7:B314,B314,$C$7:C314,C314,$A$7:A314,"&lt;="&amp;'Panel'!$N$5)=1,1,0))</x:f>
        <x:v>0</x:v>
      </x:c>
      <x:c r="J314" s="2" t="n">
        <x:f>IF(OR(B314="",C314="",A314="",A314&gt;'Panel'!$N$5,A314&lt;'Panel'!$N$5-WEEKDAY('Panel'!$N$5,2)+1),0,IF(COUNTIFS($B$7:B314,B314,$C$7:C314,C314,$A$7:A314,"&gt;="&amp;('Panel'!$N$5-WEEKDAY('Panel'!$N$5,2)+1),$A$7:A314,"&lt;="&amp;'Panel'!$N$5)=1,1,0))</x:f>
        <x:v>0</x:v>
      </x:c>
    </x:row>
    <x:row r="315" ht="22" customHeight="1">
      <x:c r="A315" s="7"/>
      <x:c r="B315" s="6"/>
      <x:c r="C315" s="6"/>
      <x:c r="D315" s="6"/>
      <x:c r="E315" s="6"/>
      <x:c r="F315" s="17"/>
      <x:c r="G315" s="13"/>
      <x:c r="H315" s="14" t="str">
        <x:f>IF(B315="","",IF(OR(A315="",C315="",NOT(ISNUMBER(F315)),NOT(ISNUMBER(G315))),"Eksik efor",F315*G315))</x:f>
      </x:c>
      <x:c r="I315" s="2" t="n">
        <x:f>IF(OR(B315="",C315="",A315="",A315&gt;'Panel'!$N$5),0,IF(COUNTIFS($B$7:B315,B315,$C$7:C315,C315,$A$7:A315,"&lt;="&amp;'Panel'!$N$5)=1,1,0))</x:f>
        <x:v>0</x:v>
      </x:c>
      <x:c r="J315" s="2" t="n">
        <x:f>IF(OR(B315="",C315="",A315="",A315&gt;'Panel'!$N$5,A315&lt;'Panel'!$N$5-WEEKDAY('Panel'!$N$5,2)+1),0,IF(COUNTIFS($B$7:B315,B315,$C$7:C315,C315,$A$7:A315,"&gt;="&amp;('Panel'!$N$5-WEEKDAY('Panel'!$N$5,2)+1),$A$7:A315,"&lt;="&amp;'Panel'!$N$5)=1,1,0))</x:f>
        <x:v>0</x:v>
      </x:c>
    </x:row>
    <x:row r="316" ht="22" customHeight="1">
      <x:c r="A316" s="7"/>
      <x:c r="B316" s="6"/>
      <x:c r="C316" s="6"/>
      <x:c r="D316" s="6"/>
      <x:c r="E316" s="6"/>
      <x:c r="F316" s="17"/>
      <x:c r="G316" s="13"/>
      <x:c r="H316" s="14" t="str">
        <x:f>IF(B316="","",IF(OR(A316="",C316="",NOT(ISNUMBER(F316)),NOT(ISNUMBER(G316))),"Eksik efor",F316*G316))</x:f>
      </x:c>
      <x:c r="I316" s="2" t="n">
        <x:f>IF(OR(B316="",C316="",A316="",A316&gt;'Panel'!$N$5),0,IF(COUNTIFS($B$7:B316,B316,$C$7:C316,C316,$A$7:A316,"&lt;="&amp;'Panel'!$N$5)=1,1,0))</x:f>
        <x:v>0</x:v>
      </x:c>
      <x:c r="J316" s="2" t="n">
        <x:f>IF(OR(B316="",C316="",A316="",A316&gt;'Panel'!$N$5,A316&lt;'Panel'!$N$5-WEEKDAY('Panel'!$N$5,2)+1),0,IF(COUNTIFS($B$7:B316,B316,$C$7:C316,C316,$A$7:A316,"&gt;="&amp;('Panel'!$N$5-WEEKDAY('Panel'!$N$5,2)+1),$A$7:A316,"&lt;="&amp;'Panel'!$N$5)=1,1,0))</x:f>
        <x:v>0</x:v>
      </x:c>
    </x:row>
    <x:row r="317" ht="22" customHeight="1">
      <x:c r="A317" s="7"/>
      <x:c r="B317" s="6"/>
      <x:c r="C317" s="6"/>
      <x:c r="D317" s="6"/>
      <x:c r="E317" s="6"/>
      <x:c r="F317" s="17"/>
      <x:c r="G317" s="13"/>
      <x:c r="H317" s="14" t="str">
        <x:f>IF(B317="","",IF(OR(A317="",C317="",NOT(ISNUMBER(F317)),NOT(ISNUMBER(G317))),"Eksik efor",F317*G317))</x:f>
      </x:c>
      <x:c r="I317" s="2" t="n">
        <x:f>IF(OR(B317="",C317="",A317="",A317&gt;'Panel'!$N$5),0,IF(COUNTIFS($B$7:B317,B317,$C$7:C317,C317,$A$7:A317,"&lt;="&amp;'Panel'!$N$5)=1,1,0))</x:f>
        <x:v>0</x:v>
      </x:c>
      <x:c r="J317" s="2" t="n">
        <x:f>IF(OR(B317="",C317="",A317="",A317&gt;'Panel'!$N$5,A317&lt;'Panel'!$N$5-WEEKDAY('Panel'!$N$5,2)+1),0,IF(COUNTIFS($B$7:B317,B317,$C$7:C317,C317,$A$7:A317,"&gt;="&amp;('Panel'!$N$5-WEEKDAY('Panel'!$N$5,2)+1),$A$7:A317,"&lt;="&amp;'Panel'!$N$5)=1,1,0))</x:f>
        <x:v>0</x:v>
      </x:c>
    </x:row>
    <x:row r="318" ht="22" customHeight="1">
      <x:c r="A318" s="7"/>
      <x:c r="B318" s="6"/>
      <x:c r="C318" s="6"/>
      <x:c r="D318" s="6"/>
      <x:c r="E318" s="6"/>
      <x:c r="F318" s="17"/>
      <x:c r="G318" s="13"/>
      <x:c r="H318" s="14" t="str">
        <x:f>IF(B318="","",IF(OR(A318="",C318="",NOT(ISNUMBER(F318)),NOT(ISNUMBER(G318))),"Eksik efor",F318*G318))</x:f>
      </x:c>
      <x:c r="I318" s="2" t="n">
        <x:f>IF(OR(B318="",C318="",A318="",A318&gt;'Panel'!$N$5),0,IF(COUNTIFS($B$7:B318,B318,$C$7:C318,C318,$A$7:A318,"&lt;="&amp;'Panel'!$N$5)=1,1,0))</x:f>
        <x:v>0</x:v>
      </x:c>
      <x:c r="J318" s="2" t="n">
        <x:f>IF(OR(B318="",C318="",A318="",A318&gt;'Panel'!$N$5,A318&lt;'Panel'!$N$5-WEEKDAY('Panel'!$N$5,2)+1),0,IF(COUNTIFS($B$7:B318,B318,$C$7:C318,C318,$A$7:A318,"&gt;="&amp;('Panel'!$N$5-WEEKDAY('Panel'!$N$5,2)+1),$A$7:A318,"&lt;="&amp;'Panel'!$N$5)=1,1,0))</x:f>
        <x:v>0</x:v>
      </x:c>
    </x:row>
    <x:row r="319" ht="22" customHeight="1">
      <x:c r="A319" s="7"/>
      <x:c r="B319" s="6"/>
      <x:c r="C319" s="6"/>
      <x:c r="D319" s="6"/>
      <x:c r="E319" s="6"/>
      <x:c r="F319" s="17"/>
      <x:c r="G319" s="13"/>
      <x:c r="H319" s="14" t="str">
        <x:f>IF(B319="","",IF(OR(A319="",C319="",NOT(ISNUMBER(F319)),NOT(ISNUMBER(G319))),"Eksik efor",F319*G319))</x:f>
      </x:c>
      <x:c r="I319" s="2" t="n">
        <x:f>IF(OR(B319="",C319="",A319="",A319&gt;'Panel'!$N$5),0,IF(COUNTIFS($B$7:B319,B319,$C$7:C319,C319,$A$7:A319,"&lt;="&amp;'Panel'!$N$5)=1,1,0))</x:f>
        <x:v>0</x:v>
      </x:c>
      <x:c r="J319" s="2" t="n">
        <x:f>IF(OR(B319="",C319="",A319="",A319&gt;'Panel'!$N$5,A319&lt;'Panel'!$N$5-WEEKDAY('Panel'!$N$5,2)+1),0,IF(COUNTIFS($B$7:B319,B319,$C$7:C319,C319,$A$7:A319,"&gt;="&amp;('Panel'!$N$5-WEEKDAY('Panel'!$N$5,2)+1),$A$7:A319,"&lt;="&amp;'Panel'!$N$5)=1,1,0))</x:f>
        <x:v>0</x:v>
      </x:c>
    </x:row>
    <x:row r="320" ht="22" customHeight="1">
      <x:c r="A320" s="7"/>
      <x:c r="B320" s="6"/>
      <x:c r="C320" s="6"/>
      <x:c r="D320" s="6"/>
      <x:c r="E320" s="6"/>
      <x:c r="F320" s="17"/>
      <x:c r="G320" s="13"/>
      <x:c r="H320" s="14" t="str">
        <x:f>IF(B320="","",IF(OR(A320="",C320="",NOT(ISNUMBER(F320)),NOT(ISNUMBER(G320))),"Eksik efor",F320*G320))</x:f>
      </x:c>
      <x:c r="I320" s="2" t="n">
        <x:f>IF(OR(B320="",C320="",A320="",A320&gt;'Panel'!$N$5),0,IF(COUNTIFS($B$7:B320,B320,$C$7:C320,C320,$A$7:A320,"&lt;="&amp;'Panel'!$N$5)=1,1,0))</x:f>
        <x:v>0</x:v>
      </x:c>
      <x:c r="J320" s="2" t="n">
        <x:f>IF(OR(B320="",C320="",A320="",A320&gt;'Panel'!$N$5,A320&lt;'Panel'!$N$5-WEEKDAY('Panel'!$N$5,2)+1),0,IF(COUNTIFS($B$7:B320,B320,$C$7:C320,C320,$A$7:A320,"&gt;="&amp;('Panel'!$N$5-WEEKDAY('Panel'!$N$5,2)+1),$A$7:A320,"&lt;="&amp;'Panel'!$N$5)=1,1,0))</x:f>
        <x:v>0</x:v>
      </x:c>
    </x:row>
    <x:row r="321" ht="22" customHeight="1">
      <x:c r="A321" s="7"/>
      <x:c r="B321" s="6"/>
      <x:c r="C321" s="6"/>
      <x:c r="D321" s="6"/>
      <x:c r="E321" s="6"/>
      <x:c r="F321" s="17"/>
      <x:c r="G321" s="13"/>
      <x:c r="H321" s="14" t="str">
        <x:f>IF(B321="","",IF(OR(A321="",C321="",NOT(ISNUMBER(F321)),NOT(ISNUMBER(G321))),"Eksik efor",F321*G321))</x:f>
      </x:c>
      <x:c r="I321" s="2" t="n">
        <x:f>IF(OR(B321="",C321="",A321="",A321&gt;'Panel'!$N$5),0,IF(COUNTIFS($B$7:B321,B321,$C$7:C321,C321,$A$7:A321,"&lt;="&amp;'Panel'!$N$5)=1,1,0))</x:f>
        <x:v>0</x:v>
      </x:c>
      <x:c r="J321" s="2" t="n">
        <x:f>IF(OR(B321="",C321="",A321="",A321&gt;'Panel'!$N$5,A321&lt;'Panel'!$N$5-WEEKDAY('Panel'!$N$5,2)+1),0,IF(COUNTIFS($B$7:B321,B321,$C$7:C321,C321,$A$7:A321,"&gt;="&amp;('Panel'!$N$5-WEEKDAY('Panel'!$N$5,2)+1),$A$7:A321,"&lt;="&amp;'Panel'!$N$5)=1,1,0))</x:f>
        <x:v>0</x:v>
      </x:c>
    </x:row>
    <x:row r="322" ht="22" customHeight="1">
      <x:c r="A322" s="7"/>
      <x:c r="B322" s="6"/>
      <x:c r="C322" s="6"/>
      <x:c r="D322" s="6"/>
      <x:c r="E322" s="6"/>
      <x:c r="F322" s="17"/>
      <x:c r="G322" s="13"/>
      <x:c r="H322" s="14" t="str">
        <x:f>IF(B322="","",IF(OR(A322="",C322="",NOT(ISNUMBER(F322)),NOT(ISNUMBER(G322))),"Eksik efor",F322*G322))</x:f>
      </x:c>
      <x:c r="I322" s="2" t="n">
        <x:f>IF(OR(B322="",C322="",A322="",A322&gt;'Panel'!$N$5),0,IF(COUNTIFS($B$7:B322,B322,$C$7:C322,C322,$A$7:A322,"&lt;="&amp;'Panel'!$N$5)=1,1,0))</x:f>
        <x:v>0</x:v>
      </x:c>
      <x:c r="J322" s="2" t="n">
        <x:f>IF(OR(B322="",C322="",A322="",A322&gt;'Panel'!$N$5,A322&lt;'Panel'!$N$5-WEEKDAY('Panel'!$N$5,2)+1),0,IF(COUNTIFS($B$7:B322,B322,$C$7:C322,C322,$A$7:A322,"&gt;="&amp;('Panel'!$N$5-WEEKDAY('Panel'!$N$5,2)+1),$A$7:A322,"&lt;="&amp;'Panel'!$N$5)=1,1,0))</x:f>
        <x:v>0</x:v>
      </x:c>
    </x:row>
    <x:row r="323" ht="22" customHeight="1">
      <x:c r="A323" s="7"/>
      <x:c r="B323" s="6"/>
      <x:c r="C323" s="6"/>
      <x:c r="D323" s="6"/>
      <x:c r="E323" s="6"/>
      <x:c r="F323" s="17"/>
      <x:c r="G323" s="13"/>
      <x:c r="H323" s="14" t="str">
        <x:f>IF(B323="","",IF(OR(A323="",C323="",NOT(ISNUMBER(F323)),NOT(ISNUMBER(G323))),"Eksik efor",F323*G323))</x:f>
      </x:c>
      <x:c r="I323" s="2" t="n">
        <x:f>IF(OR(B323="",C323="",A323="",A323&gt;'Panel'!$N$5),0,IF(COUNTIFS($B$7:B323,B323,$C$7:C323,C323,$A$7:A323,"&lt;="&amp;'Panel'!$N$5)=1,1,0))</x:f>
        <x:v>0</x:v>
      </x:c>
      <x:c r="J323" s="2" t="n">
        <x:f>IF(OR(B323="",C323="",A323="",A323&gt;'Panel'!$N$5,A323&lt;'Panel'!$N$5-WEEKDAY('Panel'!$N$5,2)+1),0,IF(COUNTIFS($B$7:B323,B323,$C$7:C323,C323,$A$7:A323,"&gt;="&amp;('Panel'!$N$5-WEEKDAY('Panel'!$N$5,2)+1),$A$7:A323,"&lt;="&amp;'Panel'!$N$5)=1,1,0))</x:f>
        <x:v>0</x:v>
      </x:c>
    </x:row>
    <x:row r="324" ht="22" customHeight="1">
      <x:c r="A324" s="7"/>
      <x:c r="B324" s="6"/>
      <x:c r="C324" s="6"/>
      <x:c r="D324" s="6"/>
      <x:c r="E324" s="6"/>
      <x:c r="F324" s="17"/>
      <x:c r="G324" s="13"/>
      <x:c r="H324" s="14" t="str">
        <x:f>IF(B324="","",IF(OR(A324="",C324="",NOT(ISNUMBER(F324)),NOT(ISNUMBER(G324))),"Eksik efor",F324*G324))</x:f>
      </x:c>
      <x:c r="I324" s="2" t="n">
        <x:f>IF(OR(B324="",C324="",A324="",A324&gt;'Panel'!$N$5),0,IF(COUNTIFS($B$7:B324,B324,$C$7:C324,C324,$A$7:A324,"&lt;="&amp;'Panel'!$N$5)=1,1,0))</x:f>
        <x:v>0</x:v>
      </x:c>
      <x:c r="J324" s="2" t="n">
        <x:f>IF(OR(B324="",C324="",A324="",A324&gt;'Panel'!$N$5,A324&lt;'Panel'!$N$5-WEEKDAY('Panel'!$N$5,2)+1),0,IF(COUNTIFS($B$7:B324,B324,$C$7:C324,C324,$A$7:A324,"&gt;="&amp;('Panel'!$N$5-WEEKDAY('Panel'!$N$5,2)+1),$A$7:A324,"&lt;="&amp;'Panel'!$N$5)=1,1,0))</x:f>
        <x:v>0</x:v>
      </x:c>
    </x:row>
    <x:row r="325" ht="22" customHeight="1">
      <x:c r="A325" s="7"/>
      <x:c r="B325" s="6"/>
      <x:c r="C325" s="6"/>
      <x:c r="D325" s="6"/>
      <x:c r="E325" s="6"/>
      <x:c r="F325" s="17"/>
      <x:c r="G325" s="13"/>
      <x:c r="H325" s="14" t="str">
        <x:f>IF(B325="","",IF(OR(A325="",C325="",NOT(ISNUMBER(F325)),NOT(ISNUMBER(G325))),"Eksik efor",F325*G325))</x:f>
      </x:c>
      <x:c r="I325" s="2" t="n">
        <x:f>IF(OR(B325="",C325="",A325="",A325&gt;'Panel'!$N$5),0,IF(COUNTIFS($B$7:B325,B325,$C$7:C325,C325,$A$7:A325,"&lt;="&amp;'Panel'!$N$5)=1,1,0))</x:f>
        <x:v>0</x:v>
      </x:c>
      <x:c r="J325" s="2" t="n">
        <x:f>IF(OR(B325="",C325="",A325="",A325&gt;'Panel'!$N$5,A325&lt;'Panel'!$N$5-WEEKDAY('Panel'!$N$5,2)+1),0,IF(COUNTIFS($B$7:B325,B325,$C$7:C325,C325,$A$7:A325,"&gt;="&amp;('Panel'!$N$5-WEEKDAY('Panel'!$N$5,2)+1),$A$7:A325,"&lt;="&amp;'Panel'!$N$5)=1,1,0))</x:f>
        <x:v>0</x:v>
      </x:c>
    </x:row>
    <x:row r="326" ht="22" customHeight="1">
      <x:c r="A326" s="7"/>
      <x:c r="B326" s="6"/>
      <x:c r="C326" s="6"/>
      <x:c r="D326" s="6"/>
      <x:c r="E326" s="6"/>
      <x:c r="F326" s="17"/>
      <x:c r="G326" s="13"/>
      <x:c r="H326" s="14" t="str">
        <x:f>IF(B326="","",IF(OR(A326="",C326="",NOT(ISNUMBER(F326)),NOT(ISNUMBER(G326))),"Eksik efor",F326*G326))</x:f>
      </x:c>
      <x:c r="I326" s="2" t="n">
        <x:f>IF(OR(B326="",C326="",A326="",A326&gt;'Panel'!$N$5),0,IF(COUNTIFS($B$7:B326,B326,$C$7:C326,C326,$A$7:A326,"&lt;="&amp;'Panel'!$N$5)=1,1,0))</x:f>
        <x:v>0</x:v>
      </x:c>
      <x:c r="J326" s="2" t="n">
        <x:f>IF(OR(B326="",C326="",A326="",A326&gt;'Panel'!$N$5,A326&lt;'Panel'!$N$5-WEEKDAY('Panel'!$N$5,2)+1),0,IF(COUNTIFS($B$7:B326,B326,$C$7:C326,C326,$A$7:A326,"&gt;="&amp;('Panel'!$N$5-WEEKDAY('Panel'!$N$5,2)+1),$A$7:A326,"&lt;="&amp;'Panel'!$N$5)=1,1,0))</x:f>
        <x:v>0</x:v>
      </x:c>
    </x:row>
    <x:row r="327" ht="22" customHeight="1">
      <x:c r="A327" s="7"/>
      <x:c r="B327" s="6"/>
      <x:c r="C327" s="6"/>
      <x:c r="D327" s="6"/>
      <x:c r="E327" s="6"/>
      <x:c r="F327" s="17"/>
      <x:c r="G327" s="13"/>
      <x:c r="H327" s="14" t="str">
        <x:f>IF(B327="","",IF(OR(A327="",C327="",NOT(ISNUMBER(F327)),NOT(ISNUMBER(G327))),"Eksik efor",F327*G327))</x:f>
      </x:c>
      <x:c r="I327" s="2" t="n">
        <x:f>IF(OR(B327="",C327="",A327="",A327&gt;'Panel'!$N$5),0,IF(COUNTIFS($B$7:B327,B327,$C$7:C327,C327,$A$7:A327,"&lt;="&amp;'Panel'!$N$5)=1,1,0))</x:f>
        <x:v>0</x:v>
      </x:c>
      <x:c r="J327" s="2" t="n">
        <x:f>IF(OR(B327="",C327="",A327="",A327&gt;'Panel'!$N$5,A327&lt;'Panel'!$N$5-WEEKDAY('Panel'!$N$5,2)+1),0,IF(COUNTIFS($B$7:B327,B327,$C$7:C327,C327,$A$7:A327,"&gt;="&amp;('Panel'!$N$5-WEEKDAY('Panel'!$N$5,2)+1),$A$7:A327,"&lt;="&amp;'Panel'!$N$5)=1,1,0))</x:f>
        <x:v>0</x:v>
      </x:c>
    </x:row>
    <x:row r="328" ht="22" customHeight="1">
      <x:c r="A328" s="7"/>
      <x:c r="B328" s="6"/>
      <x:c r="C328" s="6"/>
      <x:c r="D328" s="6"/>
      <x:c r="E328" s="6"/>
      <x:c r="F328" s="17"/>
      <x:c r="G328" s="13"/>
      <x:c r="H328" s="14" t="str">
        <x:f>IF(B328="","",IF(OR(A328="",C328="",NOT(ISNUMBER(F328)),NOT(ISNUMBER(G328))),"Eksik efor",F328*G328))</x:f>
      </x:c>
      <x:c r="I328" s="2" t="n">
        <x:f>IF(OR(B328="",C328="",A328="",A328&gt;'Panel'!$N$5),0,IF(COUNTIFS($B$7:B328,B328,$C$7:C328,C328,$A$7:A328,"&lt;="&amp;'Panel'!$N$5)=1,1,0))</x:f>
        <x:v>0</x:v>
      </x:c>
      <x:c r="J328" s="2" t="n">
        <x:f>IF(OR(B328="",C328="",A328="",A328&gt;'Panel'!$N$5,A328&lt;'Panel'!$N$5-WEEKDAY('Panel'!$N$5,2)+1),0,IF(COUNTIFS($B$7:B328,B328,$C$7:C328,C328,$A$7:A328,"&gt;="&amp;('Panel'!$N$5-WEEKDAY('Panel'!$N$5,2)+1),$A$7:A328,"&lt;="&amp;'Panel'!$N$5)=1,1,0))</x:f>
        <x:v>0</x:v>
      </x:c>
    </x:row>
    <x:row r="329" ht="22" customHeight="1">
      <x:c r="A329" s="7"/>
      <x:c r="B329" s="6"/>
      <x:c r="C329" s="6"/>
      <x:c r="D329" s="6"/>
      <x:c r="E329" s="6"/>
      <x:c r="F329" s="17"/>
      <x:c r="G329" s="13"/>
      <x:c r="H329" s="14" t="str">
        <x:f>IF(B329="","",IF(OR(A329="",C329="",NOT(ISNUMBER(F329)),NOT(ISNUMBER(G329))),"Eksik efor",F329*G329))</x:f>
      </x:c>
      <x:c r="I329" s="2" t="n">
        <x:f>IF(OR(B329="",C329="",A329="",A329&gt;'Panel'!$N$5),0,IF(COUNTIFS($B$7:B329,B329,$C$7:C329,C329,$A$7:A329,"&lt;="&amp;'Panel'!$N$5)=1,1,0))</x:f>
        <x:v>0</x:v>
      </x:c>
      <x:c r="J329" s="2" t="n">
        <x:f>IF(OR(B329="",C329="",A329="",A329&gt;'Panel'!$N$5,A329&lt;'Panel'!$N$5-WEEKDAY('Panel'!$N$5,2)+1),0,IF(COUNTIFS($B$7:B329,B329,$C$7:C329,C329,$A$7:A329,"&gt;="&amp;('Panel'!$N$5-WEEKDAY('Panel'!$N$5,2)+1),$A$7:A329,"&lt;="&amp;'Panel'!$N$5)=1,1,0))</x:f>
        <x:v>0</x:v>
      </x:c>
    </x:row>
    <x:row r="330" ht="22" customHeight="1">
      <x:c r="A330" s="7"/>
      <x:c r="B330" s="6"/>
      <x:c r="C330" s="6"/>
      <x:c r="D330" s="6"/>
      <x:c r="E330" s="6"/>
      <x:c r="F330" s="17"/>
      <x:c r="G330" s="13"/>
      <x:c r="H330" s="14" t="str">
        <x:f>IF(B330="","",IF(OR(A330="",C330="",NOT(ISNUMBER(F330)),NOT(ISNUMBER(G330))),"Eksik efor",F330*G330))</x:f>
      </x:c>
      <x:c r="I330" s="2" t="n">
        <x:f>IF(OR(B330="",C330="",A330="",A330&gt;'Panel'!$N$5),0,IF(COUNTIFS($B$7:B330,B330,$C$7:C330,C330,$A$7:A330,"&lt;="&amp;'Panel'!$N$5)=1,1,0))</x:f>
        <x:v>0</x:v>
      </x:c>
      <x:c r="J330" s="2" t="n">
        <x:f>IF(OR(B330="",C330="",A330="",A330&gt;'Panel'!$N$5,A330&lt;'Panel'!$N$5-WEEKDAY('Panel'!$N$5,2)+1),0,IF(COUNTIFS($B$7:B330,B330,$C$7:C330,C330,$A$7:A330,"&gt;="&amp;('Panel'!$N$5-WEEKDAY('Panel'!$N$5,2)+1),$A$7:A330,"&lt;="&amp;'Panel'!$N$5)=1,1,0))</x:f>
        <x:v>0</x:v>
      </x:c>
    </x:row>
    <x:row r="331" ht="22" customHeight="1">
      <x:c r="A331" s="7"/>
      <x:c r="B331" s="6"/>
      <x:c r="C331" s="6"/>
      <x:c r="D331" s="6"/>
      <x:c r="E331" s="6"/>
      <x:c r="F331" s="17"/>
      <x:c r="G331" s="13"/>
      <x:c r="H331" s="14" t="str">
        <x:f>IF(B331="","",IF(OR(A331="",C331="",NOT(ISNUMBER(F331)),NOT(ISNUMBER(G331))),"Eksik efor",F331*G331))</x:f>
      </x:c>
      <x:c r="I331" s="2" t="n">
        <x:f>IF(OR(B331="",C331="",A331="",A331&gt;'Panel'!$N$5),0,IF(COUNTIFS($B$7:B331,B331,$C$7:C331,C331,$A$7:A331,"&lt;="&amp;'Panel'!$N$5)=1,1,0))</x:f>
        <x:v>0</x:v>
      </x:c>
      <x:c r="J331" s="2" t="n">
        <x:f>IF(OR(B331="",C331="",A331="",A331&gt;'Panel'!$N$5,A331&lt;'Panel'!$N$5-WEEKDAY('Panel'!$N$5,2)+1),0,IF(COUNTIFS($B$7:B331,B331,$C$7:C331,C331,$A$7:A331,"&gt;="&amp;('Panel'!$N$5-WEEKDAY('Panel'!$N$5,2)+1),$A$7:A331,"&lt;="&amp;'Panel'!$N$5)=1,1,0))</x:f>
        <x:v>0</x:v>
      </x:c>
    </x:row>
    <x:row r="332" ht="22" customHeight="1">
      <x:c r="A332" s="7"/>
      <x:c r="B332" s="6"/>
      <x:c r="C332" s="6"/>
      <x:c r="D332" s="6"/>
      <x:c r="E332" s="6"/>
      <x:c r="F332" s="17"/>
      <x:c r="G332" s="13"/>
      <x:c r="H332" s="14" t="str">
        <x:f>IF(B332="","",IF(OR(A332="",C332="",NOT(ISNUMBER(F332)),NOT(ISNUMBER(G332))),"Eksik efor",F332*G332))</x:f>
      </x:c>
      <x:c r="I332" s="2" t="n">
        <x:f>IF(OR(B332="",C332="",A332="",A332&gt;'Panel'!$N$5),0,IF(COUNTIFS($B$7:B332,B332,$C$7:C332,C332,$A$7:A332,"&lt;="&amp;'Panel'!$N$5)=1,1,0))</x:f>
        <x:v>0</x:v>
      </x:c>
      <x:c r="J332" s="2" t="n">
        <x:f>IF(OR(B332="",C332="",A332="",A332&gt;'Panel'!$N$5,A332&lt;'Panel'!$N$5-WEEKDAY('Panel'!$N$5,2)+1),0,IF(COUNTIFS($B$7:B332,B332,$C$7:C332,C332,$A$7:A332,"&gt;="&amp;('Panel'!$N$5-WEEKDAY('Panel'!$N$5,2)+1),$A$7:A332,"&lt;="&amp;'Panel'!$N$5)=1,1,0))</x:f>
        <x:v>0</x:v>
      </x:c>
    </x:row>
    <x:row r="333" ht="22" customHeight="1">
      <x:c r="A333" s="7"/>
      <x:c r="B333" s="6"/>
      <x:c r="C333" s="6"/>
      <x:c r="D333" s="6"/>
      <x:c r="E333" s="6"/>
      <x:c r="F333" s="17"/>
      <x:c r="G333" s="13"/>
      <x:c r="H333" s="14" t="str">
        <x:f>IF(B333="","",IF(OR(A333="",C333="",NOT(ISNUMBER(F333)),NOT(ISNUMBER(G333))),"Eksik efor",F333*G333))</x:f>
      </x:c>
      <x:c r="I333" s="2" t="n">
        <x:f>IF(OR(B333="",C333="",A333="",A333&gt;'Panel'!$N$5),0,IF(COUNTIFS($B$7:B333,B333,$C$7:C333,C333,$A$7:A333,"&lt;="&amp;'Panel'!$N$5)=1,1,0))</x:f>
        <x:v>0</x:v>
      </x:c>
      <x:c r="J333" s="2" t="n">
        <x:f>IF(OR(B333="",C333="",A333="",A333&gt;'Panel'!$N$5,A333&lt;'Panel'!$N$5-WEEKDAY('Panel'!$N$5,2)+1),0,IF(COUNTIFS($B$7:B333,B333,$C$7:C333,C333,$A$7:A333,"&gt;="&amp;('Panel'!$N$5-WEEKDAY('Panel'!$N$5,2)+1),$A$7:A333,"&lt;="&amp;'Panel'!$N$5)=1,1,0))</x:f>
        <x:v>0</x:v>
      </x:c>
    </x:row>
    <x:row r="334" ht="22" customHeight="1">
      <x:c r="A334" s="7"/>
      <x:c r="B334" s="6"/>
      <x:c r="C334" s="6"/>
      <x:c r="D334" s="6"/>
      <x:c r="E334" s="6"/>
      <x:c r="F334" s="17"/>
      <x:c r="G334" s="13"/>
      <x:c r="H334" s="14" t="str">
        <x:f>IF(B334="","",IF(OR(A334="",C334="",NOT(ISNUMBER(F334)),NOT(ISNUMBER(G334))),"Eksik efor",F334*G334))</x:f>
      </x:c>
      <x:c r="I334" s="2" t="n">
        <x:f>IF(OR(B334="",C334="",A334="",A334&gt;'Panel'!$N$5),0,IF(COUNTIFS($B$7:B334,B334,$C$7:C334,C334,$A$7:A334,"&lt;="&amp;'Panel'!$N$5)=1,1,0))</x:f>
        <x:v>0</x:v>
      </x:c>
      <x:c r="J334" s="2" t="n">
        <x:f>IF(OR(B334="",C334="",A334="",A334&gt;'Panel'!$N$5,A334&lt;'Panel'!$N$5-WEEKDAY('Panel'!$N$5,2)+1),0,IF(COUNTIFS($B$7:B334,B334,$C$7:C334,C334,$A$7:A334,"&gt;="&amp;('Panel'!$N$5-WEEKDAY('Panel'!$N$5,2)+1),$A$7:A334,"&lt;="&amp;'Panel'!$N$5)=1,1,0))</x:f>
        <x:v>0</x:v>
      </x:c>
    </x:row>
    <x:row r="335" ht="22" customHeight="1">
      <x:c r="A335" s="7"/>
      <x:c r="B335" s="6"/>
      <x:c r="C335" s="6"/>
      <x:c r="D335" s="6"/>
      <x:c r="E335" s="6"/>
      <x:c r="F335" s="17"/>
      <x:c r="G335" s="13"/>
      <x:c r="H335" s="14" t="str">
        <x:f>IF(B335="","",IF(OR(A335="",C335="",NOT(ISNUMBER(F335)),NOT(ISNUMBER(G335))),"Eksik efor",F335*G335))</x:f>
      </x:c>
      <x:c r="I335" s="2" t="n">
        <x:f>IF(OR(B335="",C335="",A335="",A335&gt;'Panel'!$N$5),0,IF(COUNTIFS($B$7:B335,B335,$C$7:C335,C335,$A$7:A335,"&lt;="&amp;'Panel'!$N$5)=1,1,0))</x:f>
        <x:v>0</x:v>
      </x:c>
      <x:c r="J335" s="2" t="n">
        <x:f>IF(OR(B335="",C335="",A335="",A335&gt;'Panel'!$N$5,A335&lt;'Panel'!$N$5-WEEKDAY('Panel'!$N$5,2)+1),0,IF(COUNTIFS($B$7:B335,B335,$C$7:C335,C335,$A$7:A335,"&gt;="&amp;('Panel'!$N$5-WEEKDAY('Panel'!$N$5,2)+1),$A$7:A335,"&lt;="&amp;'Panel'!$N$5)=1,1,0))</x:f>
        <x:v>0</x:v>
      </x:c>
    </x:row>
    <x:row r="336" ht="22" customHeight="1">
      <x:c r="A336" s="7"/>
      <x:c r="B336" s="6"/>
      <x:c r="C336" s="6"/>
      <x:c r="D336" s="6"/>
      <x:c r="E336" s="6"/>
      <x:c r="F336" s="17"/>
      <x:c r="G336" s="13"/>
      <x:c r="H336" s="14" t="str">
        <x:f>IF(B336="","",IF(OR(A336="",C336="",NOT(ISNUMBER(F336)),NOT(ISNUMBER(G336))),"Eksik efor",F336*G336))</x:f>
      </x:c>
      <x:c r="I336" s="2" t="n">
        <x:f>IF(OR(B336="",C336="",A336="",A336&gt;'Panel'!$N$5),0,IF(COUNTIFS($B$7:B336,B336,$C$7:C336,C336,$A$7:A336,"&lt;="&amp;'Panel'!$N$5)=1,1,0))</x:f>
        <x:v>0</x:v>
      </x:c>
      <x:c r="J336" s="2" t="n">
        <x:f>IF(OR(B336="",C336="",A336="",A336&gt;'Panel'!$N$5,A336&lt;'Panel'!$N$5-WEEKDAY('Panel'!$N$5,2)+1),0,IF(COUNTIFS($B$7:B336,B336,$C$7:C336,C336,$A$7:A336,"&gt;="&amp;('Panel'!$N$5-WEEKDAY('Panel'!$N$5,2)+1),$A$7:A336,"&lt;="&amp;'Panel'!$N$5)=1,1,0))</x:f>
        <x:v>0</x:v>
      </x:c>
    </x:row>
    <x:row r="337" ht="22" customHeight="1">
      <x:c r="A337" s="7"/>
      <x:c r="B337" s="6"/>
      <x:c r="C337" s="6"/>
      <x:c r="D337" s="6"/>
      <x:c r="E337" s="6"/>
      <x:c r="F337" s="17"/>
      <x:c r="G337" s="13"/>
      <x:c r="H337" s="14" t="str">
        <x:f>IF(B337="","",IF(OR(A337="",C337="",NOT(ISNUMBER(F337)),NOT(ISNUMBER(G337))),"Eksik efor",F337*G337))</x:f>
      </x:c>
      <x:c r="I337" s="2" t="n">
        <x:f>IF(OR(B337="",C337="",A337="",A337&gt;'Panel'!$N$5),0,IF(COUNTIFS($B$7:B337,B337,$C$7:C337,C337,$A$7:A337,"&lt;="&amp;'Panel'!$N$5)=1,1,0))</x:f>
        <x:v>0</x:v>
      </x:c>
      <x:c r="J337" s="2" t="n">
        <x:f>IF(OR(B337="",C337="",A337="",A337&gt;'Panel'!$N$5,A337&lt;'Panel'!$N$5-WEEKDAY('Panel'!$N$5,2)+1),0,IF(COUNTIFS($B$7:B337,B337,$C$7:C337,C337,$A$7:A337,"&gt;="&amp;('Panel'!$N$5-WEEKDAY('Panel'!$N$5,2)+1),$A$7:A337,"&lt;="&amp;'Panel'!$N$5)=1,1,0))</x:f>
        <x:v>0</x:v>
      </x:c>
    </x:row>
    <x:row r="338" ht="22" customHeight="1">
      <x:c r="A338" s="7"/>
      <x:c r="B338" s="6"/>
      <x:c r="C338" s="6"/>
      <x:c r="D338" s="6"/>
      <x:c r="E338" s="6"/>
      <x:c r="F338" s="17"/>
      <x:c r="G338" s="13"/>
      <x:c r="H338" s="14" t="str">
        <x:f>IF(B338="","",IF(OR(A338="",C338="",NOT(ISNUMBER(F338)),NOT(ISNUMBER(G338))),"Eksik efor",F338*G338))</x:f>
      </x:c>
      <x:c r="I338" s="2" t="n">
        <x:f>IF(OR(B338="",C338="",A338="",A338&gt;'Panel'!$N$5),0,IF(COUNTIFS($B$7:B338,B338,$C$7:C338,C338,$A$7:A338,"&lt;="&amp;'Panel'!$N$5)=1,1,0))</x:f>
        <x:v>0</x:v>
      </x:c>
      <x:c r="J338" s="2" t="n">
        <x:f>IF(OR(B338="",C338="",A338="",A338&gt;'Panel'!$N$5,A338&lt;'Panel'!$N$5-WEEKDAY('Panel'!$N$5,2)+1),0,IF(COUNTIFS($B$7:B338,B338,$C$7:C338,C338,$A$7:A338,"&gt;="&amp;('Panel'!$N$5-WEEKDAY('Panel'!$N$5,2)+1),$A$7:A338,"&lt;="&amp;'Panel'!$N$5)=1,1,0))</x:f>
        <x:v>0</x:v>
      </x:c>
    </x:row>
    <x:row r="339" ht="22" customHeight="1">
      <x:c r="A339" s="7"/>
      <x:c r="B339" s="6"/>
      <x:c r="C339" s="6"/>
      <x:c r="D339" s="6"/>
      <x:c r="E339" s="6"/>
      <x:c r="F339" s="17"/>
      <x:c r="G339" s="13"/>
      <x:c r="H339" s="14" t="str">
        <x:f>IF(B339="","",IF(OR(A339="",C339="",NOT(ISNUMBER(F339)),NOT(ISNUMBER(G339))),"Eksik efor",F339*G339))</x:f>
      </x:c>
      <x:c r="I339" s="2" t="n">
        <x:f>IF(OR(B339="",C339="",A339="",A339&gt;'Panel'!$N$5),0,IF(COUNTIFS($B$7:B339,B339,$C$7:C339,C339,$A$7:A339,"&lt;="&amp;'Panel'!$N$5)=1,1,0))</x:f>
        <x:v>0</x:v>
      </x:c>
      <x:c r="J339" s="2" t="n">
        <x:f>IF(OR(B339="",C339="",A339="",A339&gt;'Panel'!$N$5,A339&lt;'Panel'!$N$5-WEEKDAY('Panel'!$N$5,2)+1),0,IF(COUNTIFS($B$7:B339,B339,$C$7:C339,C339,$A$7:A339,"&gt;="&amp;('Panel'!$N$5-WEEKDAY('Panel'!$N$5,2)+1),$A$7:A339,"&lt;="&amp;'Panel'!$N$5)=1,1,0))</x:f>
        <x:v>0</x:v>
      </x:c>
    </x:row>
    <x:row r="340" ht="22" customHeight="1">
      <x:c r="A340" s="7"/>
      <x:c r="B340" s="6"/>
      <x:c r="C340" s="6"/>
      <x:c r="D340" s="6"/>
      <x:c r="E340" s="6"/>
      <x:c r="F340" s="17"/>
      <x:c r="G340" s="13"/>
      <x:c r="H340" s="14" t="str">
        <x:f>IF(B340="","",IF(OR(A340="",C340="",NOT(ISNUMBER(F340)),NOT(ISNUMBER(G340))),"Eksik efor",F340*G340))</x:f>
      </x:c>
      <x:c r="I340" s="2" t="n">
        <x:f>IF(OR(B340="",C340="",A340="",A340&gt;'Panel'!$N$5),0,IF(COUNTIFS($B$7:B340,B340,$C$7:C340,C340,$A$7:A340,"&lt;="&amp;'Panel'!$N$5)=1,1,0))</x:f>
        <x:v>0</x:v>
      </x:c>
      <x:c r="J340" s="2" t="n">
        <x:f>IF(OR(B340="",C340="",A340="",A340&gt;'Panel'!$N$5,A340&lt;'Panel'!$N$5-WEEKDAY('Panel'!$N$5,2)+1),0,IF(COUNTIFS($B$7:B340,B340,$C$7:C340,C340,$A$7:A340,"&gt;="&amp;('Panel'!$N$5-WEEKDAY('Panel'!$N$5,2)+1),$A$7:A340,"&lt;="&amp;'Panel'!$N$5)=1,1,0))</x:f>
        <x:v>0</x:v>
      </x:c>
    </x:row>
    <x:row r="341" ht="22" customHeight="1">
      <x:c r="A341" s="7"/>
      <x:c r="B341" s="6"/>
      <x:c r="C341" s="6"/>
      <x:c r="D341" s="6"/>
      <x:c r="E341" s="6"/>
      <x:c r="F341" s="17"/>
      <x:c r="G341" s="13"/>
      <x:c r="H341" s="14" t="str">
        <x:f>IF(B341="","",IF(OR(A341="",C341="",NOT(ISNUMBER(F341)),NOT(ISNUMBER(G341))),"Eksik efor",F341*G341))</x:f>
      </x:c>
      <x:c r="I341" s="2" t="n">
        <x:f>IF(OR(B341="",C341="",A341="",A341&gt;'Panel'!$N$5),0,IF(COUNTIFS($B$7:B341,B341,$C$7:C341,C341,$A$7:A341,"&lt;="&amp;'Panel'!$N$5)=1,1,0))</x:f>
        <x:v>0</x:v>
      </x:c>
      <x:c r="J341" s="2" t="n">
        <x:f>IF(OR(B341="",C341="",A341="",A341&gt;'Panel'!$N$5,A341&lt;'Panel'!$N$5-WEEKDAY('Panel'!$N$5,2)+1),0,IF(COUNTIFS($B$7:B341,B341,$C$7:C341,C341,$A$7:A341,"&gt;="&amp;('Panel'!$N$5-WEEKDAY('Panel'!$N$5,2)+1),$A$7:A341,"&lt;="&amp;'Panel'!$N$5)=1,1,0))</x:f>
        <x:v>0</x:v>
      </x:c>
    </x:row>
    <x:row r="342" ht="22" customHeight="1">
      <x:c r="A342" s="7"/>
      <x:c r="B342" s="6"/>
      <x:c r="C342" s="6"/>
      <x:c r="D342" s="6"/>
      <x:c r="E342" s="6"/>
      <x:c r="F342" s="17"/>
      <x:c r="G342" s="13"/>
      <x:c r="H342" s="14" t="str">
        <x:f>IF(B342="","",IF(OR(A342="",C342="",NOT(ISNUMBER(F342)),NOT(ISNUMBER(G342))),"Eksik efor",F342*G342))</x:f>
      </x:c>
      <x:c r="I342" s="2" t="n">
        <x:f>IF(OR(B342="",C342="",A342="",A342&gt;'Panel'!$N$5),0,IF(COUNTIFS($B$7:B342,B342,$C$7:C342,C342,$A$7:A342,"&lt;="&amp;'Panel'!$N$5)=1,1,0))</x:f>
        <x:v>0</x:v>
      </x:c>
      <x:c r="J342" s="2" t="n">
        <x:f>IF(OR(B342="",C342="",A342="",A342&gt;'Panel'!$N$5,A342&lt;'Panel'!$N$5-WEEKDAY('Panel'!$N$5,2)+1),0,IF(COUNTIFS($B$7:B342,B342,$C$7:C342,C342,$A$7:A342,"&gt;="&amp;('Panel'!$N$5-WEEKDAY('Panel'!$N$5,2)+1),$A$7:A342,"&lt;="&amp;'Panel'!$N$5)=1,1,0))</x:f>
        <x:v>0</x:v>
      </x:c>
    </x:row>
    <x:row r="343" ht="22" customHeight="1">
      <x:c r="A343" s="7"/>
      <x:c r="B343" s="6"/>
      <x:c r="C343" s="6"/>
      <x:c r="D343" s="6"/>
      <x:c r="E343" s="6"/>
      <x:c r="F343" s="17"/>
      <x:c r="G343" s="13"/>
      <x:c r="H343" s="14" t="str">
        <x:f>IF(B343="","",IF(OR(A343="",C343="",NOT(ISNUMBER(F343)),NOT(ISNUMBER(G343))),"Eksik efor",F343*G343))</x:f>
      </x:c>
      <x:c r="I343" s="2" t="n">
        <x:f>IF(OR(B343="",C343="",A343="",A343&gt;'Panel'!$N$5),0,IF(COUNTIFS($B$7:B343,B343,$C$7:C343,C343,$A$7:A343,"&lt;="&amp;'Panel'!$N$5)=1,1,0))</x:f>
        <x:v>0</x:v>
      </x:c>
      <x:c r="J343" s="2" t="n">
        <x:f>IF(OR(B343="",C343="",A343="",A343&gt;'Panel'!$N$5,A343&lt;'Panel'!$N$5-WEEKDAY('Panel'!$N$5,2)+1),0,IF(COUNTIFS($B$7:B343,B343,$C$7:C343,C343,$A$7:A343,"&gt;="&amp;('Panel'!$N$5-WEEKDAY('Panel'!$N$5,2)+1),$A$7:A343,"&lt;="&amp;'Panel'!$N$5)=1,1,0))</x:f>
        <x:v>0</x:v>
      </x:c>
    </x:row>
    <x:row r="344" ht="22" customHeight="1">
      <x:c r="A344" s="7"/>
      <x:c r="B344" s="6"/>
      <x:c r="C344" s="6"/>
      <x:c r="D344" s="6"/>
      <x:c r="E344" s="6"/>
      <x:c r="F344" s="17"/>
      <x:c r="G344" s="13"/>
      <x:c r="H344" s="14" t="str">
        <x:f>IF(B344="","",IF(OR(A344="",C344="",NOT(ISNUMBER(F344)),NOT(ISNUMBER(G344))),"Eksik efor",F344*G344))</x:f>
      </x:c>
      <x:c r="I344" s="2" t="n">
        <x:f>IF(OR(B344="",C344="",A344="",A344&gt;'Panel'!$N$5),0,IF(COUNTIFS($B$7:B344,B344,$C$7:C344,C344,$A$7:A344,"&lt;="&amp;'Panel'!$N$5)=1,1,0))</x:f>
        <x:v>0</x:v>
      </x:c>
      <x:c r="J344" s="2" t="n">
        <x:f>IF(OR(B344="",C344="",A344="",A344&gt;'Panel'!$N$5,A344&lt;'Panel'!$N$5-WEEKDAY('Panel'!$N$5,2)+1),0,IF(COUNTIFS($B$7:B344,B344,$C$7:C344,C344,$A$7:A344,"&gt;="&amp;('Panel'!$N$5-WEEKDAY('Panel'!$N$5,2)+1),$A$7:A344,"&lt;="&amp;'Panel'!$N$5)=1,1,0))</x:f>
        <x:v>0</x:v>
      </x:c>
    </x:row>
    <x:row r="345" ht="22" customHeight="1">
      <x:c r="A345" s="7"/>
      <x:c r="B345" s="6"/>
      <x:c r="C345" s="6"/>
      <x:c r="D345" s="6"/>
      <x:c r="E345" s="6"/>
      <x:c r="F345" s="17"/>
      <x:c r="G345" s="13"/>
      <x:c r="H345" s="14" t="str">
        <x:f>IF(B345="","",IF(OR(A345="",C345="",NOT(ISNUMBER(F345)),NOT(ISNUMBER(G345))),"Eksik efor",F345*G345))</x:f>
      </x:c>
      <x:c r="I345" s="2" t="n">
        <x:f>IF(OR(B345="",C345="",A345="",A345&gt;'Panel'!$N$5),0,IF(COUNTIFS($B$7:B345,B345,$C$7:C345,C345,$A$7:A345,"&lt;="&amp;'Panel'!$N$5)=1,1,0))</x:f>
        <x:v>0</x:v>
      </x:c>
      <x:c r="J345" s="2" t="n">
        <x:f>IF(OR(B345="",C345="",A345="",A345&gt;'Panel'!$N$5,A345&lt;'Panel'!$N$5-WEEKDAY('Panel'!$N$5,2)+1),0,IF(COUNTIFS($B$7:B345,B345,$C$7:C345,C345,$A$7:A345,"&gt;="&amp;('Panel'!$N$5-WEEKDAY('Panel'!$N$5,2)+1),$A$7:A345,"&lt;="&amp;'Panel'!$N$5)=1,1,0))</x:f>
        <x:v>0</x:v>
      </x:c>
    </x:row>
    <x:row r="346" ht="22" customHeight="1">
      <x:c r="A346" s="7"/>
      <x:c r="B346" s="6"/>
      <x:c r="C346" s="6"/>
      <x:c r="D346" s="6"/>
      <x:c r="E346" s="6"/>
      <x:c r="F346" s="17"/>
      <x:c r="G346" s="13"/>
      <x:c r="H346" s="14" t="str">
        <x:f>IF(B346="","",IF(OR(A346="",C346="",NOT(ISNUMBER(F346)),NOT(ISNUMBER(G346))),"Eksik efor",F346*G346))</x:f>
      </x:c>
      <x:c r="I346" s="2" t="n">
        <x:f>IF(OR(B346="",C346="",A346="",A346&gt;'Panel'!$N$5),0,IF(COUNTIFS($B$7:B346,B346,$C$7:C346,C346,$A$7:A346,"&lt;="&amp;'Panel'!$N$5)=1,1,0))</x:f>
        <x:v>0</x:v>
      </x:c>
      <x:c r="J346" s="2" t="n">
        <x:f>IF(OR(B346="",C346="",A346="",A346&gt;'Panel'!$N$5,A346&lt;'Panel'!$N$5-WEEKDAY('Panel'!$N$5,2)+1),0,IF(COUNTIFS($B$7:B346,B346,$C$7:C346,C346,$A$7:A346,"&gt;="&amp;('Panel'!$N$5-WEEKDAY('Panel'!$N$5,2)+1),$A$7:A346,"&lt;="&amp;'Panel'!$N$5)=1,1,0))</x:f>
        <x:v>0</x:v>
      </x:c>
    </x:row>
    <x:row r="347" ht="22" customHeight="1">
      <x:c r="A347" s="7"/>
      <x:c r="B347" s="6"/>
      <x:c r="C347" s="6"/>
      <x:c r="D347" s="6"/>
      <x:c r="E347" s="6"/>
      <x:c r="F347" s="17"/>
      <x:c r="G347" s="13"/>
      <x:c r="H347" s="14" t="str">
        <x:f>IF(B347="","",IF(OR(A347="",C347="",NOT(ISNUMBER(F347)),NOT(ISNUMBER(G347))),"Eksik efor",F347*G347))</x:f>
      </x:c>
      <x:c r="I347" s="2" t="n">
        <x:f>IF(OR(B347="",C347="",A347="",A347&gt;'Panel'!$N$5),0,IF(COUNTIFS($B$7:B347,B347,$C$7:C347,C347,$A$7:A347,"&lt;="&amp;'Panel'!$N$5)=1,1,0))</x:f>
        <x:v>0</x:v>
      </x:c>
      <x:c r="J347" s="2" t="n">
        <x:f>IF(OR(B347="",C347="",A347="",A347&gt;'Panel'!$N$5,A347&lt;'Panel'!$N$5-WEEKDAY('Panel'!$N$5,2)+1),0,IF(COUNTIFS($B$7:B347,B347,$C$7:C347,C347,$A$7:A347,"&gt;="&amp;('Panel'!$N$5-WEEKDAY('Panel'!$N$5,2)+1),$A$7:A347,"&lt;="&amp;'Panel'!$N$5)=1,1,0))</x:f>
        <x:v>0</x:v>
      </x:c>
    </x:row>
    <x:row r="348" ht="22" customHeight="1">
      <x:c r="A348" s="7"/>
      <x:c r="B348" s="6"/>
      <x:c r="C348" s="6"/>
      <x:c r="D348" s="6"/>
      <x:c r="E348" s="6"/>
      <x:c r="F348" s="17"/>
      <x:c r="G348" s="13"/>
      <x:c r="H348" s="14" t="str">
        <x:f>IF(B348="","",IF(OR(A348="",C348="",NOT(ISNUMBER(F348)),NOT(ISNUMBER(G348))),"Eksik efor",F348*G348))</x:f>
      </x:c>
      <x:c r="I348" s="2" t="n">
        <x:f>IF(OR(B348="",C348="",A348="",A348&gt;'Panel'!$N$5),0,IF(COUNTIFS($B$7:B348,B348,$C$7:C348,C348,$A$7:A348,"&lt;="&amp;'Panel'!$N$5)=1,1,0))</x:f>
        <x:v>0</x:v>
      </x:c>
      <x:c r="J348" s="2" t="n">
        <x:f>IF(OR(B348="",C348="",A348="",A348&gt;'Panel'!$N$5,A348&lt;'Panel'!$N$5-WEEKDAY('Panel'!$N$5,2)+1),0,IF(COUNTIFS($B$7:B348,B348,$C$7:C348,C348,$A$7:A348,"&gt;="&amp;('Panel'!$N$5-WEEKDAY('Panel'!$N$5,2)+1),$A$7:A348,"&lt;="&amp;'Panel'!$N$5)=1,1,0))</x:f>
        <x:v>0</x:v>
      </x:c>
    </x:row>
    <x:row r="349" ht="22" customHeight="1">
      <x:c r="A349" s="7"/>
      <x:c r="B349" s="6"/>
      <x:c r="C349" s="6"/>
      <x:c r="D349" s="6"/>
      <x:c r="E349" s="6"/>
      <x:c r="F349" s="17"/>
      <x:c r="G349" s="13"/>
      <x:c r="H349" s="14" t="str">
        <x:f>IF(B349="","",IF(OR(A349="",C349="",NOT(ISNUMBER(F349)),NOT(ISNUMBER(G349))),"Eksik efor",F349*G349))</x:f>
      </x:c>
      <x:c r="I349" s="2" t="n">
        <x:f>IF(OR(B349="",C349="",A349="",A349&gt;'Panel'!$N$5),0,IF(COUNTIFS($B$7:B349,B349,$C$7:C349,C349,$A$7:A349,"&lt;="&amp;'Panel'!$N$5)=1,1,0))</x:f>
        <x:v>0</x:v>
      </x:c>
      <x:c r="J349" s="2" t="n">
        <x:f>IF(OR(B349="",C349="",A349="",A349&gt;'Panel'!$N$5,A349&lt;'Panel'!$N$5-WEEKDAY('Panel'!$N$5,2)+1),0,IF(COUNTIFS($B$7:B349,B349,$C$7:C349,C349,$A$7:A349,"&gt;="&amp;('Panel'!$N$5-WEEKDAY('Panel'!$N$5,2)+1),$A$7:A349,"&lt;="&amp;'Panel'!$N$5)=1,1,0))</x:f>
        <x:v>0</x:v>
      </x:c>
    </x:row>
    <x:row r="350" ht="22" customHeight="1">
      <x:c r="A350" s="7"/>
      <x:c r="B350" s="6"/>
      <x:c r="C350" s="6"/>
      <x:c r="D350" s="6"/>
      <x:c r="E350" s="6"/>
      <x:c r="F350" s="17"/>
      <x:c r="G350" s="13"/>
      <x:c r="H350" s="14" t="str">
        <x:f>IF(B350="","",IF(OR(A350="",C350="",NOT(ISNUMBER(F350)),NOT(ISNUMBER(G350))),"Eksik efor",F350*G350))</x:f>
      </x:c>
      <x:c r="I350" s="2" t="n">
        <x:f>IF(OR(B350="",C350="",A350="",A350&gt;'Panel'!$N$5),0,IF(COUNTIFS($B$7:B350,B350,$C$7:C350,C350,$A$7:A350,"&lt;="&amp;'Panel'!$N$5)=1,1,0))</x:f>
        <x:v>0</x:v>
      </x:c>
      <x:c r="J350" s="2" t="n">
        <x:f>IF(OR(B350="",C350="",A350="",A350&gt;'Panel'!$N$5,A350&lt;'Panel'!$N$5-WEEKDAY('Panel'!$N$5,2)+1),0,IF(COUNTIFS($B$7:B350,B350,$C$7:C350,C350,$A$7:A350,"&gt;="&amp;('Panel'!$N$5-WEEKDAY('Panel'!$N$5,2)+1),$A$7:A350,"&lt;="&amp;'Panel'!$N$5)=1,1,0))</x:f>
        <x:v>0</x:v>
      </x:c>
    </x:row>
    <x:row r="351" ht="22" customHeight="1">
      <x:c r="A351" s="7"/>
      <x:c r="B351" s="6"/>
      <x:c r="C351" s="6"/>
      <x:c r="D351" s="6"/>
      <x:c r="E351" s="6"/>
      <x:c r="F351" s="17"/>
      <x:c r="G351" s="13"/>
      <x:c r="H351" s="14" t="str">
        <x:f>IF(B351="","",IF(OR(A351="",C351="",NOT(ISNUMBER(F351)),NOT(ISNUMBER(G351))),"Eksik efor",F351*G351))</x:f>
      </x:c>
      <x:c r="I351" s="2" t="n">
        <x:f>IF(OR(B351="",C351="",A351="",A351&gt;'Panel'!$N$5),0,IF(COUNTIFS($B$7:B351,B351,$C$7:C351,C351,$A$7:A351,"&lt;="&amp;'Panel'!$N$5)=1,1,0))</x:f>
        <x:v>0</x:v>
      </x:c>
      <x:c r="J351" s="2" t="n">
        <x:f>IF(OR(B351="",C351="",A351="",A351&gt;'Panel'!$N$5,A351&lt;'Panel'!$N$5-WEEKDAY('Panel'!$N$5,2)+1),0,IF(COUNTIFS($B$7:B351,B351,$C$7:C351,C351,$A$7:A351,"&gt;="&amp;('Panel'!$N$5-WEEKDAY('Panel'!$N$5,2)+1),$A$7:A351,"&lt;="&amp;'Panel'!$N$5)=1,1,0))</x:f>
        <x:v>0</x:v>
      </x:c>
    </x:row>
    <x:row r="352" ht="22" customHeight="1">
      <x:c r="A352" s="7"/>
      <x:c r="B352" s="6"/>
      <x:c r="C352" s="6"/>
      <x:c r="D352" s="6"/>
      <x:c r="E352" s="6"/>
      <x:c r="F352" s="17"/>
      <x:c r="G352" s="13"/>
      <x:c r="H352" s="14" t="str">
        <x:f>IF(B352="","",IF(OR(A352="",C352="",NOT(ISNUMBER(F352)),NOT(ISNUMBER(G352))),"Eksik efor",F352*G352))</x:f>
      </x:c>
      <x:c r="I352" s="2" t="n">
        <x:f>IF(OR(B352="",C352="",A352="",A352&gt;'Panel'!$N$5),0,IF(COUNTIFS($B$7:B352,B352,$C$7:C352,C352,$A$7:A352,"&lt;="&amp;'Panel'!$N$5)=1,1,0))</x:f>
        <x:v>0</x:v>
      </x:c>
      <x:c r="J352" s="2" t="n">
        <x:f>IF(OR(B352="",C352="",A352="",A352&gt;'Panel'!$N$5,A352&lt;'Panel'!$N$5-WEEKDAY('Panel'!$N$5,2)+1),0,IF(COUNTIFS($B$7:B352,B352,$C$7:C352,C352,$A$7:A352,"&gt;="&amp;('Panel'!$N$5-WEEKDAY('Panel'!$N$5,2)+1),$A$7:A352,"&lt;="&amp;'Panel'!$N$5)=1,1,0))</x:f>
        <x:v>0</x:v>
      </x:c>
    </x:row>
    <x:row r="353" ht="22" customHeight="1">
      <x:c r="A353" s="7"/>
      <x:c r="B353" s="6"/>
      <x:c r="C353" s="6"/>
      <x:c r="D353" s="6"/>
      <x:c r="E353" s="6"/>
      <x:c r="F353" s="17"/>
      <x:c r="G353" s="13"/>
      <x:c r="H353" s="14" t="str">
        <x:f>IF(B353="","",IF(OR(A353="",C353="",NOT(ISNUMBER(F353)),NOT(ISNUMBER(G353))),"Eksik efor",F353*G353))</x:f>
      </x:c>
      <x:c r="I353" s="2" t="n">
        <x:f>IF(OR(B353="",C353="",A353="",A353&gt;'Panel'!$N$5),0,IF(COUNTIFS($B$7:B353,B353,$C$7:C353,C353,$A$7:A353,"&lt;="&amp;'Panel'!$N$5)=1,1,0))</x:f>
        <x:v>0</x:v>
      </x:c>
      <x:c r="J353" s="2" t="n">
        <x:f>IF(OR(B353="",C353="",A353="",A353&gt;'Panel'!$N$5,A353&lt;'Panel'!$N$5-WEEKDAY('Panel'!$N$5,2)+1),0,IF(COUNTIFS($B$7:B353,B353,$C$7:C353,C353,$A$7:A353,"&gt;="&amp;('Panel'!$N$5-WEEKDAY('Panel'!$N$5,2)+1),$A$7:A353,"&lt;="&amp;'Panel'!$N$5)=1,1,0))</x:f>
        <x:v>0</x:v>
      </x:c>
    </x:row>
    <x:row r="354" ht="22" customHeight="1">
      <x:c r="A354" s="7"/>
      <x:c r="B354" s="6"/>
      <x:c r="C354" s="6"/>
      <x:c r="D354" s="6"/>
      <x:c r="E354" s="6"/>
      <x:c r="F354" s="17"/>
      <x:c r="G354" s="13"/>
      <x:c r="H354" s="14" t="str">
        <x:f>IF(B354="","",IF(OR(A354="",C354="",NOT(ISNUMBER(F354)),NOT(ISNUMBER(G354))),"Eksik efor",F354*G354))</x:f>
      </x:c>
      <x:c r="I354" s="2" t="n">
        <x:f>IF(OR(B354="",C354="",A354="",A354&gt;'Panel'!$N$5),0,IF(COUNTIFS($B$7:B354,B354,$C$7:C354,C354,$A$7:A354,"&lt;="&amp;'Panel'!$N$5)=1,1,0))</x:f>
        <x:v>0</x:v>
      </x:c>
      <x:c r="J354" s="2" t="n">
        <x:f>IF(OR(B354="",C354="",A354="",A354&gt;'Panel'!$N$5,A354&lt;'Panel'!$N$5-WEEKDAY('Panel'!$N$5,2)+1),0,IF(COUNTIFS($B$7:B354,B354,$C$7:C354,C354,$A$7:A354,"&gt;="&amp;('Panel'!$N$5-WEEKDAY('Panel'!$N$5,2)+1),$A$7:A354,"&lt;="&amp;'Panel'!$N$5)=1,1,0))</x:f>
        <x:v>0</x:v>
      </x:c>
    </x:row>
    <x:row r="355" ht="22" customHeight="1">
      <x:c r="A355" s="7"/>
      <x:c r="B355" s="6"/>
      <x:c r="C355" s="6"/>
      <x:c r="D355" s="6"/>
      <x:c r="E355" s="6"/>
      <x:c r="F355" s="17"/>
      <x:c r="G355" s="13"/>
      <x:c r="H355" s="14" t="str">
        <x:f>IF(B355="","",IF(OR(A355="",C355="",NOT(ISNUMBER(F355)),NOT(ISNUMBER(G355))),"Eksik efor",F355*G355))</x:f>
      </x:c>
      <x:c r="I355" s="2" t="n">
        <x:f>IF(OR(B355="",C355="",A355="",A355&gt;'Panel'!$N$5),0,IF(COUNTIFS($B$7:B355,B355,$C$7:C355,C355,$A$7:A355,"&lt;="&amp;'Panel'!$N$5)=1,1,0))</x:f>
        <x:v>0</x:v>
      </x:c>
      <x:c r="J355" s="2" t="n">
        <x:f>IF(OR(B355="",C355="",A355="",A355&gt;'Panel'!$N$5,A355&lt;'Panel'!$N$5-WEEKDAY('Panel'!$N$5,2)+1),0,IF(COUNTIFS($B$7:B355,B355,$C$7:C355,C355,$A$7:A355,"&gt;="&amp;('Panel'!$N$5-WEEKDAY('Panel'!$N$5,2)+1),$A$7:A355,"&lt;="&amp;'Panel'!$N$5)=1,1,0))</x:f>
        <x:v>0</x:v>
      </x:c>
    </x:row>
    <x:row r="356" ht="22" customHeight="1">
      <x:c r="A356" s="7"/>
      <x:c r="B356" s="6"/>
      <x:c r="C356" s="6"/>
      <x:c r="D356" s="6"/>
      <x:c r="E356" s="6"/>
      <x:c r="F356" s="17"/>
      <x:c r="G356" s="13"/>
      <x:c r="H356" s="14" t="str">
        <x:f>IF(B356="","",IF(OR(A356="",C356="",NOT(ISNUMBER(F356)),NOT(ISNUMBER(G356))),"Eksik efor",F356*G356))</x:f>
      </x:c>
      <x:c r="I356" s="2" t="n">
        <x:f>IF(OR(B356="",C356="",A356="",A356&gt;'Panel'!$N$5),0,IF(COUNTIFS($B$7:B356,B356,$C$7:C356,C356,$A$7:A356,"&lt;="&amp;'Panel'!$N$5)=1,1,0))</x:f>
        <x:v>0</x:v>
      </x:c>
      <x:c r="J356" s="2" t="n">
        <x:f>IF(OR(B356="",C356="",A356="",A356&gt;'Panel'!$N$5,A356&lt;'Panel'!$N$5-WEEKDAY('Panel'!$N$5,2)+1),0,IF(COUNTIFS($B$7:B356,B356,$C$7:C356,C356,$A$7:A356,"&gt;="&amp;('Panel'!$N$5-WEEKDAY('Panel'!$N$5,2)+1),$A$7:A356,"&lt;="&amp;'Panel'!$N$5)=1,1,0))</x:f>
        <x:v>0</x:v>
      </x:c>
    </x:row>
    <x:row r="357" ht="22" customHeight="1">
      <x:c r="A357" s="7"/>
      <x:c r="B357" s="6"/>
      <x:c r="C357" s="6"/>
      <x:c r="D357" s="6"/>
      <x:c r="E357" s="6"/>
      <x:c r="F357" s="17"/>
      <x:c r="G357" s="13"/>
      <x:c r="H357" s="14" t="str">
        <x:f>IF(B357="","",IF(OR(A357="",C357="",NOT(ISNUMBER(F357)),NOT(ISNUMBER(G357))),"Eksik efor",F357*G357))</x:f>
      </x:c>
      <x:c r="I357" s="2" t="n">
        <x:f>IF(OR(B357="",C357="",A357="",A357&gt;'Panel'!$N$5),0,IF(COUNTIFS($B$7:B357,B357,$C$7:C357,C357,$A$7:A357,"&lt;="&amp;'Panel'!$N$5)=1,1,0))</x:f>
        <x:v>0</x:v>
      </x:c>
      <x:c r="J357" s="2" t="n">
        <x:f>IF(OR(B357="",C357="",A357="",A357&gt;'Panel'!$N$5,A357&lt;'Panel'!$N$5-WEEKDAY('Panel'!$N$5,2)+1),0,IF(COUNTIFS($B$7:B357,B357,$C$7:C357,C357,$A$7:A357,"&gt;="&amp;('Panel'!$N$5-WEEKDAY('Panel'!$N$5,2)+1),$A$7:A357,"&lt;="&amp;'Panel'!$N$5)=1,1,0))</x:f>
        <x:v>0</x:v>
      </x:c>
    </x:row>
    <x:row r="358" ht="22" customHeight="1">
      <x:c r="A358" s="7"/>
      <x:c r="B358" s="6"/>
      <x:c r="C358" s="6"/>
      <x:c r="D358" s="6"/>
      <x:c r="E358" s="6"/>
      <x:c r="F358" s="17"/>
      <x:c r="G358" s="13"/>
      <x:c r="H358" s="14" t="str">
        <x:f>IF(B358="","",IF(OR(A358="",C358="",NOT(ISNUMBER(F358)),NOT(ISNUMBER(G358))),"Eksik efor",F358*G358))</x:f>
      </x:c>
      <x:c r="I358" s="2" t="n">
        <x:f>IF(OR(B358="",C358="",A358="",A358&gt;'Panel'!$N$5),0,IF(COUNTIFS($B$7:B358,B358,$C$7:C358,C358,$A$7:A358,"&lt;="&amp;'Panel'!$N$5)=1,1,0))</x:f>
        <x:v>0</x:v>
      </x:c>
      <x:c r="J358" s="2" t="n">
        <x:f>IF(OR(B358="",C358="",A358="",A358&gt;'Panel'!$N$5,A358&lt;'Panel'!$N$5-WEEKDAY('Panel'!$N$5,2)+1),0,IF(COUNTIFS($B$7:B358,B358,$C$7:C358,C358,$A$7:A358,"&gt;="&amp;('Panel'!$N$5-WEEKDAY('Panel'!$N$5,2)+1),$A$7:A358,"&lt;="&amp;'Panel'!$N$5)=1,1,0))</x:f>
        <x:v>0</x:v>
      </x:c>
    </x:row>
    <x:row r="359" ht="22" customHeight="1">
      <x:c r="A359" s="7"/>
      <x:c r="B359" s="6"/>
      <x:c r="C359" s="6"/>
      <x:c r="D359" s="6"/>
      <x:c r="E359" s="6"/>
      <x:c r="F359" s="17"/>
      <x:c r="G359" s="13"/>
      <x:c r="H359" s="14" t="str">
        <x:f>IF(B359="","",IF(OR(A359="",C359="",NOT(ISNUMBER(F359)),NOT(ISNUMBER(G359))),"Eksik efor",F359*G359))</x:f>
      </x:c>
      <x:c r="I359" s="2" t="n">
        <x:f>IF(OR(B359="",C359="",A359="",A359&gt;'Panel'!$N$5),0,IF(COUNTIFS($B$7:B359,B359,$C$7:C359,C359,$A$7:A359,"&lt;="&amp;'Panel'!$N$5)=1,1,0))</x:f>
        <x:v>0</x:v>
      </x:c>
      <x:c r="J359" s="2" t="n">
        <x:f>IF(OR(B359="",C359="",A359="",A359&gt;'Panel'!$N$5,A359&lt;'Panel'!$N$5-WEEKDAY('Panel'!$N$5,2)+1),0,IF(COUNTIFS($B$7:B359,B359,$C$7:C359,C359,$A$7:A359,"&gt;="&amp;('Panel'!$N$5-WEEKDAY('Panel'!$N$5,2)+1),$A$7:A359,"&lt;="&amp;'Panel'!$N$5)=1,1,0))</x:f>
        <x:v>0</x:v>
      </x:c>
    </x:row>
    <x:row r="360" ht="22" customHeight="1">
      <x:c r="A360" s="7"/>
      <x:c r="B360" s="6"/>
      <x:c r="C360" s="6"/>
      <x:c r="D360" s="6"/>
      <x:c r="E360" s="6"/>
      <x:c r="F360" s="17"/>
      <x:c r="G360" s="13"/>
      <x:c r="H360" s="14" t="str">
        <x:f>IF(B360="","",IF(OR(A360="",C360="",NOT(ISNUMBER(F360)),NOT(ISNUMBER(G360))),"Eksik efor",F360*G360))</x:f>
      </x:c>
      <x:c r="I360" s="2" t="n">
        <x:f>IF(OR(B360="",C360="",A360="",A360&gt;'Panel'!$N$5),0,IF(COUNTIFS($B$7:B360,B360,$C$7:C360,C360,$A$7:A360,"&lt;="&amp;'Panel'!$N$5)=1,1,0))</x:f>
        <x:v>0</x:v>
      </x:c>
      <x:c r="J360" s="2" t="n">
        <x:f>IF(OR(B360="",C360="",A360="",A360&gt;'Panel'!$N$5,A360&lt;'Panel'!$N$5-WEEKDAY('Panel'!$N$5,2)+1),0,IF(COUNTIFS($B$7:B360,B360,$C$7:C360,C360,$A$7:A360,"&gt;="&amp;('Panel'!$N$5-WEEKDAY('Panel'!$N$5,2)+1),$A$7:A360,"&lt;="&amp;'Panel'!$N$5)=1,1,0))</x:f>
        <x:v>0</x:v>
      </x:c>
    </x:row>
    <x:row r="361" ht="22" customHeight="1">
      <x:c r="A361" s="7"/>
      <x:c r="B361" s="6"/>
      <x:c r="C361" s="6"/>
      <x:c r="D361" s="6"/>
      <x:c r="E361" s="6"/>
      <x:c r="F361" s="17"/>
      <x:c r="G361" s="13"/>
      <x:c r="H361" s="14" t="str">
        <x:f>IF(B361="","",IF(OR(A361="",C361="",NOT(ISNUMBER(F361)),NOT(ISNUMBER(G361))),"Eksik efor",F361*G361))</x:f>
      </x:c>
      <x:c r="I361" s="2" t="n">
        <x:f>IF(OR(B361="",C361="",A361="",A361&gt;'Panel'!$N$5),0,IF(COUNTIFS($B$7:B361,B361,$C$7:C361,C361,$A$7:A361,"&lt;="&amp;'Panel'!$N$5)=1,1,0))</x:f>
        <x:v>0</x:v>
      </x:c>
      <x:c r="J361" s="2" t="n">
        <x:f>IF(OR(B361="",C361="",A361="",A361&gt;'Panel'!$N$5,A361&lt;'Panel'!$N$5-WEEKDAY('Panel'!$N$5,2)+1),0,IF(COUNTIFS($B$7:B361,B361,$C$7:C361,C361,$A$7:A361,"&gt;="&amp;('Panel'!$N$5-WEEKDAY('Panel'!$N$5,2)+1),$A$7:A361,"&lt;="&amp;'Panel'!$N$5)=1,1,0))</x:f>
        <x:v>0</x:v>
      </x:c>
    </x:row>
    <x:row r="362" ht="22" customHeight="1">
      <x:c r="A362" s="7"/>
      <x:c r="B362" s="6"/>
      <x:c r="C362" s="6"/>
      <x:c r="D362" s="6"/>
      <x:c r="E362" s="6"/>
      <x:c r="F362" s="17"/>
      <x:c r="G362" s="13"/>
      <x:c r="H362" s="14" t="str">
        <x:f>IF(B362="","",IF(OR(A362="",C362="",NOT(ISNUMBER(F362)),NOT(ISNUMBER(G362))),"Eksik efor",F362*G362))</x:f>
      </x:c>
      <x:c r="I362" s="2" t="n">
        <x:f>IF(OR(B362="",C362="",A362="",A362&gt;'Panel'!$N$5),0,IF(COUNTIFS($B$7:B362,B362,$C$7:C362,C362,$A$7:A362,"&lt;="&amp;'Panel'!$N$5)=1,1,0))</x:f>
        <x:v>0</x:v>
      </x:c>
      <x:c r="J362" s="2" t="n">
        <x:f>IF(OR(B362="",C362="",A362="",A362&gt;'Panel'!$N$5,A362&lt;'Panel'!$N$5-WEEKDAY('Panel'!$N$5,2)+1),0,IF(COUNTIFS($B$7:B362,B362,$C$7:C362,C362,$A$7:A362,"&gt;="&amp;('Panel'!$N$5-WEEKDAY('Panel'!$N$5,2)+1),$A$7:A362,"&lt;="&amp;'Panel'!$N$5)=1,1,0))</x:f>
        <x:v>0</x:v>
      </x:c>
    </x:row>
    <x:row r="363" ht="22" customHeight="1">
      <x:c r="A363" s="7"/>
      <x:c r="B363" s="6"/>
      <x:c r="C363" s="6"/>
      <x:c r="D363" s="6"/>
      <x:c r="E363" s="6"/>
      <x:c r="F363" s="17"/>
      <x:c r="G363" s="13"/>
      <x:c r="H363" s="14" t="str">
        <x:f>IF(B363="","",IF(OR(A363="",C363="",NOT(ISNUMBER(F363)),NOT(ISNUMBER(G363))),"Eksik efor",F363*G363))</x:f>
      </x:c>
      <x:c r="I363" s="2" t="n">
        <x:f>IF(OR(B363="",C363="",A363="",A363&gt;'Panel'!$N$5),0,IF(COUNTIFS($B$7:B363,B363,$C$7:C363,C363,$A$7:A363,"&lt;="&amp;'Panel'!$N$5)=1,1,0))</x:f>
        <x:v>0</x:v>
      </x:c>
      <x:c r="J363" s="2" t="n">
        <x:f>IF(OR(B363="",C363="",A363="",A363&gt;'Panel'!$N$5,A363&lt;'Panel'!$N$5-WEEKDAY('Panel'!$N$5,2)+1),0,IF(COUNTIFS($B$7:B363,B363,$C$7:C363,C363,$A$7:A363,"&gt;="&amp;('Panel'!$N$5-WEEKDAY('Panel'!$N$5,2)+1),$A$7:A363,"&lt;="&amp;'Panel'!$N$5)=1,1,0))</x:f>
        <x:v>0</x:v>
      </x:c>
    </x:row>
    <x:row r="364" ht="22" customHeight="1">
      <x:c r="A364" s="7"/>
      <x:c r="B364" s="6"/>
      <x:c r="C364" s="6"/>
      <x:c r="D364" s="6"/>
      <x:c r="E364" s="6"/>
      <x:c r="F364" s="17"/>
      <x:c r="G364" s="13"/>
      <x:c r="H364" s="14" t="str">
        <x:f>IF(B364="","",IF(OR(A364="",C364="",NOT(ISNUMBER(F364)),NOT(ISNUMBER(G364))),"Eksik efor",F364*G364))</x:f>
      </x:c>
      <x:c r="I364" s="2" t="n">
        <x:f>IF(OR(B364="",C364="",A364="",A364&gt;'Panel'!$N$5),0,IF(COUNTIFS($B$7:B364,B364,$C$7:C364,C364,$A$7:A364,"&lt;="&amp;'Panel'!$N$5)=1,1,0))</x:f>
        <x:v>0</x:v>
      </x:c>
      <x:c r="J364" s="2" t="n">
        <x:f>IF(OR(B364="",C364="",A364="",A364&gt;'Panel'!$N$5,A364&lt;'Panel'!$N$5-WEEKDAY('Panel'!$N$5,2)+1),0,IF(COUNTIFS($B$7:B364,B364,$C$7:C364,C364,$A$7:A364,"&gt;="&amp;('Panel'!$N$5-WEEKDAY('Panel'!$N$5,2)+1),$A$7:A364,"&lt;="&amp;'Panel'!$N$5)=1,1,0))</x:f>
        <x:v>0</x:v>
      </x:c>
    </x:row>
    <x:row r="365" ht="22" customHeight="1">
      <x:c r="A365" s="7"/>
      <x:c r="B365" s="6"/>
      <x:c r="C365" s="6"/>
      <x:c r="D365" s="6"/>
      <x:c r="E365" s="6"/>
      <x:c r="F365" s="17"/>
      <x:c r="G365" s="13"/>
      <x:c r="H365" s="14" t="str">
        <x:f>IF(B365="","",IF(OR(A365="",C365="",NOT(ISNUMBER(F365)),NOT(ISNUMBER(G365))),"Eksik efor",F365*G365))</x:f>
      </x:c>
      <x:c r="I365" s="2" t="n">
        <x:f>IF(OR(B365="",C365="",A365="",A365&gt;'Panel'!$N$5),0,IF(COUNTIFS($B$7:B365,B365,$C$7:C365,C365,$A$7:A365,"&lt;="&amp;'Panel'!$N$5)=1,1,0))</x:f>
        <x:v>0</x:v>
      </x:c>
      <x:c r="J365" s="2" t="n">
        <x:f>IF(OR(B365="",C365="",A365="",A365&gt;'Panel'!$N$5,A365&lt;'Panel'!$N$5-WEEKDAY('Panel'!$N$5,2)+1),0,IF(COUNTIFS($B$7:B365,B365,$C$7:C365,C365,$A$7:A365,"&gt;="&amp;('Panel'!$N$5-WEEKDAY('Panel'!$N$5,2)+1),$A$7:A365,"&lt;="&amp;'Panel'!$N$5)=1,1,0))</x:f>
        <x:v>0</x:v>
      </x:c>
    </x:row>
    <x:row r="366" ht="22" customHeight="1">
      <x:c r="A366" s="7"/>
      <x:c r="B366" s="6"/>
      <x:c r="C366" s="6"/>
      <x:c r="D366" s="6"/>
      <x:c r="E366" s="6"/>
      <x:c r="F366" s="17"/>
      <x:c r="G366" s="13"/>
      <x:c r="H366" s="14" t="str">
        <x:f>IF(B366="","",IF(OR(A366="",C366="",NOT(ISNUMBER(F366)),NOT(ISNUMBER(G366))),"Eksik efor",F366*G366))</x:f>
      </x:c>
      <x:c r="I366" s="2" t="n">
        <x:f>IF(OR(B366="",C366="",A366="",A366&gt;'Panel'!$N$5),0,IF(COUNTIFS($B$7:B366,B366,$C$7:C366,C366,$A$7:A366,"&lt;="&amp;'Panel'!$N$5)=1,1,0))</x:f>
        <x:v>0</x:v>
      </x:c>
      <x:c r="J366" s="2" t="n">
        <x:f>IF(OR(B366="",C366="",A366="",A366&gt;'Panel'!$N$5,A366&lt;'Panel'!$N$5-WEEKDAY('Panel'!$N$5,2)+1),0,IF(COUNTIFS($B$7:B366,B366,$C$7:C366,C366,$A$7:A366,"&gt;="&amp;('Panel'!$N$5-WEEKDAY('Panel'!$N$5,2)+1),$A$7:A366,"&lt;="&amp;'Panel'!$N$5)=1,1,0))</x:f>
        <x:v>0</x:v>
      </x:c>
    </x:row>
    <x:row r="367" ht="22" customHeight="1">
      <x:c r="A367" s="7"/>
      <x:c r="B367" s="6"/>
      <x:c r="C367" s="6"/>
      <x:c r="D367" s="6"/>
      <x:c r="E367" s="6"/>
      <x:c r="F367" s="17"/>
      <x:c r="G367" s="13"/>
      <x:c r="H367" s="14" t="str">
        <x:f>IF(B367="","",IF(OR(A367="",C367="",NOT(ISNUMBER(F367)),NOT(ISNUMBER(G367))),"Eksik efor",F367*G367))</x:f>
      </x:c>
      <x:c r="I367" s="2" t="n">
        <x:f>IF(OR(B367="",C367="",A367="",A367&gt;'Panel'!$N$5),0,IF(COUNTIFS($B$7:B367,B367,$C$7:C367,C367,$A$7:A367,"&lt;="&amp;'Panel'!$N$5)=1,1,0))</x:f>
        <x:v>0</x:v>
      </x:c>
      <x:c r="J367" s="2" t="n">
        <x:f>IF(OR(B367="",C367="",A367="",A367&gt;'Panel'!$N$5,A367&lt;'Panel'!$N$5-WEEKDAY('Panel'!$N$5,2)+1),0,IF(COUNTIFS($B$7:B367,B367,$C$7:C367,C367,$A$7:A367,"&gt;="&amp;('Panel'!$N$5-WEEKDAY('Panel'!$N$5,2)+1),$A$7:A367,"&lt;="&amp;'Panel'!$N$5)=1,1,0))</x:f>
        <x:v>0</x:v>
      </x:c>
    </x:row>
    <x:row r="368" ht="22" customHeight="1">
      <x:c r="A368" s="7"/>
      <x:c r="B368" s="6"/>
      <x:c r="C368" s="6"/>
      <x:c r="D368" s="6"/>
      <x:c r="E368" s="6"/>
      <x:c r="F368" s="17"/>
      <x:c r="G368" s="13"/>
      <x:c r="H368" s="14" t="str">
        <x:f>IF(B368="","",IF(OR(A368="",C368="",NOT(ISNUMBER(F368)),NOT(ISNUMBER(G368))),"Eksik efor",F368*G368))</x:f>
      </x:c>
      <x:c r="I368" s="2" t="n">
        <x:f>IF(OR(B368="",C368="",A368="",A368&gt;'Panel'!$N$5),0,IF(COUNTIFS($B$7:B368,B368,$C$7:C368,C368,$A$7:A368,"&lt;="&amp;'Panel'!$N$5)=1,1,0))</x:f>
        <x:v>0</x:v>
      </x:c>
      <x:c r="J368" s="2" t="n">
        <x:f>IF(OR(B368="",C368="",A368="",A368&gt;'Panel'!$N$5,A368&lt;'Panel'!$N$5-WEEKDAY('Panel'!$N$5,2)+1),0,IF(COUNTIFS($B$7:B368,B368,$C$7:C368,C368,$A$7:A368,"&gt;="&amp;('Panel'!$N$5-WEEKDAY('Panel'!$N$5,2)+1),$A$7:A368,"&lt;="&amp;'Panel'!$N$5)=1,1,0))</x:f>
        <x:v>0</x:v>
      </x:c>
    </x:row>
    <x:row r="369" ht="22" customHeight="1">
      <x:c r="A369" s="7"/>
      <x:c r="B369" s="6"/>
      <x:c r="C369" s="6"/>
      <x:c r="D369" s="6"/>
      <x:c r="E369" s="6"/>
      <x:c r="F369" s="17"/>
      <x:c r="G369" s="13"/>
      <x:c r="H369" s="14" t="str">
        <x:f>IF(B369="","",IF(OR(A369="",C369="",NOT(ISNUMBER(F369)),NOT(ISNUMBER(G369))),"Eksik efor",F369*G369))</x:f>
      </x:c>
      <x:c r="I369" s="2" t="n">
        <x:f>IF(OR(B369="",C369="",A369="",A369&gt;'Panel'!$N$5),0,IF(COUNTIFS($B$7:B369,B369,$C$7:C369,C369,$A$7:A369,"&lt;="&amp;'Panel'!$N$5)=1,1,0))</x:f>
        <x:v>0</x:v>
      </x:c>
      <x:c r="J369" s="2" t="n">
        <x:f>IF(OR(B369="",C369="",A369="",A369&gt;'Panel'!$N$5,A369&lt;'Panel'!$N$5-WEEKDAY('Panel'!$N$5,2)+1),0,IF(COUNTIFS($B$7:B369,B369,$C$7:C369,C369,$A$7:A369,"&gt;="&amp;('Panel'!$N$5-WEEKDAY('Panel'!$N$5,2)+1),$A$7:A369,"&lt;="&amp;'Panel'!$N$5)=1,1,0))</x:f>
        <x:v>0</x:v>
      </x:c>
    </x:row>
    <x:row r="370" ht="22" customHeight="1">
      <x:c r="A370" s="7"/>
      <x:c r="B370" s="6"/>
      <x:c r="C370" s="6"/>
      <x:c r="D370" s="6"/>
      <x:c r="E370" s="6"/>
      <x:c r="F370" s="17"/>
      <x:c r="G370" s="13"/>
      <x:c r="H370" s="14" t="str">
        <x:f>IF(B370="","",IF(OR(A370="",C370="",NOT(ISNUMBER(F370)),NOT(ISNUMBER(G370))),"Eksik efor",F370*G370))</x:f>
      </x:c>
      <x:c r="I370" s="2" t="n">
        <x:f>IF(OR(B370="",C370="",A370="",A370&gt;'Panel'!$N$5),0,IF(COUNTIFS($B$7:B370,B370,$C$7:C370,C370,$A$7:A370,"&lt;="&amp;'Panel'!$N$5)=1,1,0))</x:f>
        <x:v>0</x:v>
      </x:c>
      <x:c r="J370" s="2" t="n">
        <x:f>IF(OR(B370="",C370="",A370="",A370&gt;'Panel'!$N$5,A370&lt;'Panel'!$N$5-WEEKDAY('Panel'!$N$5,2)+1),0,IF(COUNTIFS($B$7:B370,B370,$C$7:C370,C370,$A$7:A370,"&gt;="&amp;('Panel'!$N$5-WEEKDAY('Panel'!$N$5,2)+1),$A$7:A370,"&lt;="&amp;'Panel'!$N$5)=1,1,0))</x:f>
        <x:v>0</x:v>
      </x:c>
    </x:row>
    <x:row r="371" ht="22" customHeight="1">
      <x:c r="A371" s="7"/>
      <x:c r="B371" s="6"/>
      <x:c r="C371" s="6"/>
      <x:c r="D371" s="6"/>
      <x:c r="E371" s="6"/>
      <x:c r="F371" s="17"/>
      <x:c r="G371" s="13"/>
      <x:c r="H371" s="14" t="str">
        <x:f>IF(B371="","",IF(OR(A371="",C371="",NOT(ISNUMBER(F371)),NOT(ISNUMBER(G371))),"Eksik efor",F371*G371))</x:f>
      </x:c>
      <x:c r="I371" s="2" t="n">
        <x:f>IF(OR(B371="",C371="",A371="",A371&gt;'Panel'!$N$5),0,IF(COUNTIFS($B$7:B371,B371,$C$7:C371,C371,$A$7:A371,"&lt;="&amp;'Panel'!$N$5)=1,1,0))</x:f>
        <x:v>0</x:v>
      </x:c>
      <x:c r="J371" s="2" t="n">
        <x:f>IF(OR(B371="",C371="",A371="",A371&gt;'Panel'!$N$5,A371&lt;'Panel'!$N$5-WEEKDAY('Panel'!$N$5,2)+1),0,IF(COUNTIFS($B$7:B371,B371,$C$7:C371,C371,$A$7:A371,"&gt;="&amp;('Panel'!$N$5-WEEKDAY('Panel'!$N$5,2)+1),$A$7:A371,"&lt;="&amp;'Panel'!$N$5)=1,1,0))</x:f>
        <x:v>0</x:v>
      </x:c>
    </x:row>
    <x:row r="372" ht="22" customHeight="1">
      <x:c r="A372" s="7"/>
      <x:c r="B372" s="6"/>
      <x:c r="C372" s="6"/>
      <x:c r="D372" s="6"/>
      <x:c r="E372" s="6"/>
      <x:c r="F372" s="17"/>
      <x:c r="G372" s="13"/>
      <x:c r="H372" s="14" t="str">
        <x:f>IF(B372="","",IF(OR(A372="",C372="",NOT(ISNUMBER(F372)),NOT(ISNUMBER(G372))),"Eksik efor",F372*G372))</x:f>
      </x:c>
      <x:c r="I372" s="2" t="n">
        <x:f>IF(OR(B372="",C372="",A372="",A372&gt;'Panel'!$N$5),0,IF(COUNTIFS($B$7:B372,B372,$C$7:C372,C372,$A$7:A372,"&lt;="&amp;'Panel'!$N$5)=1,1,0))</x:f>
        <x:v>0</x:v>
      </x:c>
      <x:c r="J372" s="2" t="n">
        <x:f>IF(OR(B372="",C372="",A372="",A372&gt;'Panel'!$N$5,A372&lt;'Panel'!$N$5-WEEKDAY('Panel'!$N$5,2)+1),0,IF(COUNTIFS($B$7:B372,B372,$C$7:C372,C372,$A$7:A372,"&gt;="&amp;('Panel'!$N$5-WEEKDAY('Panel'!$N$5,2)+1),$A$7:A372,"&lt;="&amp;'Panel'!$N$5)=1,1,0))</x:f>
        <x:v>0</x:v>
      </x:c>
    </x:row>
    <x:row r="373" ht="22" customHeight="1">
      <x:c r="A373" s="7"/>
      <x:c r="B373" s="6"/>
      <x:c r="C373" s="6"/>
      <x:c r="D373" s="6"/>
      <x:c r="E373" s="6"/>
      <x:c r="F373" s="17"/>
      <x:c r="G373" s="13"/>
      <x:c r="H373" s="14" t="str">
        <x:f>IF(B373="","",IF(OR(A373="",C373="",NOT(ISNUMBER(F373)),NOT(ISNUMBER(G373))),"Eksik efor",F373*G373))</x:f>
      </x:c>
      <x:c r="I373" s="2" t="n">
        <x:f>IF(OR(B373="",C373="",A373="",A373&gt;'Panel'!$N$5),0,IF(COUNTIFS($B$7:B373,B373,$C$7:C373,C373,$A$7:A373,"&lt;="&amp;'Panel'!$N$5)=1,1,0))</x:f>
        <x:v>0</x:v>
      </x:c>
      <x:c r="J373" s="2" t="n">
        <x:f>IF(OR(B373="",C373="",A373="",A373&gt;'Panel'!$N$5,A373&lt;'Panel'!$N$5-WEEKDAY('Panel'!$N$5,2)+1),0,IF(COUNTIFS($B$7:B373,B373,$C$7:C373,C373,$A$7:A373,"&gt;="&amp;('Panel'!$N$5-WEEKDAY('Panel'!$N$5,2)+1),$A$7:A373,"&lt;="&amp;'Panel'!$N$5)=1,1,0))</x:f>
        <x:v>0</x:v>
      </x:c>
    </x:row>
    <x:row r="374" ht="22" customHeight="1">
      <x:c r="A374" s="7"/>
      <x:c r="B374" s="6"/>
      <x:c r="C374" s="6"/>
      <x:c r="D374" s="6"/>
      <x:c r="E374" s="6"/>
      <x:c r="F374" s="17"/>
      <x:c r="G374" s="13"/>
      <x:c r="H374" s="14" t="str">
        <x:f>IF(B374="","",IF(OR(A374="",C374="",NOT(ISNUMBER(F374)),NOT(ISNUMBER(G374))),"Eksik efor",F374*G374))</x:f>
      </x:c>
      <x:c r="I374" s="2" t="n">
        <x:f>IF(OR(B374="",C374="",A374="",A374&gt;'Panel'!$N$5),0,IF(COUNTIFS($B$7:B374,B374,$C$7:C374,C374,$A$7:A374,"&lt;="&amp;'Panel'!$N$5)=1,1,0))</x:f>
        <x:v>0</x:v>
      </x:c>
      <x:c r="J374" s="2" t="n">
        <x:f>IF(OR(B374="",C374="",A374="",A374&gt;'Panel'!$N$5,A374&lt;'Panel'!$N$5-WEEKDAY('Panel'!$N$5,2)+1),0,IF(COUNTIFS($B$7:B374,B374,$C$7:C374,C374,$A$7:A374,"&gt;="&amp;('Panel'!$N$5-WEEKDAY('Panel'!$N$5,2)+1),$A$7:A374,"&lt;="&amp;'Panel'!$N$5)=1,1,0))</x:f>
        <x:v>0</x:v>
      </x:c>
    </x:row>
    <x:row r="375" ht="22" customHeight="1">
      <x:c r="A375" s="7"/>
      <x:c r="B375" s="6"/>
      <x:c r="C375" s="6"/>
      <x:c r="D375" s="6"/>
      <x:c r="E375" s="6"/>
      <x:c r="F375" s="17"/>
      <x:c r="G375" s="13"/>
      <x:c r="H375" s="14" t="str">
        <x:f>IF(B375="","",IF(OR(A375="",C375="",NOT(ISNUMBER(F375)),NOT(ISNUMBER(G375))),"Eksik efor",F375*G375))</x:f>
      </x:c>
      <x:c r="I375" s="2" t="n">
        <x:f>IF(OR(B375="",C375="",A375="",A375&gt;'Panel'!$N$5),0,IF(COUNTIFS($B$7:B375,B375,$C$7:C375,C375,$A$7:A375,"&lt;="&amp;'Panel'!$N$5)=1,1,0))</x:f>
        <x:v>0</x:v>
      </x:c>
      <x:c r="J375" s="2" t="n">
        <x:f>IF(OR(B375="",C375="",A375="",A375&gt;'Panel'!$N$5,A375&lt;'Panel'!$N$5-WEEKDAY('Panel'!$N$5,2)+1),0,IF(COUNTIFS($B$7:B375,B375,$C$7:C375,C375,$A$7:A375,"&gt;="&amp;('Panel'!$N$5-WEEKDAY('Panel'!$N$5,2)+1),$A$7:A375,"&lt;="&amp;'Panel'!$N$5)=1,1,0))</x:f>
        <x:v>0</x:v>
      </x:c>
    </x:row>
    <x:row r="376" ht="22" customHeight="1">
      <x:c r="A376" s="7"/>
      <x:c r="B376" s="6"/>
      <x:c r="C376" s="6"/>
      <x:c r="D376" s="6"/>
      <x:c r="E376" s="6"/>
      <x:c r="F376" s="17"/>
      <x:c r="G376" s="13"/>
      <x:c r="H376" s="14" t="str">
        <x:f>IF(B376="","",IF(OR(A376="",C376="",NOT(ISNUMBER(F376)),NOT(ISNUMBER(G376))),"Eksik efor",F376*G376))</x:f>
      </x:c>
      <x:c r="I376" s="2" t="n">
        <x:f>IF(OR(B376="",C376="",A376="",A376&gt;'Panel'!$N$5),0,IF(COUNTIFS($B$7:B376,B376,$C$7:C376,C376,$A$7:A376,"&lt;="&amp;'Panel'!$N$5)=1,1,0))</x:f>
        <x:v>0</x:v>
      </x:c>
      <x:c r="J376" s="2" t="n">
        <x:f>IF(OR(B376="",C376="",A376="",A376&gt;'Panel'!$N$5,A376&lt;'Panel'!$N$5-WEEKDAY('Panel'!$N$5,2)+1),0,IF(COUNTIFS($B$7:B376,B376,$C$7:C376,C376,$A$7:A376,"&gt;="&amp;('Panel'!$N$5-WEEKDAY('Panel'!$N$5,2)+1),$A$7:A376,"&lt;="&amp;'Panel'!$N$5)=1,1,0))</x:f>
        <x:v>0</x:v>
      </x:c>
    </x:row>
    <x:row r="377" ht="22" customHeight="1">
      <x:c r="A377" s="7"/>
      <x:c r="B377" s="6"/>
      <x:c r="C377" s="6"/>
      <x:c r="D377" s="6"/>
      <x:c r="E377" s="6"/>
      <x:c r="F377" s="17"/>
      <x:c r="G377" s="13"/>
      <x:c r="H377" s="14" t="str">
        <x:f>IF(B377="","",IF(OR(A377="",C377="",NOT(ISNUMBER(F377)),NOT(ISNUMBER(G377))),"Eksik efor",F377*G377))</x:f>
      </x:c>
      <x:c r="I377" s="2" t="n">
        <x:f>IF(OR(B377="",C377="",A377="",A377&gt;'Panel'!$N$5),0,IF(COUNTIFS($B$7:B377,B377,$C$7:C377,C377,$A$7:A377,"&lt;="&amp;'Panel'!$N$5)=1,1,0))</x:f>
        <x:v>0</x:v>
      </x:c>
      <x:c r="J377" s="2" t="n">
        <x:f>IF(OR(B377="",C377="",A377="",A377&gt;'Panel'!$N$5,A377&lt;'Panel'!$N$5-WEEKDAY('Panel'!$N$5,2)+1),0,IF(COUNTIFS($B$7:B377,B377,$C$7:C377,C377,$A$7:A377,"&gt;="&amp;('Panel'!$N$5-WEEKDAY('Panel'!$N$5,2)+1),$A$7:A377,"&lt;="&amp;'Panel'!$N$5)=1,1,0))</x:f>
        <x:v>0</x:v>
      </x:c>
    </x:row>
    <x:row r="378" ht="22" customHeight="1">
      <x:c r="A378" s="7"/>
      <x:c r="B378" s="6"/>
      <x:c r="C378" s="6"/>
      <x:c r="D378" s="6"/>
      <x:c r="E378" s="6"/>
      <x:c r="F378" s="17"/>
      <x:c r="G378" s="13"/>
      <x:c r="H378" s="14" t="str">
        <x:f>IF(B378="","",IF(OR(A378="",C378="",NOT(ISNUMBER(F378)),NOT(ISNUMBER(G378))),"Eksik efor",F378*G378))</x:f>
      </x:c>
      <x:c r="I378" s="2" t="n">
        <x:f>IF(OR(B378="",C378="",A378="",A378&gt;'Panel'!$N$5),0,IF(COUNTIFS($B$7:B378,B378,$C$7:C378,C378,$A$7:A378,"&lt;="&amp;'Panel'!$N$5)=1,1,0))</x:f>
        <x:v>0</x:v>
      </x:c>
      <x:c r="J378" s="2" t="n">
        <x:f>IF(OR(B378="",C378="",A378="",A378&gt;'Panel'!$N$5,A378&lt;'Panel'!$N$5-WEEKDAY('Panel'!$N$5,2)+1),0,IF(COUNTIFS($B$7:B378,B378,$C$7:C378,C378,$A$7:A378,"&gt;="&amp;('Panel'!$N$5-WEEKDAY('Panel'!$N$5,2)+1),$A$7:A378,"&lt;="&amp;'Panel'!$N$5)=1,1,0))</x:f>
        <x:v>0</x:v>
      </x:c>
    </x:row>
    <x:row r="379" ht="22" customHeight="1">
      <x:c r="A379" s="7"/>
      <x:c r="B379" s="6"/>
      <x:c r="C379" s="6"/>
      <x:c r="D379" s="6"/>
      <x:c r="E379" s="6"/>
      <x:c r="F379" s="17"/>
      <x:c r="G379" s="13"/>
      <x:c r="H379" s="14" t="str">
        <x:f>IF(B379="","",IF(OR(A379="",C379="",NOT(ISNUMBER(F379)),NOT(ISNUMBER(G379))),"Eksik efor",F379*G379))</x:f>
      </x:c>
      <x:c r="I379" s="2" t="n">
        <x:f>IF(OR(B379="",C379="",A379="",A379&gt;'Panel'!$N$5),0,IF(COUNTIFS($B$7:B379,B379,$C$7:C379,C379,$A$7:A379,"&lt;="&amp;'Panel'!$N$5)=1,1,0))</x:f>
        <x:v>0</x:v>
      </x:c>
      <x:c r="J379" s="2" t="n">
        <x:f>IF(OR(B379="",C379="",A379="",A379&gt;'Panel'!$N$5,A379&lt;'Panel'!$N$5-WEEKDAY('Panel'!$N$5,2)+1),0,IF(COUNTIFS($B$7:B379,B379,$C$7:C379,C379,$A$7:A379,"&gt;="&amp;('Panel'!$N$5-WEEKDAY('Panel'!$N$5,2)+1),$A$7:A379,"&lt;="&amp;'Panel'!$N$5)=1,1,0))</x:f>
        <x:v>0</x:v>
      </x:c>
    </x:row>
    <x:row r="380" ht="22" customHeight="1">
      <x:c r="A380" s="7"/>
      <x:c r="B380" s="6"/>
      <x:c r="C380" s="6"/>
      <x:c r="D380" s="6"/>
      <x:c r="E380" s="6"/>
      <x:c r="F380" s="17"/>
      <x:c r="G380" s="13"/>
      <x:c r="H380" s="14" t="str">
        <x:f>IF(B380="","",IF(OR(A380="",C380="",NOT(ISNUMBER(F380)),NOT(ISNUMBER(G380))),"Eksik efor",F380*G380))</x:f>
      </x:c>
      <x:c r="I380" s="2" t="n">
        <x:f>IF(OR(B380="",C380="",A380="",A380&gt;'Panel'!$N$5),0,IF(COUNTIFS($B$7:B380,B380,$C$7:C380,C380,$A$7:A380,"&lt;="&amp;'Panel'!$N$5)=1,1,0))</x:f>
        <x:v>0</x:v>
      </x:c>
      <x:c r="J380" s="2" t="n">
        <x:f>IF(OR(B380="",C380="",A380="",A380&gt;'Panel'!$N$5,A380&lt;'Panel'!$N$5-WEEKDAY('Panel'!$N$5,2)+1),0,IF(COUNTIFS($B$7:B380,B380,$C$7:C380,C380,$A$7:A380,"&gt;="&amp;('Panel'!$N$5-WEEKDAY('Panel'!$N$5,2)+1),$A$7:A380,"&lt;="&amp;'Panel'!$N$5)=1,1,0))</x:f>
        <x:v>0</x:v>
      </x:c>
    </x:row>
    <x:row r="381" ht="22" customHeight="1">
      <x:c r="A381" s="7"/>
      <x:c r="B381" s="6"/>
      <x:c r="C381" s="6"/>
      <x:c r="D381" s="6"/>
      <x:c r="E381" s="6"/>
      <x:c r="F381" s="17"/>
      <x:c r="G381" s="13"/>
      <x:c r="H381" s="14" t="str">
        <x:f>IF(B381="","",IF(OR(A381="",C381="",NOT(ISNUMBER(F381)),NOT(ISNUMBER(G381))),"Eksik efor",F381*G381))</x:f>
      </x:c>
      <x:c r="I381" s="2" t="n">
        <x:f>IF(OR(B381="",C381="",A381="",A381&gt;'Panel'!$N$5),0,IF(COUNTIFS($B$7:B381,B381,$C$7:C381,C381,$A$7:A381,"&lt;="&amp;'Panel'!$N$5)=1,1,0))</x:f>
        <x:v>0</x:v>
      </x:c>
      <x:c r="J381" s="2" t="n">
        <x:f>IF(OR(B381="",C381="",A381="",A381&gt;'Panel'!$N$5,A381&lt;'Panel'!$N$5-WEEKDAY('Panel'!$N$5,2)+1),0,IF(COUNTIFS($B$7:B381,B381,$C$7:C381,C381,$A$7:A381,"&gt;="&amp;('Panel'!$N$5-WEEKDAY('Panel'!$N$5,2)+1),$A$7:A381,"&lt;="&amp;'Panel'!$N$5)=1,1,0))</x:f>
        <x:v>0</x:v>
      </x:c>
    </x:row>
    <x:row r="382" ht="22" customHeight="1">
      <x:c r="A382" s="7"/>
      <x:c r="B382" s="6"/>
      <x:c r="C382" s="6"/>
      <x:c r="D382" s="6"/>
      <x:c r="E382" s="6"/>
      <x:c r="F382" s="17"/>
      <x:c r="G382" s="13"/>
      <x:c r="H382" s="14" t="str">
        <x:f>IF(B382="","",IF(OR(A382="",C382="",NOT(ISNUMBER(F382)),NOT(ISNUMBER(G382))),"Eksik efor",F382*G382))</x:f>
      </x:c>
      <x:c r="I382" s="2" t="n">
        <x:f>IF(OR(B382="",C382="",A382="",A382&gt;'Panel'!$N$5),0,IF(COUNTIFS($B$7:B382,B382,$C$7:C382,C382,$A$7:A382,"&lt;="&amp;'Panel'!$N$5)=1,1,0))</x:f>
        <x:v>0</x:v>
      </x:c>
      <x:c r="J382" s="2" t="n">
        <x:f>IF(OR(B382="",C382="",A382="",A382&gt;'Panel'!$N$5,A382&lt;'Panel'!$N$5-WEEKDAY('Panel'!$N$5,2)+1),0,IF(COUNTIFS($B$7:B382,B382,$C$7:C382,C382,$A$7:A382,"&gt;="&amp;('Panel'!$N$5-WEEKDAY('Panel'!$N$5,2)+1),$A$7:A382,"&lt;="&amp;'Panel'!$N$5)=1,1,0))</x:f>
        <x:v>0</x:v>
      </x:c>
    </x:row>
    <x:row r="383" ht="22" customHeight="1">
      <x:c r="A383" s="7"/>
      <x:c r="B383" s="6"/>
      <x:c r="C383" s="6"/>
      <x:c r="D383" s="6"/>
      <x:c r="E383" s="6"/>
      <x:c r="F383" s="17"/>
      <x:c r="G383" s="13"/>
      <x:c r="H383" s="14" t="str">
        <x:f>IF(B383="","",IF(OR(A383="",C383="",NOT(ISNUMBER(F383)),NOT(ISNUMBER(G383))),"Eksik efor",F383*G383))</x:f>
      </x:c>
      <x:c r="I383" s="2" t="n">
        <x:f>IF(OR(B383="",C383="",A383="",A383&gt;'Panel'!$N$5),0,IF(COUNTIFS($B$7:B383,B383,$C$7:C383,C383,$A$7:A383,"&lt;="&amp;'Panel'!$N$5)=1,1,0))</x:f>
        <x:v>0</x:v>
      </x:c>
      <x:c r="J383" s="2" t="n">
        <x:f>IF(OR(B383="",C383="",A383="",A383&gt;'Panel'!$N$5,A383&lt;'Panel'!$N$5-WEEKDAY('Panel'!$N$5,2)+1),0,IF(COUNTIFS($B$7:B383,B383,$C$7:C383,C383,$A$7:A383,"&gt;="&amp;('Panel'!$N$5-WEEKDAY('Panel'!$N$5,2)+1),$A$7:A383,"&lt;="&amp;'Panel'!$N$5)=1,1,0))</x:f>
        <x:v>0</x:v>
      </x:c>
    </x:row>
    <x:row r="384" ht="22" customHeight="1">
      <x:c r="A384" s="7"/>
      <x:c r="B384" s="6"/>
      <x:c r="C384" s="6"/>
      <x:c r="D384" s="6"/>
      <x:c r="E384" s="6"/>
      <x:c r="F384" s="17"/>
      <x:c r="G384" s="13"/>
      <x:c r="H384" s="14" t="str">
        <x:f>IF(B384="","",IF(OR(A384="",C384="",NOT(ISNUMBER(F384)),NOT(ISNUMBER(G384))),"Eksik efor",F384*G384))</x:f>
      </x:c>
      <x:c r="I384" s="2" t="n">
        <x:f>IF(OR(B384="",C384="",A384="",A384&gt;'Panel'!$N$5),0,IF(COUNTIFS($B$7:B384,B384,$C$7:C384,C384,$A$7:A384,"&lt;="&amp;'Panel'!$N$5)=1,1,0))</x:f>
        <x:v>0</x:v>
      </x:c>
      <x:c r="J384" s="2" t="n">
        <x:f>IF(OR(B384="",C384="",A384="",A384&gt;'Panel'!$N$5,A384&lt;'Panel'!$N$5-WEEKDAY('Panel'!$N$5,2)+1),0,IF(COUNTIFS($B$7:B384,B384,$C$7:C384,C384,$A$7:A384,"&gt;="&amp;('Panel'!$N$5-WEEKDAY('Panel'!$N$5,2)+1),$A$7:A384,"&lt;="&amp;'Panel'!$N$5)=1,1,0))</x:f>
        <x:v>0</x:v>
      </x:c>
    </x:row>
    <x:row r="385" ht="22" customHeight="1">
      <x:c r="A385" s="7"/>
      <x:c r="B385" s="6"/>
      <x:c r="C385" s="6"/>
      <x:c r="D385" s="6"/>
      <x:c r="E385" s="6"/>
      <x:c r="F385" s="17"/>
      <x:c r="G385" s="13"/>
      <x:c r="H385" s="14" t="str">
        <x:f>IF(B385="","",IF(OR(A385="",C385="",NOT(ISNUMBER(F385)),NOT(ISNUMBER(G385))),"Eksik efor",F385*G385))</x:f>
      </x:c>
      <x:c r="I385" s="2" t="n">
        <x:f>IF(OR(B385="",C385="",A385="",A385&gt;'Panel'!$N$5),0,IF(COUNTIFS($B$7:B385,B385,$C$7:C385,C385,$A$7:A385,"&lt;="&amp;'Panel'!$N$5)=1,1,0))</x:f>
        <x:v>0</x:v>
      </x:c>
      <x:c r="J385" s="2" t="n">
        <x:f>IF(OR(B385="",C385="",A385="",A385&gt;'Panel'!$N$5,A385&lt;'Panel'!$N$5-WEEKDAY('Panel'!$N$5,2)+1),0,IF(COUNTIFS($B$7:B385,B385,$C$7:C385,C385,$A$7:A385,"&gt;="&amp;('Panel'!$N$5-WEEKDAY('Panel'!$N$5,2)+1),$A$7:A385,"&lt;="&amp;'Panel'!$N$5)=1,1,0))</x:f>
        <x:v>0</x:v>
      </x:c>
    </x:row>
    <x:row r="386" ht="22" customHeight="1">
      <x:c r="A386" s="7"/>
      <x:c r="B386" s="6"/>
      <x:c r="C386" s="6"/>
      <x:c r="D386" s="6"/>
      <x:c r="E386" s="6"/>
      <x:c r="F386" s="17"/>
      <x:c r="G386" s="13"/>
      <x:c r="H386" s="14" t="str">
        <x:f>IF(B386="","",IF(OR(A386="",C386="",NOT(ISNUMBER(F386)),NOT(ISNUMBER(G386))),"Eksik efor",F386*G386))</x:f>
      </x:c>
      <x:c r="I386" s="2" t="n">
        <x:f>IF(OR(B386="",C386="",A386="",A386&gt;'Panel'!$N$5),0,IF(COUNTIFS($B$7:B386,B386,$C$7:C386,C386,$A$7:A386,"&lt;="&amp;'Panel'!$N$5)=1,1,0))</x:f>
        <x:v>0</x:v>
      </x:c>
      <x:c r="J386" s="2" t="n">
        <x:f>IF(OR(B386="",C386="",A386="",A386&gt;'Panel'!$N$5,A386&lt;'Panel'!$N$5-WEEKDAY('Panel'!$N$5,2)+1),0,IF(COUNTIFS($B$7:B386,B386,$C$7:C386,C386,$A$7:A386,"&gt;="&amp;('Panel'!$N$5-WEEKDAY('Panel'!$N$5,2)+1),$A$7:A386,"&lt;="&amp;'Panel'!$N$5)=1,1,0))</x:f>
        <x:v>0</x:v>
      </x:c>
    </x:row>
    <x:row r="387" ht="22" customHeight="1">
      <x:c r="A387" s="7"/>
      <x:c r="B387" s="6"/>
      <x:c r="C387" s="6"/>
      <x:c r="D387" s="6"/>
      <x:c r="E387" s="6"/>
      <x:c r="F387" s="17"/>
      <x:c r="G387" s="13"/>
      <x:c r="H387" s="14" t="str">
        <x:f>IF(B387="","",IF(OR(A387="",C387="",NOT(ISNUMBER(F387)),NOT(ISNUMBER(G387))),"Eksik efor",F387*G387))</x:f>
      </x:c>
      <x:c r="I387" s="2" t="n">
        <x:f>IF(OR(B387="",C387="",A387="",A387&gt;'Panel'!$N$5),0,IF(COUNTIFS($B$7:B387,B387,$C$7:C387,C387,$A$7:A387,"&lt;="&amp;'Panel'!$N$5)=1,1,0))</x:f>
        <x:v>0</x:v>
      </x:c>
      <x:c r="J387" s="2" t="n">
        <x:f>IF(OR(B387="",C387="",A387="",A387&gt;'Panel'!$N$5,A387&lt;'Panel'!$N$5-WEEKDAY('Panel'!$N$5,2)+1),0,IF(COUNTIFS($B$7:B387,B387,$C$7:C387,C387,$A$7:A387,"&gt;="&amp;('Panel'!$N$5-WEEKDAY('Panel'!$N$5,2)+1),$A$7:A387,"&lt;="&amp;'Panel'!$N$5)=1,1,0))</x:f>
        <x:v>0</x:v>
      </x:c>
    </x:row>
    <x:row r="388" ht="22" customHeight="1">
      <x:c r="A388" s="7"/>
      <x:c r="B388" s="6"/>
      <x:c r="C388" s="6"/>
      <x:c r="D388" s="6"/>
      <x:c r="E388" s="6"/>
      <x:c r="F388" s="17"/>
      <x:c r="G388" s="13"/>
      <x:c r="H388" s="14" t="str">
        <x:f>IF(B388="","",IF(OR(A388="",C388="",NOT(ISNUMBER(F388)),NOT(ISNUMBER(G388))),"Eksik efor",F388*G388))</x:f>
      </x:c>
      <x:c r="I388" s="2" t="n">
        <x:f>IF(OR(B388="",C388="",A388="",A388&gt;'Panel'!$N$5),0,IF(COUNTIFS($B$7:B388,B388,$C$7:C388,C388,$A$7:A388,"&lt;="&amp;'Panel'!$N$5)=1,1,0))</x:f>
        <x:v>0</x:v>
      </x:c>
      <x:c r="J388" s="2" t="n">
        <x:f>IF(OR(B388="",C388="",A388="",A388&gt;'Panel'!$N$5,A388&lt;'Panel'!$N$5-WEEKDAY('Panel'!$N$5,2)+1),0,IF(COUNTIFS($B$7:B388,B388,$C$7:C388,C388,$A$7:A388,"&gt;="&amp;('Panel'!$N$5-WEEKDAY('Panel'!$N$5,2)+1),$A$7:A388,"&lt;="&amp;'Panel'!$N$5)=1,1,0))</x:f>
        <x:v>0</x:v>
      </x:c>
    </x:row>
    <x:row r="389" ht="22" customHeight="1">
      <x:c r="A389" s="7"/>
      <x:c r="B389" s="6"/>
      <x:c r="C389" s="6"/>
      <x:c r="D389" s="6"/>
      <x:c r="E389" s="6"/>
      <x:c r="F389" s="17"/>
      <x:c r="G389" s="13"/>
      <x:c r="H389" s="14" t="str">
        <x:f>IF(B389="","",IF(OR(A389="",C389="",NOT(ISNUMBER(F389)),NOT(ISNUMBER(G389))),"Eksik efor",F389*G389))</x:f>
      </x:c>
      <x:c r="I389" s="2" t="n">
        <x:f>IF(OR(B389="",C389="",A389="",A389&gt;'Panel'!$N$5),0,IF(COUNTIFS($B$7:B389,B389,$C$7:C389,C389,$A$7:A389,"&lt;="&amp;'Panel'!$N$5)=1,1,0))</x:f>
        <x:v>0</x:v>
      </x:c>
      <x:c r="J389" s="2" t="n">
        <x:f>IF(OR(B389="",C389="",A389="",A389&gt;'Panel'!$N$5,A389&lt;'Panel'!$N$5-WEEKDAY('Panel'!$N$5,2)+1),0,IF(COUNTIFS($B$7:B389,B389,$C$7:C389,C389,$A$7:A389,"&gt;="&amp;('Panel'!$N$5-WEEKDAY('Panel'!$N$5,2)+1),$A$7:A389,"&lt;="&amp;'Panel'!$N$5)=1,1,0))</x:f>
        <x:v>0</x:v>
      </x:c>
    </x:row>
    <x:row r="390" ht="22" customHeight="1">
      <x:c r="A390" s="7"/>
      <x:c r="B390" s="6"/>
      <x:c r="C390" s="6"/>
      <x:c r="D390" s="6"/>
      <x:c r="E390" s="6"/>
      <x:c r="F390" s="17"/>
      <x:c r="G390" s="13"/>
      <x:c r="H390" s="14" t="str">
        <x:f>IF(B390="","",IF(OR(A390="",C390="",NOT(ISNUMBER(F390)),NOT(ISNUMBER(G390))),"Eksik efor",F390*G390))</x:f>
      </x:c>
      <x:c r="I390" s="2" t="n">
        <x:f>IF(OR(B390="",C390="",A390="",A390&gt;'Panel'!$N$5),0,IF(COUNTIFS($B$7:B390,B390,$C$7:C390,C390,$A$7:A390,"&lt;="&amp;'Panel'!$N$5)=1,1,0))</x:f>
        <x:v>0</x:v>
      </x:c>
      <x:c r="J390" s="2" t="n">
        <x:f>IF(OR(B390="",C390="",A390="",A390&gt;'Panel'!$N$5,A390&lt;'Panel'!$N$5-WEEKDAY('Panel'!$N$5,2)+1),0,IF(COUNTIFS($B$7:B390,B390,$C$7:C390,C390,$A$7:A390,"&gt;="&amp;('Panel'!$N$5-WEEKDAY('Panel'!$N$5,2)+1),$A$7:A390,"&lt;="&amp;'Panel'!$N$5)=1,1,0))</x:f>
        <x:v>0</x:v>
      </x:c>
    </x:row>
    <x:row r="391" ht="22" customHeight="1">
      <x:c r="A391" s="7"/>
      <x:c r="B391" s="6"/>
      <x:c r="C391" s="6"/>
      <x:c r="D391" s="6"/>
      <x:c r="E391" s="6"/>
      <x:c r="F391" s="17"/>
      <x:c r="G391" s="13"/>
      <x:c r="H391" s="14" t="str">
        <x:f>IF(B391="","",IF(OR(A391="",C391="",NOT(ISNUMBER(F391)),NOT(ISNUMBER(G391))),"Eksik efor",F391*G391))</x:f>
      </x:c>
      <x:c r="I391" s="2" t="n">
        <x:f>IF(OR(B391="",C391="",A391="",A391&gt;'Panel'!$N$5),0,IF(COUNTIFS($B$7:B391,B391,$C$7:C391,C391,$A$7:A391,"&lt;="&amp;'Panel'!$N$5)=1,1,0))</x:f>
        <x:v>0</x:v>
      </x:c>
      <x:c r="J391" s="2" t="n">
        <x:f>IF(OR(B391="",C391="",A391="",A391&gt;'Panel'!$N$5,A391&lt;'Panel'!$N$5-WEEKDAY('Panel'!$N$5,2)+1),0,IF(COUNTIFS($B$7:B391,B391,$C$7:C391,C391,$A$7:A391,"&gt;="&amp;('Panel'!$N$5-WEEKDAY('Panel'!$N$5,2)+1),$A$7:A391,"&lt;="&amp;'Panel'!$N$5)=1,1,0))</x:f>
        <x:v>0</x:v>
      </x:c>
    </x:row>
    <x:row r="392" ht="22" customHeight="1">
      <x:c r="A392" s="7"/>
      <x:c r="B392" s="6"/>
      <x:c r="C392" s="6"/>
      <x:c r="D392" s="6"/>
      <x:c r="E392" s="6"/>
      <x:c r="F392" s="17"/>
      <x:c r="G392" s="13"/>
      <x:c r="H392" s="14" t="str">
        <x:f>IF(B392="","",IF(OR(A392="",C392="",NOT(ISNUMBER(F392)),NOT(ISNUMBER(G392))),"Eksik efor",F392*G392))</x:f>
      </x:c>
      <x:c r="I392" s="2" t="n">
        <x:f>IF(OR(B392="",C392="",A392="",A392&gt;'Panel'!$N$5),0,IF(COUNTIFS($B$7:B392,B392,$C$7:C392,C392,$A$7:A392,"&lt;="&amp;'Panel'!$N$5)=1,1,0))</x:f>
        <x:v>0</x:v>
      </x:c>
      <x:c r="J392" s="2" t="n">
        <x:f>IF(OR(B392="",C392="",A392="",A392&gt;'Panel'!$N$5,A392&lt;'Panel'!$N$5-WEEKDAY('Panel'!$N$5,2)+1),0,IF(COUNTIFS($B$7:B392,B392,$C$7:C392,C392,$A$7:A392,"&gt;="&amp;('Panel'!$N$5-WEEKDAY('Panel'!$N$5,2)+1),$A$7:A392,"&lt;="&amp;'Panel'!$N$5)=1,1,0))</x:f>
        <x:v>0</x:v>
      </x:c>
    </x:row>
    <x:row r="393" ht="22" customHeight="1">
      <x:c r="A393" s="7"/>
      <x:c r="B393" s="6"/>
      <x:c r="C393" s="6"/>
      <x:c r="D393" s="6"/>
      <x:c r="E393" s="6"/>
      <x:c r="F393" s="17"/>
      <x:c r="G393" s="13"/>
      <x:c r="H393" s="14" t="str">
        <x:f>IF(B393="","",IF(OR(A393="",C393="",NOT(ISNUMBER(F393)),NOT(ISNUMBER(G393))),"Eksik efor",F393*G393))</x:f>
      </x:c>
      <x:c r="I393" s="2" t="n">
        <x:f>IF(OR(B393="",C393="",A393="",A393&gt;'Panel'!$N$5),0,IF(COUNTIFS($B$7:B393,B393,$C$7:C393,C393,$A$7:A393,"&lt;="&amp;'Panel'!$N$5)=1,1,0))</x:f>
        <x:v>0</x:v>
      </x:c>
      <x:c r="J393" s="2" t="n">
        <x:f>IF(OR(B393="",C393="",A393="",A393&gt;'Panel'!$N$5,A393&lt;'Panel'!$N$5-WEEKDAY('Panel'!$N$5,2)+1),0,IF(COUNTIFS($B$7:B393,B393,$C$7:C393,C393,$A$7:A393,"&gt;="&amp;('Panel'!$N$5-WEEKDAY('Panel'!$N$5,2)+1),$A$7:A393,"&lt;="&amp;'Panel'!$N$5)=1,1,0))</x:f>
        <x:v>0</x:v>
      </x:c>
    </x:row>
    <x:row r="394" ht="22" customHeight="1">
      <x:c r="A394" s="7"/>
      <x:c r="B394" s="6"/>
      <x:c r="C394" s="6"/>
      <x:c r="D394" s="6"/>
      <x:c r="E394" s="6"/>
      <x:c r="F394" s="17"/>
      <x:c r="G394" s="13"/>
      <x:c r="H394" s="14" t="str">
        <x:f>IF(B394="","",IF(OR(A394="",C394="",NOT(ISNUMBER(F394)),NOT(ISNUMBER(G394))),"Eksik efor",F394*G394))</x:f>
      </x:c>
      <x:c r="I394" s="2" t="n">
        <x:f>IF(OR(B394="",C394="",A394="",A394&gt;'Panel'!$N$5),0,IF(COUNTIFS($B$7:B394,B394,$C$7:C394,C394,$A$7:A394,"&lt;="&amp;'Panel'!$N$5)=1,1,0))</x:f>
        <x:v>0</x:v>
      </x:c>
      <x:c r="J394" s="2" t="n">
        <x:f>IF(OR(B394="",C394="",A394="",A394&gt;'Panel'!$N$5,A394&lt;'Panel'!$N$5-WEEKDAY('Panel'!$N$5,2)+1),0,IF(COUNTIFS($B$7:B394,B394,$C$7:C394,C394,$A$7:A394,"&gt;="&amp;('Panel'!$N$5-WEEKDAY('Panel'!$N$5,2)+1),$A$7:A394,"&lt;="&amp;'Panel'!$N$5)=1,1,0))</x:f>
        <x:v>0</x:v>
      </x:c>
    </x:row>
    <x:row r="395" ht="22" customHeight="1">
      <x:c r="A395" s="7"/>
      <x:c r="B395" s="6"/>
      <x:c r="C395" s="6"/>
      <x:c r="D395" s="6"/>
      <x:c r="E395" s="6"/>
      <x:c r="F395" s="17"/>
      <x:c r="G395" s="13"/>
      <x:c r="H395" s="14" t="str">
        <x:f>IF(B395="","",IF(OR(A395="",C395="",NOT(ISNUMBER(F395)),NOT(ISNUMBER(G395))),"Eksik efor",F395*G395))</x:f>
      </x:c>
      <x:c r="I395" s="2" t="n">
        <x:f>IF(OR(B395="",C395="",A395="",A395&gt;'Panel'!$N$5),0,IF(COUNTIFS($B$7:B395,B395,$C$7:C395,C395,$A$7:A395,"&lt;="&amp;'Panel'!$N$5)=1,1,0))</x:f>
        <x:v>0</x:v>
      </x:c>
      <x:c r="J395" s="2" t="n">
        <x:f>IF(OR(B395="",C395="",A395="",A395&gt;'Panel'!$N$5,A395&lt;'Panel'!$N$5-WEEKDAY('Panel'!$N$5,2)+1),0,IF(COUNTIFS($B$7:B395,B395,$C$7:C395,C395,$A$7:A395,"&gt;="&amp;('Panel'!$N$5-WEEKDAY('Panel'!$N$5,2)+1),$A$7:A395,"&lt;="&amp;'Panel'!$N$5)=1,1,0))</x:f>
        <x:v>0</x:v>
      </x:c>
    </x:row>
    <x:row r="396" ht="22" customHeight="1">
      <x:c r="A396" s="7"/>
      <x:c r="B396" s="6"/>
      <x:c r="C396" s="6"/>
      <x:c r="D396" s="6"/>
      <x:c r="E396" s="6"/>
      <x:c r="F396" s="17"/>
      <x:c r="G396" s="13"/>
      <x:c r="H396" s="14" t="str">
        <x:f>IF(B396="","",IF(OR(A396="",C396="",NOT(ISNUMBER(F396)),NOT(ISNUMBER(G396))),"Eksik efor",F396*G396))</x:f>
      </x:c>
      <x:c r="I396" s="2" t="n">
        <x:f>IF(OR(B396="",C396="",A396="",A396&gt;'Panel'!$N$5),0,IF(COUNTIFS($B$7:B396,B396,$C$7:C396,C396,$A$7:A396,"&lt;="&amp;'Panel'!$N$5)=1,1,0))</x:f>
        <x:v>0</x:v>
      </x:c>
      <x:c r="J396" s="2" t="n">
        <x:f>IF(OR(B396="",C396="",A396="",A396&gt;'Panel'!$N$5,A396&lt;'Panel'!$N$5-WEEKDAY('Panel'!$N$5,2)+1),0,IF(COUNTIFS($B$7:B396,B396,$C$7:C396,C396,$A$7:A396,"&gt;="&amp;('Panel'!$N$5-WEEKDAY('Panel'!$N$5,2)+1),$A$7:A396,"&lt;="&amp;'Panel'!$N$5)=1,1,0))</x:f>
        <x:v>0</x:v>
      </x:c>
    </x:row>
    <x:row r="397" ht="22" customHeight="1">
      <x:c r="A397" s="7"/>
      <x:c r="B397" s="6"/>
      <x:c r="C397" s="6"/>
      <x:c r="D397" s="6"/>
      <x:c r="E397" s="6"/>
      <x:c r="F397" s="17"/>
      <x:c r="G397" s="13"/>
      <x:c r="H397" s="14" t="str">
        <x:f>IF(B397="","",IF(OR(A397="",C397="",NOT(ISNUMBER(F397)),NOT(ISNUMBER(G397))),"Eksik efor",F397*G397))</x:f>
      </x:c>
      <x:c r="I397" s="2" t="n">
        <x:f>IF(OR(B397="",C397="",A397="",A397&gt;'Panel'!$N$5),0,IF(COUNTIFS($B$7:B397,B397,$C$7:C397,C397,$A$7:A397,"&lt;="&amp;'Panel'!$N$5)=1,1,0))</x:f>
        <x:v>0</x:v>
      </x:c>
      <x:c r="J397" s="2" t="n">
        <x:f>IF(OR(B397="",C397="",A397="",A397&gt;'Panel'!$N$5,A397&lt;'Panel'!$N$5-WEEKDAY('Panel'!$N$5,2)+1),0,IF(COUNTIFS($B$7:B397,B397,$C$7:C397,C397,$A$7:A397,"&gt;="&amp;('Panel'!$N$5-WEEKDAY('Panel'!$N$5,2)+1),$A$7:A397,"&lt;="&amp;'Panel'!$N$5)=1,1,0))</x:f>
        <x:v>0</x:v>
      </x:c>
    </x:row>
    <x:row r="398" ht="22" customHeight="1">
      <x:c r="A398" s="7"/>
      <x:c r="B398" s="6"/>
      <x:c r="C398" s="6"/>
      <x:c r="D398" s="6"/>
      <x:c r="E398" s="6"/>
      <x:c r="F398" s="17"/>
      <x:c r="G398" s="13"/>
      <x:c r="H398" s="14" t="str">
        <x:f>IF(B398="","",IF(OR(A398="",C398="",NOT(ISNUMBER(F398)),NOT(ISNUMBER(G398))),"Eksik efor",F398*G398))</x:f>
      </x:c>
      <x:c r="I398" s="2" t="n">
        <x:f>IF(OR(B398="",C398="",A398="",A398&gt;'Panel'!$N$5),0,IF(COUNTIFS($B$7:B398,B398,$C$7:C398,C398,$A$7:A398,"&lt;="&amp;'Panel'!$N$5)=1,1,0))</x:f>
        <x:v>0</x:v>
      </x:c>
      <x:c r="J398" s="2" t="n">
        <x:f>IF(OR(B398="",C398="",A398="",A398&gt;'Panel'!$N$5,A398&lt;'Panel'!$N$5-WEEKDAY('Panel'!$N$5,2)+1),0,IF(COUNTIFS($B$7:B398,B398,$C$7:C398,C398,$A$7:A398,"&gt;="&amp;('Panel'!$N$5-WEEKDAY('Panel'!$N$5,2)+1),$A$7:A398,"&lt;="&amp;'Panel'!$N$5)=1,1,0))</x:f>
        <x:v>0</x:v>
      </x:c>
    </x:row>
    <x:row r="399" ht="22" customHeight="1">
      <x:c r="A399" s="7"/>
      <x:c r="B399" s="6"/>
      <x:c r="C399" s="6"/>
      <x:c r="D399" s="6"/>
      <x:c r="E399" s="6"/>
      <x:c r="F399" s="17"/>
      <x:c r="G399" s="13"/>
      <x:c r="H399" s="14" t="str">
        <x:f>IF(B399="","",IF(OR(A399="",C399="",NOT(ISNUMBER(F399)),NOT(ISNUMBER(G399))),"Eksik efor",F399*G399))</x:f>
      </x:c>
      <x:c r="I399" s="2" t="n">
        <x:f>IF(OR(B399="",C399="",A399="",A399&gt;'Panel'!$N$5),0,IF(COUNTIFS($B$7:B399,B399,$C$7:C399,C399,$A$7:A399,"&lt;="&amp;'Panel'!$N$5)=1,1,0))</x:f>
        <x:v>0</x:v>
      </x:c>
      <x:c r="J399" s="2" t="n">
        <x:f>IF(OR(B399="",C399="",A399="",A399&gt;'Panel'!$N$5,A399&lt;'Panel'!$N$5-WEEKDAY('Panel'!$N$5,2)+1),0,IF(COUNTIFS($B$7:B399,B399,$C$7:C399,C399,$A$7:A399,"&gt;="&amp;('Panel'!$N$5-WEEKDAY('Panel'!$N$5,2)+1),$A$7:A399,"&lt;="&amp;'Panel'!$N$5)=1,1,0))</x:f>
        <x:v>0</x:v>
      </x:c>
    </x:row>
    <x:row r="400" ht="22" customHeight="1">
      <x:c r="A400" s="7"/>
      <x:c r="B400" s="6"/>
      <x:c r="C400" s="6"/>
      <x:c r="D400" s="6"/>
      <x:c r="E400" s="6"/>
      <x:c r="F400" s="17"/>
      <x:c r="G400" s="13"/>
      <x:c r="H400" s="14" t="str">
        <x:f>IF(B400="","",IF(OR(A400="",C400="",NOT(ISNUMBER(F400)),NOT(ISNUMBER(G400))),"Eksik efor",F400*G400))</x:f>
      </x:c>
      <x:c r="I400" s="2" t="n">
        <x:f>IF(OR(B400="",C400="",A400="",A400&gt;'Panel'!$N$5),0,IF(COUNTIFS($B$7:B400,B400,$C$7:C400,C400,$A$7:A400,"&lt;="&amp;'Panel'!$N$5)=1,1,0))</x:f>
        <x:v>0</x:v>
      </x:c>
      <x:c r="J400" s="2" t="n">
        <x:f>IF(OR(B400="",C400="",A400="",A400&gt;'Panel'!$N$5,A400&lt;'Panel'!$N$5-WEEKDAY('Panel'!$N$5,2)+1),0,IF(COUNTIFS($B$7:B400,B400,$C$7:C400,C400,$A$7:A400,"&gt;="&amp;('Panel'!$N$5-WEEKDAY('Panel'!$N$5,2)+1),$A$7:A400,"&lt;="&amp;'Panel'!$N$5)=1,1,0))</x:f>
        <x:v>0</x:v>
      </x:c>
    </x:row>
    <x:row r="401" ht="22" customHeight="1">
      <x:c r="A401" s="7"/>
      <x:c r="B401" s="6"/>
      <x:c r="C401" s="6"/>
      <x:c r="D401" s="6"/>
      <x:c r="E401" s="6"/>
      <x:c r="F401" s="17"/>
      <x:c r="G401" s="13"/>
      <x:c r="H401" s="14" t="str">
        <x:f>IF(B401="","",IF(OR(A401="",C401="",NOT(ISNUMBER(F401)),NOT(ISNUMBER(G401))),"Eksik efor",F401*G401))</x:f>
      </x:c>
      <x:c r="I401" s="2" t="n">
        <x:f>IF(OR(B401="",C401="",A401="",A401&gt;'Panel'!$N$5),0,IF(COUNTIFS($B$7:B401,B401,$C$7:C401,C401,$A$7:A401,"&lt;="&amp;'Panel'!$N$5)=1,1,0))</x:f>
        <x:v>0</x:v>
      </x:c>
      <x:c r="J401" s="2" t="n">
        <x:f>IF(OR(B401="",C401="",A401="",A401&gt;'Panel'!$N$5,A401&lt;'Panel'!$N$5-WEEKDAY('Panel'!$N$5,2)+1),0,IF(COUNTIFS($B$7:B401,B401,$C$7:C401,C401,$A$7:A401,"&gt;="&amp;('Panel'!$N$5-WEEKDAY('Panel'!$N$5,2)+1),$A$7:A401,"&lt;="&amp;'Panel'!$N$5)=1,1,0))</x:f>
        <x:v>0</x:v>
      </x:c>
    </x:row>
    <x:row r="402" ht="22" customHeight="1">
      <x:c r="A402" s="7"/>
      <x:c r="B402" s="6"/>
      <x:c r="C402" s="6"/>
      <x:c r="D402" s="6"/>
      <x:c r="E402" s="6"/>
      <x:c r="F402" s="17"/>
      <x:c r="G402" s="13"/>
      <x:c r="H402" s="14" t="str">
        <x:f>IF(B402="","",IF(OR(A402="",C402="",NOT(ISNUMBER(F402)),NOT(ISNUMBER(G402))),"Eksik efor",F402*G402))</x:f>
      </x:c>
      <x:c r="I402" s="2" t="n">
        <x:f>IF(OR(B402="",C402="",A402="",A402&gt;'Panel'!$N$5),0,IF(COUNTIFS($B$7:B402,B402,$C$7:C402,C402,$A$7:A402,"&lt;="&amp;'Panel'!$N$5)=1,1,0))</x:f>
        <x:v>0</x:v>
      </x:c>
      <x:c r="J402" s="2" t="n">
        <x:f>IF(OR(B402="",C402="",A402="",A402&gt;'Panel'!$N$5,A402&lt;'Panel'!$N$5-WEEKDAY('Panel'!$N$5,2)+1),0,IF(COUNTIFS($B$7:B402,B402,$C$7:C402,C402,$A$7:A402,"&gt;="&amp;('Panel'!$N$5-WEEKDAY('Panel'!$N$5,2)+1),$A$7:A402,"&lt;="&amp;'Panel'!$N$5)=1,1,0))</x:f>
        <x:v>0</x:v>
      </x:c>
    </x:row>
    <x:row r="403" ht="22" customHeight="1">
      <x:c r="A403" s="7"/>
      <x:c r="B403" s="6"/>
      <x:c r="C403" s="6"/>
      <x:c r="D403" s="6"/>
      <x:c r="E403" s="6"/>
      <x:c r="F403" s="17"/>
      <x:c r="G403" s="13"/>
      <x:c r="H403" s="14" t="str">
        <x:f>IF(B403="","",IF(OR(A403="",C403="",NOT(ISNUMBER(F403)),NOT(ISNUMBER(G403))),"Eksik efor",F403*G403))</x:f>
      </x:c>
      <x:c r="I403" s="2" t="n">
        <x:f>IF(OR(B403="",C403="",A403="",A403&gt;'Panel'!$N$5),0,IF(COUNTIFS($B$7:B403,B403,$C$7:C403,C403,$A$7:A403,"&lt;="&amp;'Panel'!$N$5)=1,1,0))</x:f>
        <x:v>0</x:v>
      </x:c>
      <x:c r="J403" s="2" t="n">
        <x:f>IF(OR(B403="",C403="",A403="",A403&gt;'Panel'!$N$5,A403&lt;'Panel'!$N$5-WEEKDAY('Panel'!$N$5,2)+1),0,IF(COUNTIFS($B$7:B403,B403,$C$7:C403,C403,$A$7:A403,"&gt;="&amp;('Panel'!$N$5-WEEKDAY('Panel'!$N$5,2)+1),$A$7:A403,"&lt;="&amp;'Panel'!$N$5)=1,1,0))</x:f>
        <x:v>0</x:v>
      </x:c>
    </x:row>
    <x:row r="404" ht="22" customHeight="1">
      <x:c r="A404" s="7"/>
      <x:c r="B404" s="6"/>
      <x:c r="C404" s="6"/>
      <x:c r="D404" s="6"/>
      <x:c r="E404" s="6"/>
      <x:c r="F404" s="17"/>
      <x:c r="G404" s="13"/>
      <x:c r="H404" s="14" t="str">
        <x:f>IF(B404="","",IF(OR(A404="",C404="",NOT(ISNUMBER(F404)),NOT(ISNUMBER(G404))),"Eksik efor",F404*G404))</x:f>
      </x:c>
      <x:c r="I404" s="2" t="n">
        <x:f>IF(OR(B404="",C404="",A404="",A404&gt;'Panel'!$N$5),0,IF(COUNTIFS($B$7:B404,B404,$C$7:C404,C404,$A$7:A404,"&lt;="&amp;'Panel'!$N$5)=1,1,0))</x:f>
        <x:v>0</x:v>
      </x:c>
      <x:c r="J404" s="2" t="n">
        <x:f>IF(OR(B404="",C404="",A404="",A404&gt;'Panel'!$N$5,A404&lt;'Panel'!$N$5-WEEKDAY('Panel'!$N$5,2)+1),0,IF(COUNTIFS($B$7:B404,B404,$C$7:C404,C404,$A$7:A404,"&gt;="&amp;('Panel'!$N$5-WEEKDAY('Panel'!$N$5,2)+1),$A$7:A404,"&lt;="&amp;'Panel'!$N$5)=1,1,0))</x:f>
        <x:v>0</x:v>
      </x:c>
    </x:row>
    <x:row r="405" ht="22" customHeight="1">
      <x:c r="A405" s="7"/>
      <x:c r="B405" s="6"/>
      <x:c r="C405" s="6"/>
      <x:c r="D405" s="6"/>
      <x:c r="E405" s="6"/>
      <x:c r="F405" s="17"/>
      <x:c r="G405" s="13"/>
      <x:c r="H405" s="14" t="str">
        <x:f>IF(B405="","",IF(OR(A405="",C405="",NOT(ISNUMBER(F405)),NOT(ISNUMBER(G405))),"Eksik efor",F405*G405))</x:f>
      </x:c>
      <x:c r="I405" s="2" t="n">
        <x:f>IF(OR(B405="",C405="",A405="",A405&gt;'Panel'!$N$5),0,IF(COUNTIFS($B$7:B405,B405,$C$7:C405,C405,$A$7:A405,"&lt;="&amp;'Panel'!$N$5)=1,1,0))</x:f>
        <x:v>0</x:v>
      </x:c>
      <x:c r="J405" s="2" t="n">
        <x:f>IF(OR(B405="",C405="",A405="",A405&gt;'Panel'!$N$5,A405&lt;'Panel'!$N$5-WEEKDAY('Panel'!$N$5,2)+1),0,IF(COUNTIFS($B$7:B405,B405,$C$7:C405,C405,$A$7:A405,"&gt;="&amp;('Panel'!$N$5-WEEKDAY('Panel'!$N$5,2)+1),$A$7:A405,"&lt;="&amp;'Panel'!$N$5)=1,1,0))</x:f>
        <x:v>0</x:v>
      </x:c>
    </x:row>
    <x:row r="406" ht="22" customHeight="1">
      <x:c r="A406" s="7"/>
      <x:c r="B406" s="6"/>
      <x:c r="C406" s="6"/>
      <x:c r="D406" s="6"/>
      <x:c r="E406" s="6"/>
      <x:c r="F406" s="17"/>
      <x:c r="G406" s="13"/>
      <x:c r="H406" s="14" t="str">
        <x:f>IF(B406="","",IF(OR(A406="",C406="",NOT(ISNUMBER(F406)),NOT(ISNUMBER(G406))),"Eksik efor",F406*G406))</x:f>
      </x:c>
      <x:c r="I406" s="2" t="n">
        <x:f>IF(OR(B406="",C406="",A406="",A406&gt;'Panel'!$N$5),0,IF(COUNTIFS($B$7:B406,B406,$C$7:C406,C406,$A$7:A406,"&lt;="&amp;'Panel'!$N$5)=1,1,0))</x:f>
        <x:v>0</x:v>
      </x:c>
      <x:c r="J406" s="2" t="n">
        <x:f>IF(OR(B406="",C406="",A406="",A406&gt;'Panel'!$N$5,A406&lt;'Panel'!$N$5-WEEKDAY('Panel'!$N$5,2)+1),0,IF(COUNTIFS($B$7:B406,B406,$C$7:C406,C406,$A$7:A406,"&gt;="&amp;('Panel'!$N$5-WEEKDAY('Panel'!$N$5,2)+1),$A$7:A406,"&lt;="&amp;'Panel'!$N$5)=1,1,0))</x:f>
        <x:v>0</x:v>
      </x:c>
    </x:row>
    <x:row r="407" ht="22" customHeight="1">
      <x:c r="A407" s="7"/>
      <x:c r="B407" s="6"/>
      <x:c r="C407" s="6"/>
      <x:c r="D407" s="6"/>
      <x:c r="E407" s="6"/>
      <x:c r="F407" s="17"/>
      <x:c r="G407" s="13"/>
      <x:c r="H407" s="14" t="str">
        <x:f>IF(B407="","",IF(OR(A407="",C407="",NOT(ISNUMBER(F407)),NOT(ISNUMBER(G407))),"Eksik efor",F407*G407))</x:f>
      </x:c>
      <x:c r="I407" s="2" t="n">
        <x:f>IF(OR(B407="",C407="",A407="",A407&gt;'Panel'!$N$5),0,IF(COUNTIFS($B$7:B407,B407,$C$7:C407,C407,$A$7:A407,"&lt;="&amp;'Panel'!$N$5)=1,1,0))</x:f>
        <x:v>0</x:v>
      </x:c>
      <x:c r="J407" s="2" t="n">
        <x:f>IF(OR(B407="",C407="",A407="",A407&gt;'Panel'!$N$5,A407&lt;'Panel'!$N$5-WEEKDAY('Panel'!$N$5,2)+1),0,IF(COUNTIFS($B$7:B407,B407,$C$7:C407,C407,$A$7:A407,"&gt;="&amp;('Panel'!$N$5-WEEKDAY('Panel'!$N$5,2)+1),$A$7:A407,"&lt;="&amp;'Panel'!$N$5)=1,1,0))</x:f>
        <x:v>0</x:v>
      </x:c>
    </x:row>
    <x:row r="408" ht="22" customHeight="1">
      <x:c r="A408" s="7"/>
      <x:c r="B408" s="6"/>
      <x:c r="C408" s="6"/>
      <x:c r="D408" s="6"/>
      <x:c r="E408" s="6"/>
      <x:c r="F408" s="17"/>
      <x:c r="G408" s="13"/>
      <x:c r="H408" s="14" t="str">
        <x:f>IF(B408="","",IF(OR(A408="",C408="",NOT(ISNUMBER(F408)),NOT(ISNUMBER(G408))),"Eksik efor",F408*G408))</x:f>
      </x:c>
      <x:c r="I408" s="2" t="n">
        <x:f>IF(OR(B408="",C408="",A408="",A408&gt;'Panel'!$N$5),0,IF(COUNTIFS($B$7:B408,B408,$C$7:C408,C408,$A$7:A408,"&lt;="&amp;'Panel'!$N$5)=1,1,0))</x:f>
        <x:v>0</x:v>
      </x:c>
      <x:c r="J408" s="2" t="n">
        <x:f>IF(OR(B408="",C408="",A408="",A408&gt;'Panel'!$N$5,A408&lt;'Panel'!$N$5-WEEKDAY('Panel'!$N$5,2)+1),0,IF(COUNTIFS($B$7:B408,B408,$C$7:C408,C408,$A$7:A408,"&gt;="&amp;('Panel'!$N$5-WEEKDAY('Panel'!$N$5,2)+1),$A$7:A408,"&lt;="&amp;'Panel'!$N$5)=1,1,0))</x:f>
        <x:v>0</x:v>
      </x:c>
    </x:row>
    <x:row r="409" ht="22" customHeight="1">
      <x:c r="A409" s="7"/>
      <x:c r="B409" s="6"/>
      <x:c r="C409" s="6"/>
      <x:c r="D409" s="6"/>
      <x:c r="E409" s="6"/>
      <x:c r="F409" s="17"/>
      <x:c r="G409" s="13"/>
      <x:c r="H409" s="14" t="str">
        <x:f>IF(B409="","",IF(OR(A409="",C409="",NOT(ISNUMBER(F409)),NOT(ISNUMBER(G409))),"Eksik efor",F409*G409))</x:f>
      </x:c>
      <x:c r="I409" s="2" t="n">
        <x:f>IF(OR(B409="",C409="",A409="",A409&gt;'Panel'!$N$5),0,IF(COUNTIFS($B$7:B409,B409,$C$7:C409,C409,$A$7:A409,"&lt;="&amp;'Panel'!$N$5)=1,1,0))</x:f>
        <x:v>0</x:v>
      </x:c>
      <x:c r="J409" s="2" t="n">
        <x:f>IF(OR(B409="",C409="",A409="",A409&gt;'Panel'!$N$5,A409&lt;'Panel'!$N$5-WEEKDAY('Panel'!$N$5,2)+1),0,IF(COUNTIFS($B$7:B409,B409,$C$7:C409,C409,$A$7:A409,"&gt;="&amp;('Panel'!$N$5-WEEKDAY('Panel'!$N$5,2)+1),$A$7:A409,"&lt;="&amp;'Panel'!$N$5)=1,1,0))</x:f>
        <x:v>0</x:v>
      </x:c>
    </x:row>
    <x:row r="410" ht="22" customHeight="1">
      <x:c r="A410" s="7"/>
      <x:c r="B410" s="6"/>
      <x:c r="C410" s="6"/>
      <x:c r="D410" s="6"/>
      <x:c r="E410" s="6"/>
      <x:c r="F410" s="17"/>
      <x:c r="G410" s="13"/>
      <x:c r="H410" s="14" t="str">
        <x:f>IF(B410="","",IF(OR(A410="",C410="",NOT(ISNUMBER(F410)),NOT(ISNUMBER(G410))),"Eksik efor",F410*G410))</x:f>
      </x:c>
      <x:c r="I410" s="2" t="n">
        <x:f>IF(OR(B410="",C410="",A410="",A410&gt;'Panel'!$N$5),0,IF(COUNTIFS($B$7:B410,B410,$C$7:C410,C410,$A$7:A410,"&lt;="&amp;'Panel'!$N$5)=1,1,0))</x:f>
        <x:v>0</x:v>
      </x:c>
      <x:c r="J410" s="2" t="n">
        <x:f>IF(OR(B410="",C410="",A410="",A410&gt;'Panel'!$N$5,A410&lt;'Panel'!$N$5-WEEKDAY('Panel'!$N$5,2)+1),0,IF(COUNTIFS($B$7:B410,B410,$C$7:C410,C410,$A$7:A410,"&gt;="&amp;('Panel'!$N$5-WEEKDAY('Panel'!$N$5,2)+1),$A$7:A410,"&lt;="&amp;'Panel'!$N$5)=1,1,0))</x:f>
        <x:v>0</x:v>
      </x:c>
    </x:row>
    <x:row r="411" ht="22" customHeight="1">
      <x:c r="A411" s="7"/>
      <x:c r="B411" s="6"/>
      <x:c r="C411" s="6"/>
      <x:c r="D411" s="6"/>
      <x:c r="E411" s="6"/>
      <x:c r="F411" s="17"/>
      <x:c r="G411" s="13"/>
      <x:c r="H411" s="14" t="str">
        <x:f>IF(B411="","",IF(OR(A411="",C411="",NOT(ISNUMBER(F411)),NOT(ISNUMBER(G411))),"Eksik efor",F411*G411))</x:f>
      </x:c>
      <x:c r="I411" s="2" t="n">
        <x:f>IF(OR(B411="",C411="",A411="",A411&gt;'Panel'!$N$5),0,IF(COUNTIFS($B$7:B411,B411,$C$7:C411,C411,$A$7:A411,"&lt;="&amp;'Panel'!$N$5)=1,1,0))</x:f>
        <x:v>0</x:v>
      </x:c>
      <x:c r="J411" s="2" t="n">
        <x:f>IF(OR(B411="",C411="",A411="",A411&gt;'Panel'!$N$5,A411&lt;'Panel'!$N$5-WEEKDAY('Panel'!$N$5,2)+1),0,IF(COUNTIFS($B$7:B411,B411,$C$7:C411,C411,$A$7:A411,"&gt;="&amp;('Panel'!$N$5-WEEKDAY('Panel'!$N$5,2)+1),$A$7:A411,"&lt;="&amp;'Panel'!$N$5)=1,1,0))</x:f>
        <x:v>0</x:v>
      </x:c>
    </x:row>
    <x:row r="412" ht="22" customHeight="1">
      <x:c r="A412" s="7"/>
      <x:c r="B412" s="6"/>
      <x:c r="C412" s="6"/>
      <x:c r="D412" s="6"/>
      <x:c r="E412" s="6"/>
      <x:c r="F412" s="17"/>
      <x:c r="G412" s="13"/>
      <x:c r="H412" s="14" t="str">
        <x:f>IF(B412="","",IF(OR(A412="",C412="",NOT(ISNUMBER(F412)),NOT(ISNUMBER(G412))),"Eksik efor",F412*G412))</x:f>
      </x:c>
      <x:c r="I412" s="2" t="n">
        <x:f>IF(OR(B412="",C412="",A412="",A412&gt;'Panel'!$N$5),0,IF(COUNTIFS($B$7:B412,B412,$C$7:C412,C412,$A$7:A412,"&lt;="&amp;'Panel'!$N$5)=1,1,0))</x:f>
        <x:v>0</x:v>
      </x:c>
      <x:c r="J412" s="2" t="n">
        <x:f>IF(OR(B412="",C412="",A412="",A412&gt;'Panel'!$N$5,A412&lt;'Panel'!$N$5-WEEKDAY('Panel'!$N$5,2)+1),0,IF(COUNTIFS($B$7:B412,B412,$C$7:C412,C412,$A$7:A412,"&gt;="&amp;('Panel'!$N$5-WEEKDAY('Panel'!$N$5,2)+1),$A$7:A412,"&lt;="&amp;'Panel'!$N$5)=1,1,0))</x:f>
        <x:v>0</x:v>
      </x:c>
    </x:row>
    <x:row r="413" ht="22" customHeight="1">
      <x:c r="A413" s="7"/>
      <x:c r="B413" s="6"/>
      <x:c r="C413" s="6"/>
      <x:c r="D413" s="6"/>
      <x:c r="E413" s="6"/>
      <x:c r="F413" s="17"/>
      <x:c r="G413" s="13"/>
      <x:c r="H413" s="14" t="str">
        <x:f>IF(B413="","",IF(OR(A413="",C413="",NOT(ISNUMBER(F413)),NOT(ISNUMBER(G413))),"Eksik efor",F413*G413))</x:f>
      </x:c>
      <x:c r="I413" s="2" t="n">
        <x:f>IF(OR(B413="",C413="",A413="",A413&gt;'Panel'!$N$5),0,IF(COUNTIFS($B$7:B413,B413,$C$7:C413,C413,$A$7:A413,"&lt;="&amp;'Panel'!$N$5)=1,1,0))</x:f>
        <x:v>0</x:v>
      </x:c>
      <x:c r="J413" s="2" t="n">
        <x:f>IF(OR(B413="",C413="",A413="",A413&gt;'Panel'!$N$5,A413&lt;'Panel'!$N$5-WEEKDAY('Panel'!$N$5,2)+1),0,IF(COUNTIFS($B$7:B413,B413,$C$7:C413,C413,$A$7:A413,"&gt;="&amp;('Panel'!$N$5-WEEKDAY('Panel'!$N$5,2)+1),$A$7:A413,"&lt;="&amp;'Panel'!$N$5)=1,1,0))</x:f>
        <x:v>0</x:v>
      </x:c>
    </x:row>
    <x:row r="414" ht="22" customHeight="1">
      <x:c r="A414" s="7"/>
      <x:c r="B414" s="6"/>
      <x:c r="C414" s="6"/>
      <x:c r="D414" s="6"/>
      <x:c r="E414" s="6"/>
      <x:c r="F414" s="17"/>
      <x:c r="G414" s="13"/>
      <x:c r="H414" s="14" t="str">
        <x:f>IF(B414="","",IF(OR(A414="",C414="",NOT(ISNUMBER(F414)),NOT(ISNUMBER(G414))),"Eksik efor",F414*G414))</x:f>
      </x:c>
      <x:c r="I414" s="2" t="n">
        <x:f>IF(OR(B414="",C414="",A414="",A414&gt;'Panel'!$N$5),0,IF(COUNTIFS($B$7:B414,B414,$C$7:C414,C414,$A$7:A414,"&lt;="&amp;'Panel'!$N$5)=1,1,0))</x:f>
        <x:v>0</x:v>
      </x:c>
      <x:c r="J414" s="2" t="n">
        <x:f>IF(OR(B414="",C414="",A414="",A414&gt;'Panel'!$N$5,A414&lt;'Panel'!$N$5-WEEKDAY('Panel'!$N$5,2)+1),0,IF(COUNTIFS($B$7:B414,B414,$C$7:C414,C414,$A$7:A414,"&gt;="&amp;('Panel'!$N$5-WEEKDAY('Panel'!$N$5,2)+1),$A$7:A414,"&lt;="&amp;'Panel'!$N$5)=1,1,0))</x:f>
        <x:v>0</x:v>
      </x:c>
    </x:row>
    <x:row r="415" ht="22" customHeight="1">
      <x:c r="A415" s="7"/>
      <x:c r="B415" s="6"/>
      <x:c r="C415" s="6"/>
      <x:c r="D415" s="6"/>
      <x:c r="E415" s="6"/>
      <x:c r="F415" s="17"/>
      <x:c r="G415" s="13"/>
      <x:c r="H415" s="14" t="str">
        <x:f>IF(B415="","",IF(OR(A415="",C415="",NOT(ISNUMBER(F415)),NOT(ISNUMBER(G415))),"Eksik efor",F415*G415))</x:f>
      </x:c>
      <x:c r="I415" s="2" t="n">
        <x:f>IF(OR(B415="",C415="",A415="",A415&gt;'Panel'!$N$5),0,IF(COUNTIFS($B$7:B415,B415,$C$7:C415,C415,$A$7:A415,"&lt;="&amp;'Panel'!$N$5)=1,1,0))</x:f>
        <x:v>0</x:v>
      </x:c>
      <x:c r="J415" s="2" t="n">
        <x:f>IF(OR(B415="",C415="",A415="",A415&gt;'Panel'!$N$5,A415&lt;'Panel'!$N$5-WEEKDAY('Panel'!$N$5,2)+1),0,IF(COUNTIFS($B$7:B415,B415,$C$7:C415,C415,$A$7:A415,"&gt;="&amp;('Panel'!$N$5-WEEKDAY('Panel'!$N$5,2)+1),$A$7:A415,"&lt;="&amp;'Panel'!$N$5)=1,1,0))</x:f>
        <x:v>0</x:v>
      </x:c>
    </x:row>
    <x:row r="416" ht="22" customHeight="1">
      <x:c r="A416" s="7"/>
      <x:c r="B416" s="6"/>
      <x:c r="C416" s="6"/>
      <x:c r="D416" s="6"/>
      <x:c r="E416" s="6"/>
      <x:c r="F416" s="17"/>
      <x:c r="G416" s="13"/>
      <x:c r="H416" s="14" t="str">
        <x:f>IF(B416="","",IF(OR(A416="",C416="",NOT(ISNUMBER(F416)),NOT(ISNUMBER(G416))),"Eksik efor",F416*G416))</x:f>
      </x:c>
      <x:c r="I416" s="2" t="n">
        <x:f>IF(OR(B416="",C416="",A416="",A416&gt;'Panel'!$N$5),0,IF(COUNTIFS($B$7:B416,B416,$C$7:C416,C416,$A$7:A416,"&lt;="&amp;'Panel'!$N$5)=1,1,0))</x:f>
        <x:v>0</x:v>
      </x:c>
      <x:c r="J416" s="2" t="n">
        <x:f>IF(OR(B416="",C416="",A416="",A416&gt;'Panel'!$N$5,A416&lt;'Panel'!$N$5-WEEKDAY('Panel'!$N$5,2)+1),0,IF(COUNTIFS($B$7:B416,B416,$C$7:C416,C416,$A$7:A416,"&gt;="&amp;('Panel'!$N$5-WEEKDAY('Panel'!$N$5,2)+1),$A$7:A416,"&lt;="&amp;'Panel'!$N$5)=1,1,0))</x:f>
        <x:v>0</x:v>
      </x:c>
    </x:row>
    <x:row r="417" ht="22" customHeight="1">
      <x:c r="A417" s="7"/>
      <x:c r="B417" s="6"/>
      <x:c r="C417" s="6"/>
      <x:c r="D417" s="6"/>
      <x:c r="E417" s="6"/>
      <x:c r="F417" s="17"/>
      <x:c r="G417" s="13"/>
      <x:c r="H417" s="14" t="str">
        <x:f>IF(B417="","",IF(OR(A417="",C417="",NOT(ISNUMBER(F417)),NOT(ISNUMBER(G417))),"Eksik efor",F417*G417))</x:f>
      </x:c>
      <x:c r="I417" s="2" t="n">
        <x:f>IF(OR(B417="",C417="",A417="",A417&gt;'Panel'!$N$5),0,IF(COUNTIFS($B$7:B417,B417,$C$7:C417,C417,$A$7:A417,"&lt;="&amp;'Panel'!$N$5)=1,1,0))</x:f>
        <x:v>0</x:v>
      </x:c>
      <x:c r="J417" s="2" t="n">
        <x:f>IF(OR(B417="",C417="",A417="",A417&gt;'Panel'!$N$5,A417&lt;'Panel'!$N$5-WEEKDAY('Panel'!$N$5,2)+1),0,IF(COUNTIFS($B$7:B417,B417,$C$7:C417,C417,$A$7:A417,"&gt;="&amp;('Panel'!$N$5-WEEKDAY('Panel'!$N$5,2)+1),$A$7:A417,"&lt;="&amp;'Panel'!$N$5)=1,1,0))</x:f>
        <x:v>0</x:v>
      </x:c>
    </x:row>
    <x:row r="418" ht="22" customHeight="1">
      <x:c r="A418" s="7"/>
      <x:c r="B418" s="6"/>
      <x:c r="C418" s="6"/>
      <x:c r="D418" s="6"/>
      <x:c r="E418" s="6"/>
      <x:c r="F418" s="17"/>
      <x:c r="G418" s="13"/>
      <x:c r="H418" s="14" t="str">
        <x:f>IF(B418="","",IF(OR(A418="",C418="",NOT(ISNUMBER(F418)),NOT(ISNUMBER(G418))),"Eksik efor",F418*G418))</x:f>
      </x:c>
      <x:c r="I418" s="2" t="n">
        <x:f>IF(OR(B418="",C418="",A418="",A418&gt;'Panel'!$N$5),0,IF(COUNTIFS($B$7:B418,B418,$C$7:C418,C418,$A$7:A418,"&lt;="&amp;'Panel'!$N$5)=1,1,0))</x:f>
        <x:v>0</x:v>
      </x:c>
      <x:c r="J418" s="2" t="n">
        <x:f>IF(OR(B418="",C418="",A418="",A418&gt;'Panel'!$N$5,A418&lt;'Panel'!$N$5-WEEKDAY('Panel'!$N$5,2)+1),0,IF(COUNTIFS($B$7:B418,B418,$C$7:C418,C418,$A$7:A418,"&gt;="&amp;('Panel'!$N$5-WEEKDAY('Panel'!$N$5,2)+1),$A$7:A418,"&lt;="&amp;'Panel'!$N$5)=1,1,0))</x:f>
        <x:v>0</x:v>
      </x:c>
    </x:row>
    <x:row r="419" ht="22" customHeight="1">
      <x:c r="A419" s="7"/>
      <x:c r="B419" s="6"/>
      <x:c r="C419" s="6"/>
      <x:c r="D419" s="6"/>
      <x:c r="E419" s="6"/>
      <x:c r="F419" s="17"/>
      <x:c r="G419" s="13"/>
      <x:c r="H419" s="14" t="str">
        <x:f>IF(B419="","",IF(OR(A419="",C419="",NOT(ISNUMBER(F419)),NOT(ISNUMBER(G419))),"Eksik efor",F419*G419))</x:f>
      </x:c>
      <x:c r="I419" s="2" t="n">
        <x:f>IF(OR(B419="",C419="",A419="",A419&gt;'Panel'!$N$5),0,IF(COUNTIFS($B$7:B419,B419,$C$7:C419,C419,$A$7:A419,"&lt;="&amp;'Panel'!$N$5)=1,1,0))</x:f>
        <x:v>0</x:v>
      </x:c>
      <x:c r="J419" s="2" t="n">
        <x:f>IF(OR(B419="",C419="",A419="",A419&gt;'Panel'!$N$5,A419&lt;'Panel'!$N$5-WEEKDAY('Panel'!$N$5,2)+1),0,IF(COUNTIFS($B$7:B419,B419,$C$7:C419,C419,$A$7:A419,"&gt;="&amp;('Panel'!$N$5-WEEKDAY('Panel'!$N$5,2)+1),$A$7:A419,"&lt;="&amp;'Panel'!$N$5)=1,1,0))</x:f>
        <x:v>0</x:v>
      </x:c>
    </x:row>
    <x:row r="420" ht="22" customHeight="1">
      <x:c r="A420" s="7"/>
      <x:c r="B420" s="6"/>
      <x:c r="C420" s="6"/>
      <x:c r="D420" s="6"/>
      <x:c r="E420" s="6"/>
      <x:c r="F420" s="17"/>
      <x:c r="G420" s="13"/>
      <x:c r="H420" s="14" t="str">
        <x:f>IF(B420="","",IF(OR(A420="",C420="",NOT(ISNUMBER(F420)),NOT(ISNUMBER(G420))),"Eksik efor",F420*G420))</x:f>
      </x:c>
      <x:c r="I420" s="2" t="n">
        <x:f>IF(OR(B420="",C420="",A420="",A420&gt;'Panel'!$N$5),0,IF(COUNTIFS($B$7:B420,B420,$C$7:C420,C420,$A$7:A420,"&lt;="&amp;'Panel'!$N$5)=1,1,0))</x:f>
        <x:v>0</x:v>
      </x:c>
      <x:c r="J420" s="2" t="n">
        <x:f>IF(OR(B420="",C420="",A420="",A420&gt;'Panel'!$N$5,A420&lt;'Panel'!$N$5-WEEKDAY('Panel'!$N$5,2)+1),0,IF(COUNTIFS($B$7:B420,B420,$C$7:C420,C420,$A$7:A420,"&gt;="&amp;('Panel'!$N$5-WEEKDAY('Panel'!$N$5,2)+1),$A$7:A420,"&lt;="&amp;'Panel'!$N$5)=1,1,0))</x:f>
        <x:v>0</x:v>
      </x:c>
    </x:row>
    <x:row r="421" ht="22" customHeight="1">
      <x:c r="A421" s="7"/>
      <x:c r="B421" s="6"/>
      <x:c r="C421" s="6"/>
      <x:c r="D421" s="6"/>
      <x:c r="E421" s="6"/>
      <x:c r="F421" s="17"/>
      <x:c r="G421" s="13"/>
      <x:c r="H421" s="14" t="str">
        <x:f>IF(B421="","",IF(OR(A421="",C421="",NOT(ISNUMBER(F421)),NOT(ISNUMBER(G421))),"Eksik efor",F421*G421))</x:f>
      </x:c>
      <x:c r="I421" s="2" t="n">
        <x:f>IF(OR(B421="",C421="",A421="",A421&gt;'Panel'!$N$5),0,IF(COUNTIFS($B$7:B421,B421,$C$7:C421,C421,$A$7:A421,"&lt;="&amp;'Panel'!$N$5)=1,1,0))</x:f>
        <x:v>0</x:v>
      </x:c>
      <x:c r="J421" s="2" t="n">
        <x:f>IF(OR(B421="",C421="",A421="",A421&gt;'Panel'!$N$5,A421&lt;'Panel'!$N$5-WEEKDAY('Panel'!$N$5,2)+1),0,IF(COUNTIFS($B$7:B421,B421,$C$7:C421,C421,$A$7:A421,"&gt;="&amp;('Panel'!$N$5-WEEKDAY('Panel'!$N$5,2)+1),$A$7:A421,"&lt;="&amp;'Panel'!$N$5)=1,1,0))</x:f>
        <x:v>0</x:v>
      </x:c>
    </x:row>
    <x:row r="422" ht="22" customHeight="1">
      <x:c r="A422" s="7"/>
      <x:c r="B422" s="6"/>
      <x:c r="C422" s="6"/>
      <x:c r="D422" s="6"/>
      <x:c r="E422" s="6"/>
      <x:c r="F422" s="17"/>
      <x:c r="G422" s="13"/>
      <x:c r="H422" s="14" t="str">
        <x:f>IF(B422="","",IF(OR(A422="",C422="",NOT(ISNUMBER(F422)),NOT(ISNUMBER(G422))),"Eksik efor",F422*G422))</x:f>
      </x:c>
      <x:c r="I422" s="2" t="n">
        <x:f>IF(OR(B422="",C422="",A422="",A422&gt;'Panel'!$N$5),0,IF(COUNTIFS($B$7:B422,B422,$C$7:C422,C422,$A$7:A422,"&lt;="&amp;'Panel'!$N$5)=1,1,0))</x:f>
        <x:v>0</x:v>
      </x:c>
      <x:c r="J422" s="2" t="n">
        <x:f>IF(OR(B422="",C422="",A422="",A422&gt;'Panel'!$N$5,A422&lt;'Panel'!$N$5-WEEKDAY('Panel'!$N$5,2)+1),0,IF(COUNTIFS($B$7:B422,B422,$C$7:C422,C422,$A$7:A422,"&gt;="&amp;('Panel'!$N$5-WEEKDAY('Panel'!$N$5,2)+1),$A$7:A422,"&lt;="&amp;'Panel'!$N$5)=1,1,0))</x:f>
        <x:v>0</x:v>
      </x:c>
    </x:row>
    <x:row r="423" ht="22" customHeight="1">
      <x:c r="A423" s="7"/>
      <x:c r="B423" s="6"/>
      <x:c r="C423" s="6"/>
      <x:c r="D423" s="6"/>
      <x:c r="E423" s="6"/>
      <x:c r="F423" s="17"/>
      <x:c r="G423" s="13"/>
      <x:c r="H423" s="14" t="str">
        <x:f>IF(B423="","",IF(OR(A423="",C423="",NOT(ISNUMBER(F423)),NOT(ISNUMBER(G423))),"Eksik efor",F423*G423))</x:f>
      </x:c>
      <x:c r="I423" s="2" t="n">
        <x:f>IF(OR(B423="",C423="",A423="",A423&gt;'Panel'!$N$5),0,IF(COUNTIFS($B$7:B423,B423,$C$7:C423,C423,$A$7:A423,"&lt;="&amp;'Panel'!$N$5)=1,1,0))</x:f>
        <x:v>0</x:v>
      </x:c>
      <x:c r="J423" s="2" t="n">
        <x:f>IF(OR(B423="",C423="",A423="",A423&gt;'Panel'!$N$5,A423&lt;'Panel'!$N$5-WEEKDAY('Panel'!$N$5,2)+1),0,IF(COUNTIFS($B$7:B423,B423,$C$7:C423,C423,$A$7:A423,"&gt;="&amp;('Panel'!$N$5-WEEKDAY('Panel'!$N$5,2)+1),$A$7:A423,"&lt;="&amp;'Panel'!$N$5)=1,1,0))</x:f>
        <x:v>0</x:v>
      </x:c>
    </x:row>
    <x:row r="424" ht="22" customHeight="1">
      <x:c r="A424" s="7"/>
      <x:c r="B424" s="6"/>
      <x:c r="C424" s="6"/>
      <x:c r="D424" s="6"/>
      <x:c r="E424" s="6"/>
      <x:c r="F424" s="17"/>
      <x:c r="G424" s="13"/>
      <x:c r="H424" s="14" t="str">
        <x:f>IF(B424="","",IF(OR(A424="",C424="",NOT(ISNUMBER(F424)),NOT(ISNUMBER(G424))),"Eksik efor",F424*G424))</x:f>
      </x:c>
      <x:c r="I424" s="2" t="n">
        <x:f>IF(OR(B424="",C424="",A424="",A424&gt;'Panel'!$N$5),0,IF(COUNTIFS($B$7:B424,B424,$C$7:C424,C424,$A$7:A424,"&lt;="&amp;'Panel'!$N$5)=1,1,0))</x:f>
        <x:v>0</x:v>
      </x:c>
      <x:c r="J424" s="2" t="n">
        <x:f>IF(OR(B424="",C424="",A424="",A424&gt;'Panel'!$N$5,A424&lt;'Panel'!$N$5-WEEKDAY('Panel'!$N$5,2)+1),0,IF(COUNTIFS($B$7:B424,B424,$C$7:C424,C424,$A$7:A424,"&gt;="&amp;('Panel'!$N$5-WEEKDAY('Panel'!$N$5,2)+1),$A$7:A424,"&lt;="&amp;'Panel'!$N$5)=1,1,0))</x:f>
        <x:v>0</x:v>
      </x:c>
    </x:row>
    <x:row r="425" ht="22" customHeight="1">
      <x:c r="A425" s="7"/>
      <x:c r="B425" s="6"/>
      <x:c r="C425" s="6"/>
      <x:c r="D425" s="6"/>
      <x:c r="E425" s="6"/>
      <x:c r="F425" s="17"/>
      <x:c r="G425" s="13"/>
      <x:c r="H425" s="14" t="str">
        <x:f>IF(B425="","",IF(OR(A425="",C425="",NOT(ISNUMBER(F425)),NOT(ISNUMBER(G425))),"Eksik efor",F425*G425))</x:f>
      </x:c>
      <x:c r="I425" s="2" t="n">
        <x:f>IF(OR(B425="",C425="",A425="",A425&gt;'Panel'!$N$5),0,IF(COUNTIFS($B$7:B425,B425,$C$7:C425,C425,$A$7:A425,"&lt;="&amp;'Panel'!$N$5)=1,1,0))</x:f>
        <x:v>0</x:v>
      </x:c>
      <x:c r="J425" s="2" t="n">
        <x:f>IF(OR(B425="",C425="",A425="",A425&gt;'Panel'!$N$5,A425&lt;'Panel'!$N$5-WEEKDAY('Panel'!$N$5,2)+1),0,IF(COUNTIFS($B$7:B425,B425,$C$7:C425,C425,$A$7:A425,"&gt;="&amp;('Panel'!$N$5-WEEKDAY('Panel'!$N$5,2)+1),$A$7:A425,"&lt;="&amp;'Panel'!$N$5)=1,1,0))</x:f>
        <x:v>0</x:v>
      </x:c>
    </x:row>
    <x:row r="426" ht="22" customHeight="1">
      <x:c r="A426" s="7"/>
      <x:c r="B426" s="6"/>
      <x:c r="C426" s="6"/>
      <x:c r="D426" s="6"/>
      <x:c r="E426" s="6"/>
      <x:c r="F426" s="17"/>
      <x:c r="G426" s="13"/>
      <x:c r="H426" s="14" t="str">
        <x:f>IF(B426="","",IF(OR(A426="",C426="",NOT(ISNUMBER(F426)),NOT(ISNUMBER(G426))),"Eksik efor",F426*G426))</x:f>
      </x:c>
      <x:c r="I426" s="2" t="n">
        <x:f>IF(OR(B426="",C426="",A426="",A426&gt;'Panel'!$N$5),0,IF(COUNTIFS($B$7:B426,B426,$C$7:C426,C426,$A$7:A426,"&lt;="&amp;'Panel'!$N$5)=1,1,0))</x:f>
        <x:v>0</x:v>
      </x:c>
      <x:c r="J426" s="2" t="n">
        <x:f>IF(OR(B426="",C426="",A426="",A426&gt;'Panel'!$N$5,A426&lt;'Panel'!$N$5-WEEKDAY('Panel'!$N$5,2)+1),0,IF(COUNTIFS($B$7:B426,B426,$C$7:C426,C426,$A$7:A426,"&gt;="&amp;('Panel'!$N$5-WEEKDAY('Panel'!$N$5,2)+1),$A$7:A426,"&lt;="&amp;'Panel'!$N$5)=1,1,0))</x:f>
        <x:v>0</x:v>
      </x:c>
    </x:row>
    <x:row r="427" ht="22" customHeight="1">
      <x:c r="A427" s="7"/>
      <x:c r="B427" s="6"/>
      <x:c r="C427" s="6"/>
      <x:c r="D427" s="6"/>
      <x:c r="E427" s="6"/>
      <x:c r="F427" s="17"/>
      <x:c r="G427" s="13"/>
      <x:c r="H427" s="14" t="str">
        <x:f>IF(B427="","",IF(OR(A427="",C427="",NOT(ISNUMBER(F427)),NOT(ISNUMBER(G427))),"Eksik efor",F427*G427))</x:f>
      </x:c>
      <x:c r="I427" s="2" t="n">
        <x:f>IF(OR(B427="",C427="",A427="",A427&gt;'Panel'!$N$5),0,IF(COUNTIFS($B$7:B427,B427,$C$7:C427,C427,$A$7:A427,"&lt;="&amp;'Panel'!$N$5)=1,1,0))</x:f>
        <x:v>0</x:v>
      </x:c>
      <x:c r="J427" s="2" t="n">
        <x:f>IF(OR(B427="",C427="",A427="",A427&gt;'Panel'!$N$5,A427&lt;'Panel'!$N$5-WEEKDAY('Panel'!$N$5,2)+1),0,IF(COUNTIFS($B$7:B427,B427,$C$7:C427,C427,$A$7:A427,"&gt;="&amp;('Panel'!$N$5-WEEKDAY('Panel'!$N$5,2)+1),$A$7:A427,"&lt;="&amp;'Panel'!$N$5)=1,1,0))</x:f>
        <x:v>0</x:v>
      </x:c>
    </x:row>
    <x:row r="428" ht="22" customHeight="1">
      <x:c r="A428" s="7"/>
      <x:c r="B428" s="6"/>
      <x:c r="C428" s="6"/>
      <x:c r="D428" s="6"/>
      <x:c r="E428" s="6"/>
      <x:c r="F428" s="17"/>
      <x:c r="G428" s="13"/>
      <x:c r="H428" s="14" t="str">
        <x:f>IF(B428="","",IF(OR(A428="",C428="",NOT(ISNUMBER(F428)),NOT(ISNUMBER(G428))),"Eksik efor",F428*G428))</x:f>
      </x:c>
      <x:c r="I428" s="2" t="n">
        <x:f>IF(OR(B428="",C428="",A428="",A428&gt;'Panel'!$N$5),0,IF(COUNTIFS($B$7:B428,B428,$C$7:C428,C428,$A$7:A428,"&lt;="&amp;'Panel'!$N$5)=1,1,0))</x:f>
        <x:v>0</x:v>
      </x:c>
      <x:c r="J428" s="2" t="n">
        <x:f>IF(OR(B428="",C428="",A428="",A428&gt;'Panel'!$N$5,A428&lt;'Panel'!$N$5-WEEKDAY('Panel'!$N$5,2)+1),0,IF(COUNTIFS($B$7:B428,B428,$C$7:C428,C428,$A$7:A428,"&gt;="&amp;('Panel'!$N$5-WEEKDAY('Panel'!$N$5,2)+1),$A$7:A428,"&lt;="&amp;'Panel'!$N$5)=1,1,0))</x:f>
        <x:v>0</x:v>
      </x:c>
    </x:row>
    <x:row r="429" ht="22" customHeight="1">
      <x:c r="A429" s="7"/>
      <x:c r="B429" s="6"/>
      <x:c r="C429" s="6"/>
      <x:c r="D429" s="6"/>
      <x:c r="E429" s="6"/>
      <x:c r="F429" s="17"/>
      <x:c r="G429" s="13"/>
      <x:c r="H429" s="14" t="str">
        <x:f>IF(B429="","",IF(OR(A429="",C429="",NOT(ISNUMBER(F429)),NOT(ISNUMBER(G429))),"Eksik efor",F429*G429))</x:f>
      </x:c>
      <x:c r="I429" s="2" t="n">
        <x:f>IF(OR(B429="",C429="",A429="",A429&gt;'Panel'!$N$5),0,IF(COUNTIFS($B$7:B429,B429,$C$7:C429,C429,$A$7:A429,"&lt;="&amp;'Panel'!$N$5)=1,1,0))</x:f>
        <x:v>0</x:v>
      </x:c>
      <x:c r="J429" s="2" t="n">
        <x:f>IF(OR(B429="",C429="",A429="",A429&gt;'Panel'!$N$5,A429&lt;'Panel'!$N$5-WEEKDAY('Panel'!$N$5,2)+1),0,IF(COUNTIFS($B$7:B429,B429,$C$7:C429,C429,$A$7:A429,"&gt;="&amp;('Panel'!$N$5-WEEKDAY('Panel'!$N$5,2)+1),$A$7:A429,"&lt;="&amp;'Panel'!$N$5)=1,1,0))</x:f>
        <x:v>0</x:v>
      </x:c>
    </x:row>
    <x:row r="430" ht="22" customHeight="1">
      <x:c r="A430" s="7"/>
      <x:c r="B430" s="6"/>
      <x:c r="C430" s="6"/>
      <x:c r="D430" s="6"/>
      <x:c r="E430" s="6"/>
      <x:c r="F430" s="17"/>
      <x:c r="G430" s="13"/>
      <x:c r="H430" s="14" t="str">
        <x:f>IF(B430="","",IF(OR(A430="",C430="",NOT(ISNUMBER(F430)),NOT(ISNUMBER(G430))),"Eksik efor",F430*G430))</x:f>
      </x:c>
      <x:c r="I430" s="2" t="n">
        <x:f>IF(OR(B430="",C430="",A430="",A430&gt;'Panel'!$N$5),0,IF(COUNTIFS($B$7:B430,B430,$C$7:C430,C430,$A$7:A430,"&lt;="&amp;'Panel'!$N$5)=1,1,0))</x:f>
        <x:v>0</x:v>
      </x:c>
      <x:c r="J430" s="2" t="n">
        <x:f>IF(OR(B430="",C430="",A430="",A430&gt;'Panel'!$N$5,A430&lt;'Panel'!$N$5-WEEKDAY('Panel'!$N$5,2)+1),0,IF(COUNTIFS($B$7:B430,B430,$C$7:C430,C430,$A$7:A430,"&gt;="&amp;('Panel'!$N$5-WEEKDAY('Panel'!$N$5,2)+1),$A$7:A430,"&lt;="&amp;'Panel'!$N$5)=1,1,0))</x:f>
        <x:v>0</x:v>
      </x:c>
    </x:row>
    <x:row r="431" ht="22" customHeight="1">
      <x:c r="A431" s="7"/>
      <x:c r="B431" s="6"/>
      <x:c r="C431" s="6"/>
      <x:c r="D431" s="6"/>
      <x:c r="E431" s="6"/>
      <x:c r="F431" s="17"/>
      <x:c r="G431" s="13"/>
      <x:c r="H431" s="14" t="str">
        <x:f>IF(B431="","",IF(OR(A431="",C431="",NOT(ISNUMBER(F431)),NOT(ISNUMBER(G431))),"Eksik efor",F431*G431))</x:f>
      </x:c>
      <x:c r="I431" s="2" t="n">
        <x:f>IF(OR(B431="",C431="",A431="",A431&gt;'Panel'!$N$5),0,IF(COUNTIFS($B$7:B431,B431,$C$7:C431,C431,$A$7:A431,"&lt;="&amp;'Panel'!$N$5)=1,1,0))</x:f>
        <x:v>0</x:v>
      </x:c>
      <x:c r="J431" s="2" t="n">
        <x:f>IF(OR(B431="",C431="",A431="",A431&gt;'Panel'!$N$5,A431&lt;'Panel'!$N$5-WEEKDAY('Panel'!$N$5,2)+1),0,IF(COUNTIFS($B$7:B431,B431,$C$7:C431,C431,$A$7:A431,"&gt;="&amp;('Panel'!$N$5-WEEKDAY('Panel'!$N$5,2)+1),$A$7:A431,"&lt;="&amp;'Panel'!$N$5)=1,1,0))</x:f>
        <x:v>0</x:v>
      </x:c>
    </x:row>
    <x:row r="432" ht="22" customHeight="1">
      <x:c r="A432" s="7"/>
      <x:c r="B432" s="6"/>
      <x:c r="C432" s="6"/>
      <x:c r="D432" s="6"/>
      <x:c r="E432" s="6"/>
      <x:c r="F432" s="17"/>
      <x:c r="G432" s="13"/>
      <x:c r="H432" s="14" t="str">
        <x:f>IF(B432="","",IF(OR(A432="",C432="",NOT(ISNUMBER(F432)),NOT(ISNUMBER(G432))),"Eksik efor",F432*G432))</x:f>
      </x:c>
      <x:c r="I432" s="2" t="n">
        <x:f>IF(OR(B432="",C432="",A432="",A432&gt;'Panel'!$N$5),0,IF(COUNTIFS($B$7:B432,B432,$C$7:C432,C432,$A$7:A432,"&lt;="&amp;'Panel'!$N$5)=1,1,0))</x:f>
        <x:v>0</x:v>
      </x:c>
      <x:c r="J432" s="2" t="n">
        <x:f>IF(OR(B432="",C432="",A432="",A432&gt;'Panel'!$N$5,A432&lt;'Panel'!$N$5-WEEKDAY('Panel'!$N$5,2)+1),0,IF(COUNTIFS($B$7:B432,B432,$C$7:C432,C432,$A$7:A432,"&gt;="&amp;('Panel'!$N$5-WEEKDAY('Panel'!$N$5,2)+1),$A$7:A432,"&lt;="&amp;'Panel'!$N$5)=1,1,0))</x:f>
        <x:v>0</x:v>
      </x:c>
    </x:row>
    <x:row r="433" ht="22" customHeight="1">
      <x:c r="A433" s="7"/>
      <x:c r="B433" s="6"/>
      <x:c r="C433" s="6"/>
      <x:c r="D433" s="6"/>
      <x:c r="E433" s="6"/>
      <x:c r="F433" s="17"/>
      <x:c r="G433" s="13"/>
      <x:c r="H433" s="14" t="str">
        <x:f>IF(B433="","",IF(OR(A433="",C433="",NOT(ISNUMBER(F433)),NOT(ISNUMBER(G433))),"Eksik efor",F433*G433))</x:f>
      </x:c>
      <x:c r="I433" s="2" t="n">
        <x:f>IF(OR(B433="",C433="",A433="",A433&gt;'Panel'!$N$5),0,IF(COUNTIFS($B$7:B433,B433,$C$7:C433,C433,$A$7:A433,"&lt;="&amp;'Panel'!$N$5)=1,1,0))</x:f>
        <x:v>0</x:v>
      </x:c>
      <x:c r="J433" s="2" t="n">
        <x:f>IF(OR(B433="",C433="",A433="",A433&gt;'Panel'!$N$5,A433&lt;'Panel'!$N$5-WEEKDAY('Panel'!$N$5,2)+1),0,IF(COUNTIFS($B$7:B433,B433,$C$7:C433,C433,$A$7:A433,"&gt;="&amp;('Panel'!$N$5-WEEKDAY('Panel'!$N$5,2)+1),$A$7:A433,"&lt;="&amp;'Panel'!$N$5)=1,1,0))</x:f>
        <x:v>0</x:v>
      </x:c>
    </x:row>
    <x:row r="434" ht="22" customHeight="1">
      <x:c r="A434" s="7"/>
      <x:c r="B434" s="6"/>
      <x:c r="C434" s="6"/>
      <x:c r="D434" s="6"/>
      <x:c r="E434" s="6"/>
      <x:c r="F434" s="17"/>
      <x:c r="G434" s="13"/>
      <x:c r="H434" s="14" t="str">
        <x:f>IF(B434="","",IF(OR(A434="",C434="",NOT(ISNUMBER(F434)),NOT(ISNUMBER(G434))),"Eksik efor",F434*G434))</x:f>
      </x:c>
      <x:c r="I434" s="2" t="n">
        <x:f>IF(OR(B434="",C434="",A434="",A434&gt;'Panel'!$N$5),0,IF(COUNTIFS($B$7:B434,B434,$C$7:C434,C434,$A$7:A434,"&lt;="&amp;'Panel'!$N$5)=1,1,0))</x:f>
        <x:v>0</x:v>
      </x:c>
      <x:c r="J434" s="2" t="n">
        <x:f>IF(OR(B434="",C434="",A434="",A434&gt;'Panel'!$N$5,A434&lt;'Panel'!$N$5-WEEKDAY('Panel'!$N$5,2)+1),0,IF(COUNTIFS($B$7:B434,B434,$C$7:C434,C434,$A$7:A434,"&gt;="&amp;('Panel'!$N$5-WEEKDAY('Panel'!$N$5,2)+1),$A$7:A434,"&lt;="&amp;'Panel'!$N$5)=1,1,0))</x:f>
        <x:v>0</x:v>
      </x:c>
    </x:row>
    <x:row r="435" ht="22" customHeight="1">
      <x:c r="A435" s="7"/>
      <x:c r="B435" s="6"/>
      <x:c r="C435" s="6"/>
      <x:c r="D435" s="6"/>
      <x:c r="E435" s="6"/>
      <x:c r="F435" s="17"/>
      <x:c r="G435" s="13"/>
      <x:c r="H435" s="14" t="str">
        <x:f>IF(B435="","",IF(OR(A435="",C435="",NOT(ISNUMBER(F435)),NOT(ISNUMBER(G435))),"Eksik efor",F435*G435))</x:f>
      </x:c>
      <x:c r="I435" s="2" t="n">
        <x:f>IF(OR(B435="",C435="",A435="",A435&gt;'Panel'!$N$5),0,IF(COUNTIFS($B$7:B435,B435,$C$7:C435,C435,$A$7:A435,"&lt;="&amp;'Panel'!$N$5)=1,1,0))</x:f>
        <x:v>0</x:v>
      </x:c>
      <x:c r="J435" s="2" t="n">
        <x:f>IF(OR(B435="",C435="",A435="",A435&gt;'Panel'!$N$5,A435&lt;'Panel'!$N$5-WEEKDAY('Panel'!$N$5,2)+1),0,IF(COUNTIFS($B$7:B435,B435,$C$7:C435,C435,$A$7:A435,"&gt;="&amp;('Panel'!$N$5-WEEKDAY('Panel'!$N$5,2)+1),$A$7:A435,"&lt;="&amp;'Panel'!$N$5)=1,1,0))</x:f>
        <x:v>0</x:v>
      </x:c>
    </x:row>
    <x:row r="436" ht="22" customHeight="1">
      <x:c r="A436" s="7"/>
      <x:c r="B436" s="6"/>
      <x:c r="C436" s="6"/>
      <x:c r="D436" s="6"/>
      <x:c r="E436" s="6"/>
      <x:c r="F436" s="17"/>
      <x:c r="G436" s="13"/>
      <x:c r="H436" s="14" t="str">
        <x:f>IF(B436="","",IF(OR(A436="",C436="",NOT(ISNUMBER(F436)),NOT(ISNUMBER(G436))),"Eksik efor",F436*G436))</x:f>
      </x:c>
      <x:c r="I436" s="2" t="n">
        <x:f>IF(OR(B436="",C436="",A436="",A436&gt;'Panel'!$N$5),0,IF(COUNTIFS($B$7:B436,B436,$C$7:C436,C436,$A$7:A436,"&lt;="&amp;'Panel'!$N$5)=1,1,0))</x:f>
        <x:v>0</x:v>
      </x:c>
      <x:c r="J436" s="2" t="n">
        <x:f>IF(OR(B436="",C436="",A436="",A436&gt;'Panel'!$N$5,A436&lt;'Panel'!$N$5-WEEKDAY('Panel'!$N$5,2)+1),0,IF(COUNTIFS($B$7:B436,B436,$C$7:C436,C436,$A$7:A436,"&gt;="&amp;('Panel'!$N$5-WEEKDAY('Panel'!$N$5,2)+1),$A$7:A436,"&lt;="&amp;'Panel'!$N$5)=1,1,0))</x:f>
        <x:v>0</x:v>
      </x:c>
    </x:row>
    <x:row r="437" ht="22" customHeight="1">
      <x:c r="A437" s="7"/>
      <x:c r="B437" s="6"/>
      <x:c r="C437" s="6"/>
      <x:c r="D437" s="6"/>
      <x:c r="E437" s="6"/>
      <x:c r="F437" s="17"/>
      <x:c r="G437" s="13"/>
      <x:c r="H437" s="14" t="str">
        <x:f>IF(B437="","",IF(OR(A437="",C437="",NOT(ISNUMBER(F437)),NOT(ISNUMBER(G437))),"Eksik efor",F437*G437))</x:f>
      </x:c>
      <x:c r="I437" s="2" t="n">
        <x:f>IF(OR(B437="",C437="",A437="",A437&gt;'Panel'!$N$5),0,IF(COUNTIFS($B$7:B437,B437,$C$7:C437,C437,$A$7:A437,"&lt;="&amp;'Panel'!$N$5)=1,1,0))</x:f>
        <x:v>0</x:v>
      </x:c>
      <x:c r="J437" s="2" t="n">
        <x:f>IF(OR(B437="",C437="",A437="",A437&gt;'Panel'!$N$5,A437&lt;'Panel'!$N$5-WEEKDAY('Panel'!$N$5,2)+1),0,IF(COUNTIFS($B$7:B437,B437,$C$7:C437,C437,$A$7:A437,"&gt;="&amp;('Panel'!$N$5-WEEKDAY('Panel'!$N$5,2)+1),$A$7:A437,"&lt;="&amp;'Panel'!$N$5)=1,1,0))</x:f>
        <x:v>0</x:v>
      </x:c>
    </x:row>
    <x:row r="438" ht="22" customHeight="1">
      <x:c r="A438" s="7"/>
      <x:c r="B438" s="6"/>
      <x:c r="C438" s="6"/>
      <x:c r="D438" s="6"/>
      <x:c r="E438" s="6"/>
      <x:c r="F438" s="17"/>
      <x:c r="G438" s="13"/>
      <x:c r="H438" s="14" t="str">
        <x:f>IF(B438="","",IF(OR(A438="",C438="",NOT(ISNUMBER(F438)),NOT(ISNUMBER(G438))),"Eksik efor",F438*G438))</x:f>
      </x:c>
      <x:c r="I438" s="2" t="n">
        <x:f>IF(OR(B438="",C438="",A438="",A438&gt;'Panel'!$N$5),0,IF(COUNTIFS($B$7:B438,B438,$C$7:C438,C438,$A$7:A438,"&lt;="&amp;'Panel'!$N$5)=1,1,0))</x:f>
        <x:v>0</x:v>
      </x:c>
      <x:c r="J438" s="2" t="n">
        <x:f>IF(OR(B438="",C438="",A438="",A438&gt;'Panel'!$N$5,A438&lt;'Panel'!$N$5-WEEKDAY('Panel'!$N$5,2)+1),0,IF(COUNTIFS($B$7:B438,B438,$C$7:C438,C438,$A$7:A438,"&gt;="&amp;('Panel'!$N$5-WEEKDAY('Panel'!$N$5,2)+1),$A$7:A438,"&lt;="&amp;'Panel'!$N$5)=1,1,0))</x:f>
        <x:v>0</x:v>
      </x:c>
    </x:row>
    <x:row r="439" ht="22" customHeight="1">
      <x:c r="A439" s="7"/>
      <x:c r="B439" s="6"/>
      <x:c r="C439" s="6"/>
      <x:c r="D439" s="6"/>
      <x:c r="E439" s="6"/>
      <x:c r="F439" s="17"/>
      <x:c r="G439" s="13"/>
      <x:c r="H439" s="14" t="str">
        <x:f>IF(B439="","",IF(OR(A439="",C439="",NOT(ISNUMBER(F439)),NOT(ISNUMBER(G439))),"Eksik efor",F439*G439))</x:f>
      </x:c>
      <x:c r="I439" s="2" t="n">
        <x:f>IF(OR(B439="",C439="",A439="",A439&gt;'Panel'!$N$5),0,IF(COUNTIFS($B$7:B439,B439,$C$7:C439,C439,$A$7:A439,"&lt;="&amp;'Panel'!$N$5)=1,1,0))</x:f>
        <x:v>0</x:v>
      </x:c>
      <x:c r="J439" s="2" t="n">
        <x:f>IF(OR(B439="",C439="",A439="",A439&gt;'Panel'!$N$5,A439&lt;'Panel'!$N$5-WEEKDAY('Panel'!$N$5,2)+1),0,IF(COUNTIFS($B$7:B439,B439,$C$7:C439,C439,$A$7:A439,"&gt;="&amp;('Panel'!$N$5-WEEKDAY('Panel'!$N$5,2)+1),$A$7:A439,"&lt;="&amp;'Panel'!$N$5)=1,1,0))</x:f>
        <x:v>0</x:v>
      </x:c>
    </x:row>
    <x:row r="440" ht="22" customHeight="1">
      <x:c r="A440" s="7"/>
      <x:c r="B440" s="6"/>
      <x:c r="C440" s="6"/>
      <x:c r="D440" s="6"/>
      <x:c r="E440" s="6"/>
      <x:c r="F440" s="17"/>
      <x:c r="G440" s="13"/>
      <x:c r="H440" s="14" t="str">
        <x:f>IF(B440="","",IF(OR(A440="",C440="",NOT(ISNUMBER(F440)),NOT(ISNUMBER(G440))),"Eksik efor",F440*G440))</x:f>
      </x:c>
      <x:c r="I440" s="2" t="n">
        <x:f>IF(OR(B440="",C440="",A440="",A440&gt;'Panel'!$N$5),0,IF(COUNTIFS($B$7:B440,B440,$C$7:C440,C440,$A$7:A440,"&lt;="&amp;'Panel'!$N$5)=1,1,0))</x:f>
        <x:v>0</x:v>
      </x:c>
      <x:c r="J440" s="2" t="n">
        <x:f>IF(OR(B440="",C440="",A440="",A440&gt;'Panel'!$N$5,A440&lt;'Panel'!$N$5-WEEKDAY('Panel'!$N$5,2)+1),0,IF(COUNTIFS($B$7:B440,B440,$C$7:C440,C440,$A$7:A440,"&gt;="&amp;('Panel'!$N$5-WEEKDAY('Panel'!$N$5,2)+1),$A$7:A440,"&lt;="&amp;'Panel'!$N$5)=1,1,0))</x:f>
        <x:v>0</x:v>
      </x:c>
    </x:row>
    <x:row r="441" ht="22" customHeight="1">
      <x:c r="A441" s="7"/>
      <x:c r="B441" s="6"/>
      <x:c r="C441" s="6"/>
      <x:c r="D441" s="6"/>
      <x:c r="E441" s="6"/>
      <x:c r="F441" s="17"/>
      <x:c r="G441" s="13"/>
      <x:c r="H441" s="14" t="str">
        <x:f>IF(B441="","",IF(OR(A441="",C441="",NOT(ISNUMBER(F441)),NOT(ISNUMBER(G441))),"Eksik efor",F441*G441))</x:f>
      </x:c>
      <x:c r="I441" s="2" t="n">
        <x:f>IF(OR(B441="",C441="",A441="",A441&gt;'Panel'!$N$5),0,IF(COUNTIFS($B$7:B441,B441,$C$7:C441,C441,$A$7:A441,"&lt;="&amp;'Panel'!$N$5)=1,1,0))</x:f>
        <x:v>0</x:v>
      </x:c>
      <x:c r="J441" s="2" t="n">
        <x:f>IF(OR(B441="",C441="",A441="",A441&gt;'Panel'!$N$5,A441&lt;'Panel'!$N$5-WEEKDAY('Panel'!$N$5,2)+1),0,IF(COUNTIFS($B$7:B441,B441,$C$7:C441,C441,$A$7:A441,"&gt;="&amp;('Panel'!$N$5-WEEKDAY('Panel'!$N$5,2)+1),$A$7:A441,"&lt;="&amp;'Panel'!$N$5)=1,1,0))</x:f>
        <x:v>0</x:v>
      </x:c>
    </x:row>
    <x:row r="442" ht="22" customHeight="1">
      <x:c r="A442" s="7"/>
      <x:c r="B442" s="6"/>
      <x:c r="C442" s="6"/>
      <x:c r="D442" s="6"/>
      <x:c r="E442" s="6"/>
      <x:c r="F442" s="17"/>
      <x:c r="G442" s="13"/>
      <x:c r="H442" s="14" t="str">
        <x:f>IF(B442="","",IF(OR(A442="",C442="",NOT(ISNUMBER(F442)),NOT(ISNUMBER(G442))),"Eksik efor",F442*G442))</x:f>
      </x:c>
      <x:c r="I442" s="2" t="n">
        <x:f>IF(OR(B442="",C442="",A442="",A442&gt;'Panel'!$N$5),0,IF(COUNTIFS($B$7:B442,B442,$C$7:C442,C442,$A$7:A442,"&lt;="&amp;'Panel'!$N$5)=1,1,0))</x:f>
        <x:v>0</x:v>
      </x:c>
      <x:c r="J442" s="2" t="n">
        <x:f>IF(OR(B442="",C442="",A442="",A442&gt;'Panel'!$N$5,A442&lt;'Panel'!$N$5-WEEKDAY('Panel'!$N$5,2)+1),0,IF(COUNTIFS($B$7:B442,B442,$C$7:C442,C442,$A$7:A442,"&gt;="&amp;('Panel'!$N$5-WEEKDAY('Panel'!$N$5,2)+1),$A$7:A442,"&lt;="&amp;'Panel'!$N$5)=1,1,0))</x:f>
        <x:v>0</x:v>
      </x:c>
    </x:row>
    <x:row r="443" ht="22" customHeight="1">
      <x:c r="A443" s="7"/>
      <x:c r="B443" s="6"/>
      <x:c r="C443" s="6"/>
      <x:c r="D443" s="6"/>
      <x:c r="E443" s="6"/>
      <x:c r="F443" s="17"/>
      <x:c r="G443" s="13"/>
      <x:c r="H443" s="14" t="str">
        <x:f>IF(B443="","",IF(OR(A443="",C443="",NOT(ISNUMBER(F443)),NOT(ISNUMBER(G443))),"Eksik efor",F443*G443))</x:f>
      </x:c>
      <x:c r="I443" s="2" t="n">
        <x:f>IF(OR(B443="",C443="",A443="",A443&gt;'Panel'!$N$5),0,IF(COUNTIFS($B$7:B443,B443,$C$7:C443,C443,$A$7:A443,"&lt;="&amp;'Panel'!$N$5)=1,1,0))</x:f>
        <x:v>0</x:v>
      </x:c>
      <x:c r="J443" s="2" t="n">
        <x:f>IF(OR(B443="",C443="",A443="",A443&gt;'Panel'!$N$5,A443&lt;'Panel'!$N$5-WEEKDAY('Panel'!$N$5,2)+1),0,IF(COUNTIFS($B$7:B443,B443,$C$7:C443,C443,$A$7:A443,"&gt;="&amp;('Panel'!$N$5-WEEKDAY('Panel'!$N$5,2)+1),$A$7:A443,"&lt;="&amp;'Panel'!$N$5)=1,1,0))</x:f>
        <x:v>0</x:v>
      </x:c>
    </x:row>
    <x:row r="444" ht="22" customHeight="1">
      <x:c r="A444" s="7"/>
      <x:c r="B444" s="6"/>
      <x:c r="C444" s="6"/>
      <x:c r="D444" s="6"/>
      <x:c r="E444" s="6"/>
      <x:c r="F444" s="17"/>
      <x:c r="G444" s="13"/>
      <x:c r="H444" s="14" t="str">
        <x:f>IF(B444="","",IF(OR(A444="",C444="",NOT(ISNUMBER(F444)),NOT(ISNUMBER(G444))),"Eksik efor",F444*G444))</x:f>
      </x:c>
      <x:c r="I444" s="2" t="n">
        <x:f>IF(OR(B444="",C444="",A444="",A444&gt;'Panel'!$N$5),0,IF(COUNTIFS($B$7:B444,B444,$C$7:C444,C444,$A$7:A444,"&lt;="&amp;'Panel'!$N$5)=1,1,0))</x:f>
        <x:v>0</x:v>
      </x:c>
      <x:c r="J444" s="2" t="n">
        <x:f>IF(OR(B444="",C444="",A444="",A444&gt;'Panel'!$N$5,A444&lt;'Panel'!$N$5-WEEKDAY('Panel'!$N$5,2)+1),0,IF(COUNTIFS($B$7:B444,B444,$C$7:C444,C444,$A$7:A444,"&gt;="&amp;('Panel'!$N$5-WEEKDAY('Panel'!$N$5,2)+1),$A$7:A444,"&lt;="&amp;'Panel'!$N$5)=1,1,0))</x:f>
        <x:v>0</x:v>
      </x:c>
    </x:row>
    <x:row r="445" ht="22" customHeight="1">
      <x:c r="A445" s="7"/>
      <x:c r="B445" s="6"/>
      <x:c r="C445" s="6"/>
      <x:c r="D445" s="6"/>
      <x:c r="E445" s="6"/>
      <x:c r="F445" s="17"/>
      <x:c r="G445" s="13"/>
      <x:c r="H445" s="14" t="str">
        <x:f>IF(B445="","",IF(OR(A445="",C445="",NOT(ISNUMBER(F445)),NOT(ISNUMBER(G445))),"Eksik efor",F445*G445))</x:f>
      </x:c>
      <x:c r="I445" s="2" t="n">
        <x:f>IF(OR(B445="",C445="",A445="",A445&gt;'Panel'!$N$5),0,IF(COUNTIFS($B$7:B445,B445,$C$7:C445,C445,$A$7:A445,"&lt;="&amp;'Panel'!$N$5)=1,1,0))</x:f>
        <x:v>0</x:v>
      </x:c>
      <x:c r="J445" s="2" t="n">
        <x:f>IF(OR(B445="",C445="",A445="",A445&gt;'Panel'!$N$5,A445&lt;'Panel'!$N$5-WEEKDAY('Panel'!$N$5,2)+1),0,IF(COUNTIFS($B$7:B445,B445,$C$7:C445,C445,$A$7:A445,"&gt;="&amp;('Panel'!$N$5-WEEKDAY('Panel'!$N$5,2)+1),$A$7:A445,"&lt;="&amp;'Panel'!$N$5)=1,1,0))</x:f>
        <x:v>0</x:v>
      </x:c>
    </x:row>
    <x:row r="446" ht="22" customHeight="1">
      <x:c r="A446" s="7"/>
      <x:c r="B446" s="6"/>
      <x:c r="C446" s="6"/>
      <x:c r="D446" s="6"/>
      <x:c r="E446" s="6"/>
      <x:c r="F446" s="17"/>
      <x:c r="G446" s="13"/>
      <x:c r="H446" s="14" t="str">
        <x:f>IF(B446="","",IF(OR(A446="",C446="",NOT(ISNUMBER(F446)),NOT(ISNUMBER(G446))),"Eksik efor",F446*G446))</x:f>
      </x:c>
      <x:c r="I446" s="2" t="n">
        <x:f>IF(OR(B446="",C446="",A446="",A446&gt;'Panel'!$N$5),0,IF(COUNTIFS($B$7:B446,B446,$C$7:C446,C446,$A$7:A446,"&lt;="&amp;'Panel'!$N$5)=1,1,0))</x:f>
        <x:v>0</x:v>
      </x:c>
      <x:c r="J446" s="2" t="n">
        <x:f>IF(OR(B446="",C446="",A446="",A446&gt;'Panel'!$N$5,A446&lt;'Panel'!$N$5-WEEKDAY('Panel'!$N$5,2)+1),0,IF(COUNTIFS($B$7:B446,B446,$C$7:C446,C446,$A$7:A446,"&gt;="&amp;('Panel'!$N$5-WEEKDAY('Panel'!$N$5,2)+1),$A$7:A446,"&lt;="&amp;'Panel'!$N$5)=1,1,0))</x:f>
        <x:v>0</x:v>
      </x:c>
    </x:row>
    <x:row r="447" ht="22" customHeight="1">
      <x:c r="A447" s="7"/>
      <x:c r="B447" s="6"/>
      <x:c r="C447" s="6"/>
      <x:c r="D447" s="6"/>
      <x:c r="E447" s="6"/>
      <x:c r="F447" s="17"/>
      <x:c r="G447" s="13"/>
      <x:c r="H447" s="14" t="str">
        <x:f>IF(B447="","",IF(OR(A447="",C447="",NOT(ISNUMBER(F447)),NOT(ISNUMBER(G447))),"Eksik efor",F447*G447))</x:f>
      </x:c>
      <x:c r="I447" s="2" t="n">
        <x:f>IF(OR(B447="",C447="",A447="",A447&gt;'Panel'!$N$5),0,IF(COUNTIFS($B$7:B447,B447,$C$7:C447,C447,$A$7:A447,"&lt;="&amp;'Panel'!$N$5)=1,1,0))</x:f>
        <x:v>0</x:v>
      </x:c>
      <x:c r="J447" s="2" t="n">
        <x:f>IF(OR(B447="",C447="",A447="",A447&gt;'Panel'!$N$5,A447&lt;'Panel'!$N$5-WEEKDAY('Panel'!$N$5,2)+1),0,IF(COUNTIFS($B$7:B447,B447,$C$7:C447,C447,$A$7:A447,"&gt;="&amp;('Panel'!$N$5-WEEKDAY('Panel'!$N$5,2)+1),$A$7:A447,"&lt;="&amp;'Panel'!$N$5)=1,1,0))</x:f>
        <x:v>0</x:v>
      </x:c>
    </x:row>
    <x:row r="448" ht="22" customHeight="1">
      <x:c r="A448" s="7"/>
      <x:c r="B448" s="6"/>
      <x:c r="C448" s="6"/>
      <x:c r="D448" s="6"/>
      <x:c r="E448" s="6"/>
      <x:c r="F448" s="17"/>
      <x:c r="G448" s="13"/>
      <x:c r="H448" s="14" t="str">
        <x:f>IF(B448="","",IF(OR(A448="",C448="",NOT(ISNUMBER(F448)),NOT(ISNUMBER(G448))),"Eksik efor",F448*G448))</x:f>
      </x:c>
      <x:c r="I448" s="2" t="n">
        <x:f>IF(OR(B448="",C448="",A448="",A448&gt;'Panel'!$N$5),0,IF(COUNTIFS($B$7:B448,B448,$C$7:C448,C448,$A$7:A448,"&lt;="&amp;'Panel'!$N$5)=1,1,0))</x:f>
        <x:v>0</x:v>
      </x:c>
      <x:c r="J448" s="2" t="n">
        <x:f>IF(OR(B448="",C448="",A448="",A448&gt;'Panel'!$N$5,A448&lt;'Panel'!$N$5-WEEKDAY('Panel'!$N$5,2)+1),0,IF(COUNTIFS($B$7:B448,B448,$C$7:C448,C448,$A$7:A448,"&gt;="&amp;('Panel'!$N$5-WEEKDAY('Panel'!$N$5,2)+1),$A$7:A448,"&lt;="&amp;'Panel'!$N$5)=1,1,0))</x:f>
        <x:v>0</x:v>
      </x:c>
    </x:row>
    <x:row r="449" ht="22" customHeight="1">
      <x:c r="A449" s="7"/>
      <x:c r="B449" s="6"/>
      <x:c r="C449" s="6"/>
      <x:c r="D449" s="6"/>
      <x:c r="E449" s="6"/>
      <x:c r="F449" s="17"/>
      <x:c r="G449" s="13"/>
      <x:c r="H449" s="14" t="str">
        <x:f>IF(B449="","",IF(OR(A449="",C449="",NOT(ISNUMBER(F449)),NOT(ISNUMBER(G449))),"Eksik efor",F449*G449))</x:f>
      </x:c>
      <x:c r="I449" s="2" t="n">
        <x:f>IF(OR(B449="",C449="",A449="",A449&gt;'Panel'!$N$5),0,IF(COUNTIFS($B$7:B449,B449,$C$7:C449,C449,$A$7:A449,"&lt;="&amp;'Panel'!$N$5)=1,1,0))</x:f>
        <x:v>0</x:v>
      </x:c>
      <x:c r="J449" s="2" t="n">
        <x:f>IF(OR(B449="",C449="",A449="",A449&gt;'Panel'!$N$5,A449&lt;'Panel'!$N$5-WEEKDAY('Panel'!$N$5,2)+1),0,IF(COUNTIFS($B$7:B449,B449,$C$7:C449,C449,$A$7:A449,"&gt;="&amp;('Panel'!$N$5-WEEKDAY('Panel'!$N$5,2)+1),$A$7:A449,"&lt;="&amp;'Panel'!$N$5)=1,1,0))</x:f>
        <x:v>0</x:v>
      </x:c>
    </x:row>
    <x:row r="450" ht="22" customHeight="1">
      <x:c r="A450" s="7"/>
      <x:c r="B450" s="6"/>
      <x:c r="C450" s="6"/>
      <x:c r="D450" s="6"/>
      <x:c r="E450" s="6"/>
      <x:c r="F450" s="17"/>
      <x:c r="G450" s="13"/>
      <x:c r="H450" s="14" t="str">
        <x:f>IF(B450="","",IF(OR(A450="",C450="",NOT(ISNUMBER(F450)),NOT(ISNUMBER(G450))),"Eksik efor",F450*G450))</x:f>
      </x:c>
      <x:c r="I450" s="2" t="n">
        <x:f>IF(OR(B450="",C450="",A450="",A450&gt;'Panel'!$N$5),0,IF(COUNTIFS($B$7:B450,B450,$C$7:C450,C450,$A$7:A450,"&lt;="&amp;'Panel'!$N$5)=1,1,0))</x:f>
        <x:v>0</x:v>
      </x:c>
      <x:c r="J450" s="2" t="n">
        <x:f>IF(OR(B450="",C450="",A450="",A450&gt;'Panel'!$N$5,A450&lt;'Panel'!$N$5-WEEKDAY('Panel'!$N$5,2)+1),0,IF(COUNTIFS($B$7:B450,B450,$C$7:C450,C450,$A$7:A450,"&gt;="&amp;('Panel'!$N$5-WEEKDAY('Panel'!$N$5,2)+1),$A$7:A450,"&lt;="&amp;'Panel'!$N$5)=1,1,0))</x:f>
        <x:v>0</x:v>
      </x:c>
    </x:row>
    <x:row r="451" ht="22" customHeight="1">
      <x:c r="A451" s="7"/>
      <x:c r="B451" s="6"/>
      <x:c r="C451" s="6"/>
      <x:c r="D451" s="6"/>
      <x:c r="E451" s="6"/>
      <x:c r="F451" s="17"/>
      <x:c r="G451" s="13"/>
      <x:c r="H451" s="14" t="str">
        <x:f>IF(B451="","",IF(OR(A451="",C451="",NOT(ISNUMBER(F451)),NOT(ISNUMBER(G451))),"Eksik efor",F451*G451))</x:f>
      </x:c>
      <x:c r="I451" s="2" t="n">
        <x:f>IF(OR(B451="",C451="",A451="",A451&gt;'Panel'!$N$5),0,IF(COUNTIFS($B$7:B451,B451,$C$7:C451,C451,$A$7:A451,"&lt;="&amp;'Panel'!$N$5)=1,1,0))</x:f>
        <x:v>0</x:v>
      </x:c>
      <x:c r="J451" s="2" t="n">
        <x:f>IF(OR(B451="",C451="",A451="",A451&gt;'Panel'!$N$5,A451&lt;'Panel'!$N$5-WEEKDAY('Panel'!$N$5,2)+1),0,IF(COUNTIFS($B$7:B451,B451,$C$7:C451,C451,$A$7:A451,"&gt;="&amp;('Panel'!$N$5-WEEKDAY('Panel'!$N$5,2)+1),$A$7:A451,"&lt;="&amp;'Panel'!$N$5)=1,1,0))</x:f>
        <x:v>0</x:v>
      </x:c>
    </x:row>
    <x:row r="452" ht="22" customHeight="1">
      <x:c r="A452" s="7"/>
      <x:c r="B452" s="6"/>
      <x:c r="C452" s="6"/>
      <x:c r="D452" s="6"/>
      <x:c r="E452" s="6"/>
      <x:c r="F452" s="17"/>
      <x:c r="G452" s="13"/>
      <x:c r="H452" s="14" t="str">
        <x:f>IF(B452="","",IF(OR(A452="",C452="",NOT(ISNUMBER(F452)),NOT(ISNUMBER(G452))),"Eksik efor",F452*G452))</x:f>
      </x:c>
      <x:c r="I452" s="2" t="n">
        <x:f>IF(OR(B452="",C452="",A452="",A452&gt;'Panel'!$N$5),0,IF(COUNTIFS($B$7:B452,B452,$C$7:C452,C452,$A$7:A452,"&lt;="&amp;'Panel'!$N$5)=1,1,0))</x:f>
        <x:v>0</x:v>
      </x:c>
      <x:c r="J452" s="2" t="n">
        <x:f>IF(OR(B452="",C452="",A452="",A452&gt;'Panel'!$N$5,A452&lt;'Panel'!$N$5-WEEKDAY('Panel'!$N$5,2)+1),0,IF(COUNTIFS($B$7:B452,B452,$C$7:C452,C452,$A$7:A452,"&gt;="&amp;('Panel'!$N$5-WEEKDAY('Panel'!$N$5,2)+1),$A$7:A452,"&lt;="&amp;'Panel'!$N$5)=1,1,0))</x:f>
        <x:v>0</x:v>
      </x:c>
    </x:row>
    <x:row r="453" ht="22" customHeight="1">
      <x:c r="A453" s="7"/>
      <x:c r="B453" s="6"/>
      <x:c r="C453" s="6"/>
      <x:c r="D453" s="6"/>
      <x:c r="E453" s="6"/>
      <x:c r="F453" s="17"/>
      <x:c r="G453" s="13"/>
      <x:c r="H453" s="14" t="str">
        <x:f>IF(B453="","",IF(OR(A453="",C453="",NOT(ISNUMBER(F453)),NOT(ISNUMBER(G453))),"Eksik efor",F453*G453))</x:f>
      </x:c>
      <x:c r="I453" s="2" t="n">
        <x:f>IF(OR(B453="",C453="",A453="",A453&gt;'Panel'!$N$5),0,IF(COUNTIFS($B$7:B453,B453,$C$7:C453,C453,$A$7:A453,"&lt;="&amp;'Panel'!$N$5)=1,1,0))</x:f>
        <x:v>0</x:v>
      </x:c>
      <x:c r="J453" s="2" t="n">
        <x:f>IF(OR(B453="",C453="",A453="",A453&gt;'Panel'!$N$5,A453&lt;'Panel'!$N$5-WEEKDAY('Panel'!$N$5,2)+1),0,IF(COUNTIFS($B$7:B453,B453,$C$7:C453,C453,$A$7:A453,"&gt;="&amp;('Panel'!$N$5-WEEKDAY('Panel'!$N$5,2)+1),$A$7:A453,"&lt;="&amp;'Panel'!$N$5)=1,1,0))</x:f>
        <x:v>0</x:v>
      </x:c>
    </x:row>
    <x:row r="454" ht="22" customHeight="1">
      <x:c r="A454" s="7"/>
      <x:c r="B454" s="6"/>
      <x:c r="C454" s="6"/>
      <x:c r="D454" s="6"/>
      <x:c r="E454" s="6"/>
      <x:c r="F454" s="17"/>
      <x:c r="G454" s="13"/>
      <x:c r="H454" s="14" t="str">
        <x:f>IF(B454="","",IF(OR(A454="",C454="",NOT(ISNUMBER(F454)),NOT(ISNUMBER(G454))),"Eksik efor",F454*G454))</x:f>
      </x:c>
      <x:c r="I454" s="2" t="n">
        <x:f>IF(OR(B454="",C454="",A454="",A454&gt;'Panel'!$N$5),0,IF(COUNTIFS($B$7:B454,B454,$C$7:C454,C454,$A$7:A454,"&lt;="&amp;'Panel'!$N$5)=1,1,0))</x:f>
        <x:v>0</x:v>
      </x:c>
      <x:c r="J454" s="2" t="n">
        <x:f>IF(OR(B454="",C454="",A454="",A454&gt;'Panel'!$N$5,A454&lt;'Panel'!$N$5-WEEKDAY('Panel'!$N$5,2)+1),0,IF(COUNTIFS($B$7:B454,B454,$C$7:C454,C454,$A$7:A454,"&gt;="&amp;('Panel'!$N$5-WEEKDAY('Panel'!$N$5,2)+1),$A$7:A454,"&lt;="&amp;'Panel'!$N$5)=1,1,0))</x:f>
        <x:v>0</x:v>
      </x:c>
    </x:row>
    <x:row r="455" ht="22" customHeight="1">
      <x:c r="A455" s="7"/>
      <x:c r="B455" s="6"/>
      <x:c r="C455" s="6"/>
      <x:c r="D455" s="6"/>
      <x:c r="E455" s="6"/>
      <x:c r="F455" s="17"/>
      <x:c r="G455" s="13"/>
      <x:c r="H455" s="14" t="str">
        <x:f>IF(B455="","",IF(OR(A455="",C455="",NOT(ISNUMBER(F455)),NOT(ISNUMBER(G455))),"Eksik efor",F455*G455))</x:f>
      </x:c>
      <x:c r="I455" s="2" t="n">
        <x:f>IF(OR(B455="",C455="",A455="",A455&gt;'Panel'!$N$5),0,IF(COUNTIFS($B$7:B455,B455,$C$7:C455,C455,$A$7:A455,"&lt;="&amp;'Panel'!$N$5)=1,1,0))</x:f>
        <x:v>0</x:v>
      </x:c>
      <x:c r="J455" s="2" t="n">
        <x:f>IF(OR(B455="",C455="",A455="",A455&gt;'Panel'!$N$5,A455&lt;'Panel'!$N$5-WEEKDAY('Panel'!$N$5,2)+1),0,IF(COUNTIFS($B$7:B455,B455,$C$7:C455,C455,$A$7:A455,"&gt;="&amp;('Panel'!$N$5-WEEKDAY('Panel'!$N$5,2)+1),$A$7:A455,"&lt;="&amp;'Panel'!$N$5)=1,1,0))</x:f>
        <x:v>0</x:v>
      </x:c>
    </x:row>
    <x:row r="456" ht="22" customHeight="1">
      <x:c r="A456" s="7"/>
      <x:c r="B456" s="6"/>
      <x:c r="C456" s="6"/>
      <x:c r="D456" s="6"/>
      <x:c r="E456" s="6"/>
      <x:c r="F456" s="17"/>
      <x:c r="G456" s="13"/>
      <x:c r="H456" s="14" t="str">
        <x:f>IF(B456="","",IF(OR(A456="",C456="",NOT(ISNUMBER(F456)),NOT(ISNUMBER(G456))),"Eksik efor",F456*G456))</x:f>
      </x:c>
      <x:c r="I456" s="2" t="n">
        <x:f>IF(OR(B456="",C456="",A456="",A456&gt;'Panel'!$N$5),0,IF(COUNTIFS($B$7:B456,B456,$C$7:C456,C456,$A$7:A456,"&lt;="&amp;'Panel'!$N$5)=1,1,0))</x:f>
        <x:v>0</x:v>
      </x:c>
      <x:c r="J456" s="2" t="n">
        <x:f>IF(OR(B456="",C456="",A456="",A456&gt;'Panel'!$N$5,A456&lt;'Panel'!$N$5-WEEKDAY('Panel'!$N$5,2)+1),0,IF(COUNTIFS($B$7:B456,B456,$C$7:C456,C456,$A$7:A456,"&gt;="&amp;('Panel'!$N$5-WEEKDAY('Panel'!$N$5,2)+1),$A$7:A456,"&lt;="&amp;'Panel'!$N$5)=1,1,0))</x:f>
        <x:v>0</x:v>
      </x:c>
    </x:row>
    <x:row r="457" ht="22" customHeight="1">
      <x:c r="A457" s="7"/>
      <x:c r="B457" s="6"/>
      <x:c r="C457" s="6"/>
      <x:c r="D457" s="6"/>
      <x:c r="E457" s="6"/>
      <x:c r="F457" s="17"/>
      <x:c r="G457" s="13"/>
      <x:c r="H457" s="14" t="str">
        <x:f>IF(B457="","",IF(OR(A457="",C457="",NOT(ISNUMBER(F457)),NOT(ISNUMBER(G457))),"Eksik efor",F457*G457))</x:f>
      </x:c>
      <x:c r="I457" s="2" t="n">
        <x:f>IF(OR(B457="",C457="",A457="",A457&gt;'Panel'!$N$5),0,IF(COUNTIFS($B$7:B457,B457,$C$7:C457,C457,$A$7:A457,"&lt;="&amp;'Panel'!$N$5)=1,1,0))</x:f>
        <x:v>0</x:v>
      </x:c>
      <x:c r="J457" s="2" t="n">
        <x:f>IF(OR(B457="",C457="",A457="",A457&gt;'Panel'!$N$5,A457&lt;'Panel'!$N$5-WEEKDAY('Panel'!$N$5,2)+1),0,IF(COUNTIFS($B$7:B457,B457,$C$7:C457,C457,$A$7:A457,"&gt;="&amp;('Panel'!$N$5-WEEKDAY('Panel'!$N$5,2)+1),$A$7:A457,"&lt;="&amp;'Panel'!$N$5)=1,1,0))</x:f>
        <x:v>0</x:v>
      </x:c>
    </x:row>
    <x:row r="458" ht="22" customHeight="1">
      <x:c r="A458" s="7"/>
      <x:c r="B458" s="6"/>
      <x:c r="C458" s="6"/>
      <x:c r="D458" s="6"/>
      <x:c r="E458" s="6"/>
      <x:c r="F458" s="17"/>
      <x:c r="G458" s="13"/>
      <x:c r="H458" s="14" t="str">
        <x:f>IF(B458="","",IF(OR(A458="",C458="",NOT(ISNUMBER(F458)),NOT(ISNUMBER(G458))),"Eksik efor",F458*G458))</x:f>
      </x:c>
      <x:c r="I458" s="2" t="n">
        <x:f>IF(OR(B458="",C458="",A458="",A458&gt;'Panel'!$N$5),0,IF(COUNTIFS($B$7:B458,B458,$C$7:C458,C458,$A$7:A458,"&lt;="&amp;'Panel'!$N$5)=1,1,0))</x:f>
        <x:v>0</x:v>
      </x:c>
      <x:c r="J458" s="2" t="n">
        <x:f>IF(OR(B458="",C458="",A458="",A458&gt;'Panel'!$N$5,A458&lt;'Panel'!$N$5-WEEKDAY('Panel'!$N$5,2)+1),0,IF(COUNTIFS($B$7:B458,B458,$C$7:C458,C458,$A$7:A458,"&gt;="&amp;('Panel'!$N$5-WEEKDAY('Panel'!$N$5,2)+1),$A$7:A458,"&lt;="&amp;'Panel'!$N$5)=1,1,0))</x:f>
        <x:v>0</x:v>
      </x:c>
    </x:row>
    <x:row r="459" ht="22" customHeight="1">
      <x:c r="A459" s="7"/>
      <x:c r="B459" s="6"/>
      <x:c r="C459" s="6"/>
      <x:c r="D459" s="6"/>
      <x:c r="E459" s="6"/>
      <x:c r="F459" s="17"/>
      <x:c r="G459" s="13"/>
      <x:c r="H459" s="14" t="str">
        <x:f>IF(B459="","",IF(OR(A459="",C459="",NOT(ISNUMBER(F459)),NOT(ISNUMBER(G459))),"Eksik efor",F459*G459))</x:f>
      </x:c>
      <x:c r="I459" s="2" t="n">
        <x:f>IF(OR(B459="",C459="",A459="",A459&gt;'Panel'!$N$5),0,IF(COUNTIFS($B$7:B459,B459,$C$7:C459,C459,$A$7:A459,"&lt;="&amp;'Panel'!$N$5)=1,1,0))</x:f>
        <x:v>0</x:v>
      </x:c>
      <x:c r="J459" s="2" t="n">
        <x:f>IF(OR(B459="",C459="",A459="",A459&gt;'Panel'!$N$5,A459&lt;'Panel'!$N$5-WEEKDAY('Panel'!$N$5,2)+1),0,IF(COUNTIFS($B$7:B459,B459,$C$7:C459,C459,$A$7:A459,"&gt;="&amp;('Panel'!$N$5-WEEKDAY('Panel'!$N$5,2)+1),$A$7:A459,"&lt;="&amp;'Panel'!$N$5)=1,1,0))</x:f>
        <x:v>0</x:v>
      </x:c>
    </x:row>
    <x:row r="460" ht="22" customHeight="1">
      <x:c r="A460" s="7"/>
      <x:c r="B460" s="6"/>
      <x:c r="C460" s="6"/>
      <x:c r="D460" s="6"/>
      <x:c r="E460" s="6"/>
      <x:c r="F460" s="17"/>
      <x:c r="G460" s="13"/>
      <x:c r="H460" s="14" t="str">
        <x:f>IF(B460="","",IF(OR(A460="",C460="",NOT(ISNUMBER(F460)),NOT(ISNUMBER(G460))),"Eksik efor",F460*G460))</x:f>
      </x:c>
      <x:c r="I460" s="2" t="n">
        <x:f>IF(OR(B460="",C460="",A460="",A460&gt;'Panel'!$N$5),0,IF(COUNTIFS($B$7:B460,B460,$C$7:C460,C460,$A$7:A460,"&lt;="&amp;'Panel'!$N$5)=1,1,0))</x:f>
        <x:v>0</x:v>
      </x:c>
      <x:c r="J460" s="2" t="n">
        <x:f>IF(OR(B460="",C460="",A460="",A460&gt;'Panel'!$N$5,A460&lt;'Panel'!$N$5-WEEKDAY('Panel'!$N$5,2)+1),0,IF(COUNTIFS($B$7:B460,B460,$C$7:C460,C460,$A$7:A460,"&gt;="&amp;('Panel'!$N$5-WEEKDAY('Panel'!$N$5,2)+1),$A$7:A460,"&lt;="&amp;'Panel'!$N$5)=1,1,0))</x:f>
        <x:v>0</x:v>
      </x:c>
    </x:row>
    <x:row r="461" ht="22" customHeight="1">
      <x:c r="A461" s="7"/>
      <x:c r="B461" s="6"/>
      <x:c r="C461" s="6"/>
      <x:c r="D461" s="6"/>
      <x:c r="E461" s="6"/>
      <x:c r="F461" s="17"/>
      <x:c r="G461" s="13"/>
      <x:c r="H461" s="14" t="str">
        <x:f>IF(B461="","",IF(OR(A461="",C461="",NOT(ISNUMBER(F461)),NOT(ISNUMBER(G461))),"Eksik efor",F461*G461))</x:f>
      </x:c>
      <x:c r="I461" s="2" t="n">
        <x:f>IF(OR(B461="",C461="",A461="",A461&gt;'Panel'!$N$5),0,IF(COUNTIFS($B$7:B461,B461,$C$7:C461,C461,$A$7:A461,"&lt;="&amp;'Panel'!$N$5)=1,1,0))</x:f>
        <x:v>0</x:v>
      </x:c>
      <x:c r="J461" s="2" t="n">
        <x:f>IF(OR(B461="",C461="",A461="",A461&gt;'Panel'!$N$5,A461&lt;'Panel'!$N$5-WEEKDAY('Panel'!$N$5,2)+1),0,IF(COUNTIFS($B$7:B461,B461,$C$7:C461,C461,$A$7:A461,"&gt;="&amp;('Panel'!$N$5-WEEKDAY('Panel'!$N$5,2)+1),$A$7:A461,"&lt;="&amp;'Panel'!$N$5)=1,1,0))</x:f>
        <x:v>0</x:v>
      </x:c>
    </x:row>
    <x:row r="462" ht="22" customHeight="1">
      <x:c r="A462" s="7"/>
      <x:c r="B462" s="6"/>
      <x:c r="C462" s="6"/>
      <x:c r="D462" s="6"/>
      <x:c r="E462" s="6"/>
      <x:c r="F462" s="17"/>
      <x:c r="G462" s="13"/>
      <x:c r="H462" s="14" t="str">
        <x:f>IF(B462="","",IF(OR(A462="",C462="",NOT(ISNUMBER(F462)),NOT(ISNUMBER(G462))),"Eksik efor",F462*G462))</x:f>
      </x:c>
      <x:c r="I462" s="2" t="n">
        <x:f>IF(OR(B462="",C462="",A462="",A462&gt;'Panel'!$N$5),0,IF(COUNTIFS($B$7:B462,B462,$C$7:C462,C462,$A$7:A462,"&lt;="&amp;'Panel'!$N$5)=1,1,0))</x:f>
        <x:v>0</x:v>
      </x:c>
      <x:c r="J462" s="2" t="n">
        <x:f>IF(OR(B462="",C462="",A462="",A462&gt;'Panel'!$N$5,A462&lt;'Panel'!$N$5-WEEKDAY('Panel'!$N$5,2)+1),0,IF(COUNTIFS($B$7:B462,B462,$C$7:C462,C462,$A$7:A462,"&gt;="&amp;('Panel'!$N$5-WEEKDAY('Panel'!$N$5,2)+1),$A$7:A462,"&lt;="&amp;'Panel'!$N$5)=1,1,0))</x:f>
        <x:v>0</x:v>
      </x:c>
    </x:row>
    <x:row r="463" ht="22" customHeight="1">
      <x:c r="A463" s="7"/>
      <x:c r="B463" s="6"/>
      <x:c r="C463" s="6"/>
      <x:c r="D463" s="6"/>
      <x:c r="E463" s="6"/>
      <x:c r="F463" s="17"/>
      <x:c r="G463" s="13"/>
      <x:c r="H463" s="14" t="str">
        <x:f>IF(B463="","",IF(OR(A463="",C463="",NOT(ISNUMBER(F463)),NOT(ISNUMBER(G463))),"Eksik efor",F463*G463))</x:f>
      </x:c>
      <x:c r="I463" s="2" t="n">
        <x:f>IF(OR(B463="",C463="",A463="",A463&gt;'Panel'!$N$5),0,IF(COUNTIFS($B$7:B463,B463,$C$7:C463,C463,$A$7:A463,"&lt;="&amp;'Panel'!$N$5)=1,1,0))</x:f>
        <x:v>0</x:v>
      </x:c>
      <x:c r="J463" s="2" t="n">
        <x:f>IF(OR(B463="",C463="",A463="",A463&gt;'Panel'!$N$5,A463&lt;'Panel'!$N$5-WEEKDAY('Panel'!$N$5,2)+1),0,IF(COUNTIFS($B$7:B463,B463,$C$7:C463,C463,$A$7:A463,"&gt;="&amp;('Panel'!$N$5-WEEKDAY('Panel'!$N$5,2)+1),$A$7:A463,"&lt;="&amp;'Panel'!$N$5)=1,1,0))</x:f>
        <x:v>0</x:v>
      </x:c>
    </x:row>
    <x:row r="464" ht="22" customHeight="1">
      <x:c r="A464" s="7"/>
      <x:c r="B464" s="6"/>
      <x:c r="C464" s="6"/>
      <x:c r="D464" s="6"/>
      <x:c r="E464" s="6"/>
      <x:c r="F464" s="17"/>
      <x:c r="G464" s="13"/>
      <x:c r="H464" s="14" t="str">
        <x:f>IF(B464="","",IF(OR(A464="",C464="",NOT(ISNUMBER(F464)),NOT(ISNUMBER(G464))),"Eksik efor",F464*G464))</x:f>
      </x:c>
      <x:c r="I464" s="2" t="n">
        <x:f>IF(OR(B464="",C464="",A464="",A464&gt;'Panel'!$N$5),0,IF(COUNTIFS($B$7:B464,B464,$C$7:C464,C464,$A$7:A464,"&lt;="&amp;'Panel'!$N$5)=1,1,0))</x:f>
        <x:v>0</x:v>
      </x:c>
      <x:c r="J464" s="2" t="n">
        <x:f>IF(OR(B464="",C464="",A464="",A464&gt;'Panel'!$N$5,A464&lt;'Panel'!$N$5-WEEKDAY('Panel'!$N$5,2)+1),0,IF(COUNTIFS($B$7:B464,B464,$C$7:C464,C464,$A$7:A464,"&gt;="&amp;('Panel'!$N$5-WEEKDAY('Panel'!$N$5,2)+1),$A$7:A464,"&lt;="&amp;'Panel'!$N$5)=1,1,0))</x:f>
        <x:v>0</x:v>
      </x:c>
    </x:row>
    <x:row r="465" ht="22" customHeight="1">
      <x:c r="A465" s="7"/>
      <x:c r="B465" s="6"/>
      <x:c r="C465" s="6"/>
      <x:c r="D465" s="6"/>
      <x:c r="E465" s="6"/>
      <x:c r="F465" s="17"/>
      <x:c r="G465" s="13"/>
      <x:c r="H465" s="14" t="str">
        <x:f>IF(B465="","",IF(OR(A465="",C465="",NOT(ISNUMBER(F465)),NOT(ISNUMBER(G465))),"Eksik efor",F465*G465))</x:f>
      </x:c>
      <x:c r="I465" s="2" t="n">
        <x:f>IF(OR(B465="",C465="",A465="",A465&gt;'Panel'!$N$5),0,IF(COUNTIFS($B$7:B465,B465,$C$7:C465,C465,$A$7:A465,"&lt;="&amp;'Panel'!$N$5)=1,1,0))</x:f>
        <x:v>0</x:v>
      </x:c>
      <x:c r="J465" s="2" t="n">
        <x:f>IF(OR(B465="",C465="",A465="",A465&gt;'Panel'!$N$5,A465&lt;'Panel'!$N$5-WEEKDAY('Panel'!$N$5,2)+1),0,IF(COUNTIFS($B$7:B465,B465,$C$7:C465,C465,$A$7:A465,"&gt;="&amp;('Panel'!$N$5-WEEKDAY('Panel'!$N$5,2)+1),$A$7:A465,"&lt;="&amp;'Panel'!$N$5)=1,1,0))</x:f>
        <x:v>0</x:v>
      </x:c>
    </x:row>
    <x:row r="466" ht="22" customHeight="1">
      <x:c r="A466" s="7"/>
      <x:c r="B466" s="6"/>
      <x:c r="C466" s="6"/>
      <x:c r="D466" s="6"/>
      <x:c r="E466" s="6"/>
      <x:c r="F466" s="17"/>
      <x:c r="G466" s="13"/>
      <x:c r="H466" s="14" t="str">
        <x:f>IF(B466="","",IF(OR(A466="",C466="",NOT(ISNUMBER(F466)),NOT(ISNUMBER(G466))),"Eksik efor",F466*G466))</x:f>
      </x:c>
      <x:c r="I466" s="2" t="n">
        <x:f>IF(OR(B466="",C466="",A466="",A466&gt;'Panel'!$N$5),0,IF(COUNTIFS($B$7:B466,B466,$C$7:C466,C466,$A$7:A466,"&lt;="&amp;'Panel'!$N$5)=1,1,0))</x:f>
        <x:v>0</x:v>
      </x:c>
      <x:c r="J466" s="2" t="n">
        <x:f>IF(OR(B466="",C466="",A466="",A466&gt;'Panel'!$N$5,A466&lt;'Panel'!$N$5-WEEKDAY('Panel'!$N$5,2)+1),0,IF(COUNTIFS($B$7:B466,B466,$C$7:C466,C466,$A$7:A466,"&gt;="&amp;('Panel'!$N$5-WEEKDAY('Panel'!$N$5,2)+1),$A$7:A466,"&lt;="&amp;'Panel'!$N$5)=1,1,0))</x:f>
        <x:v>0</x:v>
      </x:c>
    </x:row>
    <x:row r="467" ht="22" customHeight="1">
      <x:c r="A467" s="7"/>
      <x:c r="B467" s="6"/>
      <x:c r="C467" s="6"/>
      <x:c r="D467" s="6"/>
      <x:c r="E467" s="6"/>
      <x:c r="F467" s="17"/>
      <x:c r="G467" s="13"/>
      <x:c r="H467" s="14" t="str">
        <x:f>IF(B467="","",IF(OR(A467="",C467="",NOT(ISNUMBER(F467)),NOT(ISNUMBER(G467))),"Eksik efor",F467*G467))</x:f>
      </x:c>
      <x:c r="I467" s="2" t="n">
        <x:f>IF(OR(B467="",C467="",A467="",A467&gt;'Panel'!$N$5),0,IF(COUNTIFS($B$7:B467,B467,$C$7:C467,C467,$A$7:A467,"&lt;="&amp;'Panel'!$N$5)=1,1,0))</x:f>
        <x:v>0</x:v>
      </x:c>
      <x:c r="J467" s="2" t="n">
        <x:f>IF(OR(B467="",C467="",A467="",A467&gt;'Panel'!$N$5,A467&lt;'Panel'!$N$5-WEEKDAY('Panel'!$N$5,2)+1),0,IF(COUNTIFS($B$7:B467,B467,$C$7:C467,C467,$A$7:A467,"&gt;="&amp;('Panel'!$N$5-WEEKDAY('Panel'!$N$5,2)+1),$A$7:A467,"&lt;="&amp;'Panel'!$N$5)=1,1,0))</x:f>
        <x:v>0</x:v>
      </x:c>
    </x:row>
    <x:row r="468" ht="22" customHeight="1">
      <x:c r="A468" s="7"/>
      <x:c r="B468" s="6"/>
      <x:c r="C468" s="6"/>
      <x:c r="D468" s="6"/>
      <x:c r="E468" s="6"/>
      <x:c r="F468" s="17"/>
      <x:c r="G468" s="13"/>
      <x:c r="H468" s="14" t="str">
        <x:f>IF(B468="","",IF(OR(A468="",C468="",NOT(ISNUMBER(F468)),NOT(ISNUMBER(G468))),"Eksik efor",F468*G468))</x:f>
      </x:c>
      <x:c r="I468" s="2" t="n">
        <x:f>IF(OR(B468="",C468="",A468="",A468&gt;'Panel'!$N$5),0,IF(COUNTIFS($B$7:B468,B468,$C$7:C468,C468,$A$7:A468,"&lt;="&amp;'Panel'!$N$5)=1,1,0))</x:f>
        <x:v>0</x:v>
      </x:c>
      <x:c r="J468" s="2" t="n">
        <x:f>IF(OR(B468="",C468="",A468="",A468&gt;'Panel'!$N$5,A468&lt;'Panel'!$N$5-WEEKDAY('Panel'!$N$5,2)+1),0,IF(COUNTIFS($B$7:B468,B468,$C$7:C468,C468,$A$7:A468,"&gt;="&amp;('Panel'!$N$5-WEEKDAY('Panel'!$N$5,2)+1),$A$7:A468,"&lt;="&amp;'Panel'!$N$5)=1,1,0))</x:f>
        <x:v>0</x:v>
      </x:c>
    </x:row>
    <x:row r="469" ht="22" customHeight="1">
      <x:c r="A469" s="7"/>
      <x:c r="B469" s="6"/>
      <x:c r="C469" s="6"/>
      <x:c r="D469" s="6"/>
      <x:c r="E469" s="6"/>
      <x:c r="F469" s="17"/>
      <x:c r="G469" s="13"/>
      <x:c r="H469" s="14" t="str">
        <x:f>IF(B469="","",IF(OR(A469="",C469="",NOT(ISNUMBER(F469)),NOT(ISNUMBER(G469))),"Eksik efor",F469*G469))</x:f>
      </x:c>
      <x:c r="I469" s="2" t="n">
        <x:f>IF(OR(B469="",C469="",A469="",A469&gt;'Panel'!$N$5),0,IF(COUNTIFS($B$7:B469,B469,$C$7:C469,C469,$A$7:A469,"&lt;="&amp;'Panel'!$N$5)=1,1,0))</x:f>
        <x:v>0</x:v>
      </x:c>
      <x:c r="J469" s="2" t="n">
        <x:f>IF(OR(B469="",C469="",A469="",A469&gt;'Panel'!$N$5,A469&lt;'Panel'!$N$5-WEEKDAY('Panel'!$N$5,2)+1),0,IF(COUNTIFS($B$7:B469,B469,$C$7:C469,C469,$A$7:A469,"&gt;="&amp;('Panel'!$N$5-WEEKDAY('Panel'!$N$5,2)+1),$A$7:A469,"&lt;="&amp;'Panel'!$N$5)=1,1,0))</x:f>
        <x:v>0</x:v>
      </x:c>
    </x:row>
    <x:row r="470" ht="22" customHeight="1">
      <x:c r="A470" s="7"/>
      <x:c r="B470" s="6"/>
      <x:c r="C470" s="6"/>
      <x:c r="D470" s="6"/>
      <x:c r="E470" s="6"/>
      <x:c r="F470" s="17"/>
      <x:c r="G470" s="13"/>
      <x:c r="H470" s="14" t="str">
        <x:f>IF(B470="","",IF(OR(A470="",C470="",NOT(ISNUMBER(F470)),NOT(ISNUMBER(G470))),"Eksik efor",F470*G470))</x:f>
      </x:c>
      <x:c r="I470" s="2" t="n">
        <x:f>IF(OR(B470="",C470="",A470="",A470&gt;'Panel'!$N$5),0,IF(COUNTIFS($B$7:B470,B470,$C$7:C470,C470,$A$7:A470,"&lt;="&amp;'Panel'!$N$5)=1,1,0))</x:f>
        <x:v>0</x:v>
      </x:c>
      <x:c r="J470" s="2" t="n">
        <x:f>IF(OR(B470="",C470="",A470="",A470&gt;'Panel'!$N$5,A470&lt;'Panel'!$N$5-WEEKDAY('Panel'!$N$5,2)+1),0,IF(COUNTIFS($B$7:B470,B470,$C$7:C470,C470,$A$7:A470,"&gt;="&amp;('Panel'!$N$5-WEEKDAY('Panel'!$N$5,2)+1),$A$7:A470,"&lt;="&amp;'Panel'!$N$5)=1,1,0))</x:f>
        <x:v>0</x:v>
      </x:c>
    </x:row>
    <x:row r="471" ht="22" customHeight="1">
      <x:c r="A471" s="7"/>
      <x:c r="B471" s="6"/>
      <x:c r="C471" s="6"/>
      <x:c r="D471" s="6"/>
      <x:c r="E471" s="6"/>
      <x:c r="F471" s="17"/>
      <x:c r="G471" s="13"/>
      <x:c r="H471" s="14" t="str">
        <x:f>IF(B471="","",IF(OR(A471="",C471="",NOT(ISNUMBER(F471)),NOT(ISNUMBER(G471))),"Eksik efor",F471*G471))</x:f>
      </x:c>
      <x:c r="I471" s="2" t="n">
        <x:f>IF(OR(B471="",C471="",A471="",A471&gt;'Panel'!$N$5),0,IF(COUNTIFS($B$7:B471,B471,$C$7:C471,C471,$A$7:A471,"&lt;="&amp;'Panel'!$N$5)=1,1,0))</x:f>
        <x:v>0</x:v>
      </x:c>
      <x:c r="J471" s="2" t="n">
        <x:f>IF(OR(B471="",C471="",A471="",A471&gt;'Panel'!$N$5,A471&lt;'Panel'!$N$5-WEEKDAY('Panel'!$N$5,2)+1),0,IF(COUNTIFS($B$7:B471,B471,$C$7:C471,C471,$A$7:A471,"&gt;="&amp;('Panel'!$N$5-WEEKDAY('Panel'!$N$5,2)+1),$A$7:A471,"&lt;="&amp;'Panel'!$N$5)=1,1,0))</x:f>
        <x:v>0</x:v>
      </x:c>
    </x:row>
    <x:row r="472" ht="22" customHeight="1">
      <x:c r="A472" s="7"/>
      <x:c r="B472" s="6"/>
      <x:c r="C472" s="6"/>
      <x:c r="D472" s="6"/>
      <x:c r="E472" s="6"/>
      <x:c r="F472" s="17"/>
      <x:c r="G472" s="13"/>
      <x:c r="H472" s="14" t="str">
        <x:f>IF(B472="","",IF(OR(A472="",C472="",NOT(ISNUMBER(F472)),NOT(ISNUMBER(G472))),"Eksik efor",F472*G472))</x:f>
      </x:c>
      <x:c r="I472" s="2" t="n">
        <x:f>IF(OR(B472="",C472="",A472="",A472&gt;'Panel'!$N$5),0,IF(COUNTIFS($B$7:B472,B472,$C$7:C472,C472,$A$7:A472,"&lt;="&amp;'Panel'!$N$5)=1,1,0))</x:f>
        <x:v>0</x:v>
      </x:c>
      <x:c r="J472" s="2" t="n">
        <x:f>IF(OR(B472="",C472="",A472="",A472&gt;'Panel'!$N$5,A472&lt;'Panel'!$N$5-WEEKDAY('Panel'!$N$5,2)+1),0,IF(COUNTIFS($B$7:B472,B472,$C$7:C472,C472,$A$7:A472,"&gt;="&amp;('Panel'!$N$5-WEEKDAY('Panel'!$N$5,2)+1),$A$7:A472,"&lt;="&amp;'Panel'!$N$5)=1,1,0))</x:f>
        <x:v>0</x:v>
      </x:c>
    </x:row>
    <x:row r="473" ht="22" customHeight="1">
      <x:c r="A473" s="7"/>
      <x:c r="B473" s="6"/>
      <x:c r="C473" s="6"/>
      <x:c r="D473" s="6"/>
      <x:c r="E473" s="6"/>
      <x:c r="F473" s="17"/>
      <x:c r="G473" s="13"/>
      <x:c r="H473" s="14" t="str">
        <x:f>IF(B473="","",IF(OR(A473="",C473="",NOT(ISNUMBER(F473)),NOT(ISNUMBER(G473))),"Eksik efor",F473*G473))</x:f>
      </x:c>
      <x:c r="I473" s="2" t="n">
        <x:f>IF(OR(B473="",C473="",A473="",A473&gt;'Panel'!$N$5),0,IF(COUNTIFS($B$7:B473,B473,$C$7:C473,C473,$A$7:A473,"&lt;="&amp;'Panel'!$N$5)=1,1,0))</x:f>
        <x:v>0</x:v>
      </x:c>
      <x:c r="J473" s="2" t="n">
        <x:f>IF(OR(B473="",C473="",A473="",A473&gt;'Panel'!$N$5,A473&lt;'Panel'!$N$5-WEEKDAY('Panel'!$N$5,2)+1),0,IF(COUNTIFS($B$7:B473,B473,$C$7:C473,C473,$A$7:A473,"&gt;="&amp;('Panel'!$N$5-WEEKDAY('Panel'!$N$5,2)+1),$A$7:A473,"&lt;="&amp;'Panel'!$N$5)=1,1,0))</x:f>
        <x:v>0</x:v>
      </x:c>
    </x:row>
    <x:row r="474" ht="22" customHeight="1">
      <x:c r="A474" s="7"/>
      <x:c r="B474" s="6"/>
      <x:c r="C474" s="6"/>
      <x:c r="D474" s="6"/>
      <x:c r="E474" s="6"/>
      <x:c r="F474" s="17"/>
      <x:c r="G474" s="13"/>
      <x:c r="H474" s="14" t="str">
        <x:f>IF(B474="","",IF(OR(A474="",C474="",NOT(ISNUMBER(F474)),NOT(ISNUMBER(G474))),"Eksik efor",F474*G474))</x:f>
      </x:c>
      <x:c r="I474" s="2" t="n">
        <x:f>IF(OR(B474="",C474="",A474="",A474&gt;'Panel'!$N$5),0,IF(COUNTIFS($B$7:B474,B474,$C$7:C474,C474,$A$7:A474,"&lt;="&amp;'Panel'!$N$5)=1,1,0))</x:f>
        <x:v>0</x:v>
      </x:c>
      <x:c r="J474" s="2" t="n">
        <x:f>IF(OR(B474="",C474="",A474="",A474&gt;'Panel'!$N$5,A474&lt;'Panel'!$N$5-WEEKDAY('Panel'!$N$5,2)+1),0,IF(COUNTIFS($B$7:B474,B474,$C$7:C474,C474,$A$7:A474,"&gt;="&amp;('Panel'!$N$5-WEEKDAY('Panel'!$N$5,2)+1),$A$7:A474,"&lt;="&amp;'Panel'!$N$5)=1,1,0))</x:f>
        <x:v>0</x:v>
      </x:c>
    </x:row>
    <x:row r="475" ht="22" customHeight="1">
      <x:c r="A475" s="7"/>
      <x:c r="B475" s="6"/>
      <x:c r="C475" s="6"/>
      <x:c r="D475" s="6"/>
      <x:c r="E475" s="6"/>
      <x:c r="F475" s="17"/>
      <x:c r="G475" s="13"/>
      <x:c r="H475" s="14" t="str">
        <x:f>IF(B475="","",IF(OR(A475="",C475="",NOT(ISNUMBER(F475)),NOT(ISNUMBER(G475))),"Eksik efor",F475*G475))</x:f>
      </x:c>
      <x:c r="I475" s="2" t="n">
        <x:f>IF(OR(B475="",C475="",A475="",A475&gt;'Panel'!$N$5),0,IF(COUNTIFS($B$7:B475,B475,$C$7:C475,C475,$A$7:A475,"&lt;="&amp;'Panel'!$N$5)=1,1,0))</x:f>
        <x:v>0</x:v>
      </x:c>
      <x:c r="J475" s="2" t="n">
        <x:f>IF(OR(B475="",C475="",A475="",A475&gt;'Panel'!$N$5,A475&lt;'Panel'!$N$5-WEEKDAY('Panel'!$N$5,2)+1),0,IF(COUNTIFS($B$7:B475,B475,$C$7:C475,C475,$A$7:A475,"&gt;="&amp;('Panel'!$N$5-WEEKDAY('Panel'!$N$5,2)+1),$A$7:A475,"&lt;="&amp;'Panel'!$N$5)=1,1,0))</x:f>
        <x:v>0</x:v>
      </x:c>
    </x:row>
    <x:row r="476" ht="22" customHeight="1">
      <x:c r="A476" s="7"/>
      <x:c r="B476" s="6"/>
      <x:c r="C476" s="6"/>
      <x:c r="D476" s="6"/>
      <x:c r="E476" s="6"/>
      <x:c r="F476" s="17"/>
      <x:c r="G476" s="13"/>
      <x:c r="H476" s="14" t="str">
        <x:f>IF(B476="","",IF(OR(A476="",C476="",NOT(ISNUMBER(F476)),NOT(ISNUMBER(G476))),"Eksik efor",F476*G476))</x:f>
      </x:c>
      <x:c r="I476" s="2" t="n">
        <x:f>IF(OR(B476="",C476="",A476="",A476&gt;'Panel'!$N$5),0,IF(COUNTIFS($B$7:B476,B476,$C$7:C476,C476,$A$7:A476,"&lt;="&amp;'Panel'!$N$5)=1,1,0))</x:f>
        <x:v>0</x:v>
      </x:c>
      <x:c r="J476" s="2" t="n">
        <x:f>IF(OR(B476="",C476="",A476="",A476&gt;'Panel'!$N$5,A476&lt;'Panel'!$N$5-WEEKDAY('Panel'!$N$5,2)+1),0,IF(COUNTIFS($B$7:B476,B476,$C$7:C476,C476,$A$7:A476,"&gt;="&amp;('Panel'!$N$5-WEEKDAY('Panel'!$N$5,2)+1),$A$7:A476,"&lt;="&amp;'Panel'!$N$5)=1,1,0))</x:f>
        <x:v>0</x:v>
      </x:c>
    </x:row>
    <x:row r="477" ht="22" customHeight="1">
      <x:c r="A477" s="7"/>
      <x:c r="B477" s="6"/>
      <x:c r="C477" s="6"/>
      <x:c r="D477" s="6"/>
      <x:c r="E477" s="6"/>
      <x:c r="F477" s="17"/>
      <x:c r="G477" s="13"/>
      <x:c r="H477" s="14" t="str">
        <x:f>IF(B477="","",IF(OR(A477="",C477="",NOT(ISNUMBER(F477)),NOT(ISNUMBER(G477))),"Eksik efor",F477*G477))</x:f>
      </x:c>
      <x:c r="I477" s="2" t="n">
        <x:f>IF(OR(B477="",C477="",A477="",A477&gt;'Panel'!$N$5),0,IF(COUNTIFS($B$7:B477,B477,$C$7:C477,C477,$A$7:A477,"&lt;="&amp;'Panel'!$N$5)=1,1,0))</x:f>
        <x:v>0</x:v>
      </x:c>
      <x:c r="J477" s="2" t="n">
        <x:f>IF(OR(B477="",C477="",A477="",A477&gt;'Panel'!$N$5,A477&lt;'Panel'!$N$5-WEEKDAY('Panel'!$N$5,2)+1),0,IF(COUNTIFS($B$7:B477,B477,$C$7:C477,C477,$A$7:A477,"&gt;="&amp;('Panel'!$N$5-WEEKDAY('Panel'!$N$5,2)+1),$A$7:A477,"&lt;="&amp;'Panel'!$N$5)=1,1,0))</x:f>
        <x:v>0</x:v>
      </x:c>
    </x:row>
    <x:row r="478" ht="22" customHeight="1">
      <x:c r="A478" s="7"/>
      <x:c r="B478" s="6"/>
      <x:c r="C478" s="6"/>
      <x:c r="D478" s="6"/>
      <x:c r="E478" s="6"/>
      <x:c r="F478" s="17"/>
      <x:c r="G478" s="13"/>
      <x:c r="H478" s="14" t="str">
        <x:f>IF(B478="","",IF(OR(A478="",C478="",NOT(ISNUMBER(F478)),NOT(ISNUMBER(G478))),"Eksik efor",F478*G478))</x:f>
      </x:c>
      <x:c r="I478" s="2" t="n">
        <x:f>IF(OR(B478="",C478="",A478="",A478&gt;'Panel'!$N$5),0,IF(COUNTIFS($B$7:B478,B478,$C$7:C478,C478,$A$7:A478,"&lt;="&amp;'Panel'!$N$5)=1,1,0))</x:f>
        <x:v>0</x:v>
      </x:c>
      <x:c r="J478" s="2" t="n">
        <x:f>IF(OR(B478="",C478="",A478="",A478&gt;'Panel'!$N$5,A478&lt;'Panel'!$N$5-WEEKDAY('Panel'!$N$5,2)+1),0,IF(COUNTIFS($B$7:B478,B478,$C$7:C478,C478,$A$7:A478,"&gt;="&amp;('Panel'!$N$5-WEEKDAY('Panel'!$N$5,2)+1),$A$7:A478,"&lt;="&amp;'Panel'!$N$5)=1,1,0))</x:f>
        <x:v>0</x:v>
      </x:c>
    </x:row>
    <x:row r="479" ht="22" customHeight="1">
      <x:c r="A479" s="7"/>
      <x:c r="B479" s="6"/>
      <x:c r="C479" s="6"/>
      <x:c r="D479" s="6"/>
      <x:c r="E479" s="6"/>
      <x:c r="F479" s="17"/>
      <x:c r="G479" s="13"/>
      <x:c r="H479" s="14" t="str">
        <x:f>IF(B479="","",IF(OR(A479="",C479="",NOT(ISNUMBER(F479)),NOT(ISNUMBER(G479))),"Eksik efor",F479*G479))</x:f>
      </x:c>
      <x:c r="I479" s="2" t="n">
        <x:f>IF(OR(B479="",C479="",A479="",A479&gt;'Panel'!$N$5),0,IF(COUNTIFS($B$7:B479,B479,$C$7:C479,C479,$A$7:A479,"&lt;="&amp;'Panel'!$N$5)=1,1,0))</x:f>
        <x:v>0</x:v>
      </x:c>
      <x:c r="J479" s="2" t="n">
        <x:f>IF(OR(B479="",C479="",A479="",A479&gt;'Panel'!$N$5,A479&lt;'Panel'!$N$5-WEEKDAY('Panel'!$N$5,2)+1),0,IF(COUNTIFS($B$7:B479,B479,$C$7:C479,C479,$A$7:A479,"&gt;="&amp;('Panel'!$N$5-WEEKDAY('Panel'!$N$5,2)+1),$A$7:A479,"&lt;="&amp;'Panel'!$N$5)=1,1,0))</x:f>
        <x:v>0</x:v>
      </x:c>
    </x:row>
    <x:row r="480" ht="22" customHeight="1">
      <x:c r="A480" s="7"/>
      <x:c r="B480" s="6"/>
      <x:c r="C480" s="6"/>
      <x:c r="D480" s="6"/>
      <x:c r="E480" s="6"/>
      <x:c r="F480" s="17"/>
      <x:c r="G480" s="13"/>
      <x:c r="H480" s="14" t="str">
        <x:f>IF(B480="","",IF(OR(A480="",C480="",NOT(ISNUMBER(F480)),NOT(ISNUMBER(G480))),"Eksik efor",F480*G480))</x:f>
      </x:c>
      <x:c r="I480" s="2" t="n">
        <x:f>IF(OR(B480="",C480="",A480="",A480&gt;'Panel'!$N$5),0,IF(COUNTIFS($B$7:B480,B480,$C$7:C480,C480,$A$7:A480,"&lt;="&amp;'Panel'!$N$5)=1,1,0))</x:f>
        <x:v>0</x:v>
      </x:c>
      <x:c r="J480" s="2" t="n">
        <x:f>IF(OR(B480="",C480="",A480="",A480&gt;'Panel'!$N$5,A480&lt;'Panel'!$N$5-WEEKDAY('Panel'!$N$5,2)+1),0,IF(COUNTIFS($B$7:B480,B480,$C$7:C480,C480,$A$7:A480,"&gt;="&amp;('Panel'!$N$5-WEEKDAY('Panel'!$N$5,2)+1),$A$7:A480,"&lt;="&amp;'Panel'!$N$5)=1,1,0))</x:f>
        <x:v>0</x:v>
      </x:c>
    </x:row>
    <x:row r="481" ht="22" customHeight="1">
      <x:c r="A481" s="7"/>
      <x:c r="B481" s="6"/>
      <x:c r="C481" s="6"/>
      <x:c r="D481" s="6"/>
      <x:c r="E481" s="6"/>
      <x:c r="F481" s="17"/>
      <x:c r="G481" s="13"/>
      <x:c r="H481" s="14" t="str">
        <x:f>IF(B481="","",IF(OR(A481="",C481="",NOT(ISNUMBER(F481)),NOT(ISNUMBER(G481))),"Eksik efor",F481*G481))</x:f>
      </x:c>
      <x:c r="I481" s="2" t="n">
        <x:f>IF(OR(B481="",C481="",A481="",A481&gt;'Panel'!$N$5),0,IF(COUNTIFS($B$7:B481,B481,$C$7:C481,C481,$A$7:A481,"&lt;="&amp;'Panel'!$N$5)=1,1,0))</x:f>
        <x:v>0</x:v>
      </x:c>
      <x:c r="J481" s="2" t="n">
        <x:f>IF(OR(B481="",C481="",A481="",A481&gt;'Panel'!$N$5,A481&lt;'Panel'!$N$5-WEEKDAY('Panel'!$N$5,2)+1),0,IF(COUNTIFS($B$7:B481,B481,$C$7:C481,C481,$A$7:A481,"&gt;="&amp;('Panel'!$N$5-WEEKDAY('Panel'!$N$5,2)+1),$A$7:A481,"&lt;="&amp;'Panel'!$N$5)=1,1,0))</x:f>
        <x:v>0</x:v>
      </x:c>
    </x:row>
    <x:row r="482" ht="22" customHeight="1">
      <x:c r="A482" s="7"/>
      <x:c r="B482" s="6"/>
      <x:c r="C482" s="6"/>
      <x:c r="D482" s="6"/>
      <x:c r="E482" s="6"/>
      <x:c r="F482" s="17"/>
      <x:c r="G482" s="13"/>
      <x:c r="H482" s="14" t="str">
        <x:f>IF(B482="","",IF(OR(A482="",C482="",NOT(ISNUMBER(F482)),NOT(ISNUMBER(G482))),"Eksik efor",F482*G482))</x:f>
      </x:c>
      <x:c r="I482" s="2" t="n">
        <x:f>IF(OR(B482="",C482="",A482="",A482&gt;'Panel'!$N$5),0,IF(COUNTIFS($B$7:B482,B482,$C$7:C482,C482,$A$7:A482,"&lt;="&amp;'Panel'!$N$5)=1,1,0))</x:f>
        <x:v>0</x:v>
      </x:c>
      <x:c r="J482" s="2" t="n">
        <x:f>IF(OR(B482="",C482="",A482="",A482&gt;'Panel'!$N$5,A482&lt;'Panel'!$N$5-WEEKDAY('Panel'!$N$5,2)+1),0,IF(COUNTIFS($B$7:B482,B482,$C$7:C482,C482,$A$7:A482,"&gt;="&amp;('Panel'!$N$5-WEEKDAY('Panel'!$N$5,2)+1),$A$7:A482,"&lt;="&amp;'Panel'!$N$5)=1,1,0))</x:f>
        <x:v>0</x:v>
      </x:c>
    </x:row>
    <x:row r="483" ht="22" customHeight="1">
      <x:c r="A483" s="7"/>
      <x:c r="B483" s="6"/>
      <x:c r="C483" s="6"/>
      <x:c r="D483" s="6"/>
      <x:c r="E483" s="6"/>
      <x:c r="F483" s="17"/>
      <x:c r="G483" s="13"/>
      <x:c r="H483" s="14" t="str">
        <x:f>IF(B483="","",IF(OR(A483="",C483="",NOT(ISNUMBER(F483)),NOT(ISNUMBER(G483))),"Eksik efor",F483*G483))</x:f>
      </x:c>
      <x:c r="I483" s="2" t="n">
        <x:f>IF(OR(B483="",C483="",A483="",A483&gt;'Panel'!$N$5),0,IF(COUNTIFS($B$7:B483,B483,$C$7:C483,C483,$A$7:A483,"&lt;="&amp;'Panel'!$N$5)=1,1,0))</x:f>
        <x:v>0</x:v>
      </x:c>
      <x:c r="J483" s="2" t="n">
        <x:f>IF(OR(B483="",C483="",A483="",A483&gt;'Panel'!$N$5,A483&lt;'Panel'!$N$5-WEEKDAY('Panel'!$N$5,2)+1),0,IF(COUNTIFS($B$7:B483,B483,$C$7:C483,C483,$A$7:A483,"&gt;="&amp;('Panel'!$N$5-WEEKDAY('Panel'!$N$5,2)+1),$A$7:A483,"&lt;="&amp;'Panel'!$N$5)=1,1,0))</x:f>
        <x:v>0</x:v>
      </x:c>
    </x:row>
    <x:row r="484" ht="22" customHeight="1">
      <x:c r="A484" s="7"/>
      <x:c r="B484" s="6"/>
      <x:c r="C484" s="6"/>
      <x:c r="D484" s="6"/>
      <x:c r="E484" s="6"/>
      <x:c r="F484" s="17"/>
      <x:c r="G484" s="13"/>
      <x:c r="H484" s="14" t="str">
        <x:f>IF(B484="","",IF(OR(A484="",C484="",NOT(ISNUMBER(F484)),NOT(ISNUMBER(G484))),"Eksik efor",F484*G484))</x:f>
      </x:c>
      <x:c r="I484" s="2" t="n">
        <x:f>IF(OR(B484="",C484="",A484="",A484&gt;'Panel'!$N$5),0,IF(COUNTIFS($B$7:B484,B484,$C$7:C484,C484,$A$7:A484,"&lt;="&amp;'Panel'!$N$5)=1,1,0))</x:f>
        <x:v>0</x:v>
      </x:c>
      <x:c r="J484" s="2" t="n">
        <x:f>IF(OR(B484="",C484="",A484="",A484&gt;'Panel'!$N$5,A484&lt;'Panel'!$N$5-WEEKDAY('Panel'!$N$5,2)+1),0,IF(COUNTIFS($B$7:B484,B484,$C$7:C484,C484,$A$7:A484,"&gt;="&amp;('Panel'!$N$5-WEEKDAY('Panel'!$N$5,2)+1),$A$7:A484,"&lt;="&amp;'Panel'!$N$5)=1,1,0))</x:f>
        <x:v>0</x:v>
      </x:c>
    </x:row>
    <x:row r="485" ht="22" customHeight="1">
      <x:c r="A485" s="7"/>
      <x:c r="B485" s="6"/>
      <x:c r="C485" s="6"/>
      <x:c r="D485" s="6"/>
      <x:c r="E485" s="6"/>
      <x:c r="F485" s="17"/>
      <x:c r="G485" s="13"/>
      <x:c r="H485" s="14" t="str">
        <x:f>IF(B485="","",IF(OR(A485="",C485="",NOT(ISNUMBER(F485)),NOT(ISNUMBER(G485))),"Eksik efor",F485*G485))</x:f>
      </x:c>
      <x:c r="I485" s="2" t="n">
        <x:f>IF(OR(B485="",C485="",A485="",A485&gt;'Panel'!$N$5),0,IF(COUNTIFS($B$7:B485,B485,$C$7:C485,C485,$A$7:A485,"&lt;="&amp;'Panel'!$N$5)=1,1,0))</x:f>
        <x:v>0</x:v>
      </x:c>
      <x:c r="J485" s="2" t="n">
        <x:f>IF(OR(B485="",C485="",A485="",A485&gt;'Panel'!$N$5,A485&lt;'Panel'!$N$5-WEEKDAY('Panel'!$N$5,2)+1),0,IF(COUNTIFS($B$7:B485,B485,$C$7:C485,C485,$A$7:A485,"&gt;="&amp;('Panel'!$N$5-WEEKDAY('Panel'!$N$5,2)+1),$A$7:A485,"&lt;="&amp;'Panel'!$N$5)=1,1,0))</x:f>
        <x:v>0</x:v>
      </x:c>
    </x:row>
    <x:row r="486" ht="22" customHeight="1">
      <x:c r="A486" s="7"/>
      <x:c r="B486" s="6"/>
      <x:c r="C486" s="6"/>
      <x:c r="D486" s="6"/>
      <x:c r="E486" s="6"/>
      <x:c r="F486" s="17"/>
      <x:c r="G486" s="13"/>
      <x:c r="H486" s="14" t="str">
        <x:f>IF(B486="","",IF(OR(A486="",C486="",NOT(ISNUMBER(F486)),NOT(ISNUMBER(G486))),"Eksik efor",F486*G486))</x:f>
      </x:c>
      <x:c r="I486" s="2" t="n">
        <x:f>IF(OR(B486="",C486="",A486="",A486&gt;'Panel'!$N$5),0,IF(COUNTIFS($B$7:B486,B486,$C$7:C486,C486,$A$7:A486,"&lt;="&amp;'Panel'!$N$5)=1,1,0))</x:f>
        <x:v>0</x:v>
      </x:c>
      <x:c r="J486" s="2" t="n">
        <x:f>IF(OR(B486="",C486="",A486="",A486&gt;'Panel'!$N$5,A486&lt;'Panel'!$N$5-WEEKDAY('Panel'!$N$5,2)+1),0,IF(COUNTIFS($B$7:B486,B486,$C$7:C486,C486,$A$7:A486,"&gt;="&amp;('Panel'!$N$5-WEEKDAY('Panel'!$N$5,2)+1),$A$7:A486,"&lt;="&amp;'Panel'!$N$5)=1,1,0))</x:f>
        <x:v>0</x:v>
      </x:c>
    </x:row>
    <x:row r="487" ht="22" customHeight="1">
      <x:c r="A487" s="7"/>
      <x:c r="B487" s="6"/>
      <x:c r="C487" s="6"/>
      <x:c r="D487" s="6"/>
      <x:c r="E487" s="6"/>
      <x:c r="F487" s="17"/>
      <x:c r="G487" s="13"/>
      <x:c r="H487" s="14" t="str">
        <x:f>IF(B487="","",IF(OR(A487="",C487="",NOT(ISNUMBER(F487)),NOT(ISNUMBER(G487))),"Eksik efor",F487*G487))</x:f>
      </x:c>
      <x:c r="I487" s="2" t="n">
        <x:f>IF(OR(B487="",C487="",A487="",A487&gt;'Panel'!$N$5),0,IF(COUNTIFS($B$7:B487,B487,$C$7:C487,C487,$A$7:A487,"&lt;="&amp;'Panel'!$N$5)=1,1,0))</x:f>
        <x:v>0</x:v>
      </x:c>
      <x:c r="J487" s="2" t="n">
        <x:f>IF(OR(B487="",C487="",A487="",A487&gt;'Panel'!$N$5,A487&lt;'Panel'!$N$5-WEEKDAY('Panel'!$N$5,2)+1),0,IF(COUNTIFS($B$7:B487,B487,$C$7:C487,C487,$A$7:A487,"&gt;="&amp;('Panel'!$N$5-WEEKDAY('Panel'!$N$5,2)+1),$A$7:A487,"&lt;="&amp;'Panel'!$N$5)=1,1,0))</x:f>
        <x:v>0</x:v>
      </x:c>
    </x:row>
    <x:row r="488" ht="22" customHeight="1">
      <x:c r="A488" s="7"/>
      <x:c r="B488" s="6"/>
      <x:c r="C488" s="6"/>
      <x:c r="D488" s="6"/>
      <x:c r="E488" s="6"/>
      <x:c r="F488" s="17"/>
      <x:c r="G488" s="13"/>
      <x:c r="H488" s="14" t="str">
        <x:f>IF(B488="","",IF(OR(A488="",C488="",NOT(ISNUMBER(F488)),NOT(ISNUMBER(G488))),"Eksik efor",F488*G488))</x:f>
      </x:c>
      <x:c r="I488" s="2" t="n">
        <x:f>IF(OR(B488="",C488="",A488="",A488&gt;'Panel'!$N$5),0,IF(COUNTIFS($B$7:B488,B488,$C$7:C488,C488,$A$7:A488,"&lt;="&amp;'Panel'!$N$5)=1,1,0))</x:f>
        <x:v>0</x:v>
      </x:c>
      <x:c r="J488" s="2" t="n">
        <x:f>IF(OR(B488="",C488="",A488="",A488&gt;'Panel'!$N$5,A488&lt;'Panel'!$N$5-WEEKDAY('Panel'!$N$5,2)+1),0,IF(COUNTIFS($B$7:B488,B488,$C$7:C488,C488,$A$7:A488,"&gt;="&amp;('Panel'!$N$5-WEEKDAY('Panel'!$N$5,2)+1),$A$7:A488,"&lt;="&amp;'Panel'!$N$5)=1,1,0))</x:f>
        <x:v>0</x:v>
      </x:c>
    </x:row>
    <x:row r="489" ht="22" customHeight="1">
      <x:c r="A489" s="7"/>
      <x:c r="B489" s="6"/>
      <x:c r="C489" s="6"/>
      <x:c r="D489" s="6"/>
      <x:c r="E489" s="6"/>
      <x:c r="F489" s="17"/>
      <x:c r="G489" s="13"/>
      <x:c r="H489" s="14" t="str">
        <x:f>IF(B489="","",IF(OR(A489="",C489="",NOT(ISNUMBER(F489)),NOT(ISNUMBER(G489))),"Eksik efor",F489*G489))</x:f>
      </x:c>
      <x:c r="I489" s="2" t="n">
        <x:f>IF(OR(B489="",C489="",A489="",A489&gt;'Panel'!$N$5),0,IF(COUNTIFS($B$7:B489,B489,$C$7:C489,C489,$A$7:A489,"&lt;="&amp;'Panel'!$N$5)=1,1,0))</x:f>
        <x:v>0</x:v>
      </x:c>
      <x:c r="J489" s="2" t="n">
        <x:f>IF(OR(B489="",C489="",A489="",A489&gt;'Panel'!$N$5,A489&lt;'Panel'!$N$5-WEEKDAY('Panel'!$N$5,2)+1),0,IF(COUNTIFS($B$7:B489,B489,$C$7:C489,C489,$A$7:A489,"&gt;="&amp;('Panel'!$N$5-WEEKDAY('Panel'!$N$5,2)+1),$A$7:A489,"&lt;="&amp;'Panel'!$N$5)=1,1,0))</x:f>
        <x:v>0</x:v>
      </x:c>
    </x:row>
    <x:row r="490" ht="22" customHeight="1">
      <x:c r="A490" s="7"/>
      <x:c r="B490" s="6"/>
      <x:c r="C490" s="6"/>
      <x:c r="D490" s="6"/>
      <x:c r="E490" s="6"/>
      <x:c r="F490" s="17"/>
      <x:c r="G490" s="13"/>
      <x:c r="H490" s="14" t="str">
        <x:f>IF(B490="","",IF(OR(A490="",C490="",NOT(ISNUMBER(F490)),NOT(ISNUMBER(G490))),"Eksik efor",F490*G490))</x:f>
      </x:c>
      <x:c r="I490" s="2" t="n">
        <x:f>IF(OR(B490="",C490="",A490="",A490&gt;'Panel'!$N$5),0,IF(COUNTIFS($B$7:B490,B490,$C$7:C490,C490,$A$7:A490,"&lt;="&amp;'Panel'!$N$5)=1,1,0))</x:f>
        <x:v>0</x:v>
      </x:c>
      <x:c r="J490" s="2" t="n">
        <x:f>IF(OR(B490="",C490="",A490="",A490&gt;'Panel'!$N$5,A490&lt;'Panel'!$N$5-WEEKDAY('Panel'!$N$5,2)+1),0,IF(COUNTIFS($B$7:B490,B490,$C$7:C490,C490,$A$7:A490,"&gt;="&amp;('Panel'!$N$5-WEEKDAY('Panel'!$N$5,2)+1),$A$7:A490,"&lt;="&amp;'Panel'!$N$5)=1,1,0))</x:f>
        <x:v>0</x:v>
      </x:c>
    </x:row>
    <x:row r="491" ht="22" customHeight="1">
      <x:c r="A491" s="7"/>
      <x:c r="B491" s="6"/>
      <x:c r="C491" s="6"/>
      <x:c r="D491" s="6"/>
      <x:c r="E491" s="6"/>
      <x:c r="F491" s="17"/>
      <x:c r="G491" s="13"/>
      <x:c r="H491" s="14" t="str">
        <x:f>IF(B491="","",IF(OR(A491="",C491="",NOT(ISNUMBER(F491)),NOT(ISNUMBER(G491))),"Eksik efor",F491*G491))</x:f>
      </x:c>
      <x:c r="I491" s="2" t="n">
        <x:f>IF(OR(B491="",C491="",A491="",A491&gt;'Panel'!$N$5),0,IF(COUNTIFS($B$7:B491,B491,$C$7:C491,C491,$A$7:A491,"&lt;="&amp;'Panel'!$N$5)=1,1,0))</x:f>
        <x:v>0</x:v>
      </x:c>
      <x:c r="J491" s="2" t="n">
        <x:f>IF(OR(B491="",C491="",A491="",A491&gt;'Panel'!$N$5,A491&lt;'Panel'!$N$5-WEEKDAY('Panel'!$N$5,2)+1),0,IF(COUNTIFS($B$7:B491,B491,$C$7:C491,C491,$A$7:A491,"&gt;="&amp;('Panel'!$N$5-WEEKDAY('Panel'!$N$5,2)+1),$A$7:A491,"&lt;="&amp;'Panel'!$N$5)=1,1,0))</x:f>
        <x:v>0</x:v>
      </x:c>
    </x:row>
    <x:row r="492" ht="22" customHeight="1">
      <x:c r="A492" s="7"/>
      <x:c r="B492" s="6"/>
      <x:c r="C492" s="6"/>
      <x:c r="D492" s="6"/>
      <x:c r="E492" s="6"/>
      <x:c r="F492" s="17"/>
      <x:c r="G492" s="13"/>
      <x:c r="H492" s="14" t="str">
        <x:f>IF(B492="","",IF(OR(A492="",C492="",NOT(ISNUMBER(F492)),NOT(ISNUMBER(G492))),"Eksik efor",F492*G492))</x:f>
      </x:c>
      <x:c r="I492" s="2" t="n">
        <x:f>IF(OR(B492="",C492="",A492="",A492&gt;'Panel'!$N$5),0,IF(COUNTIFS($B$7:B492,B492,$C$7:C492,C492,$A$7:A492,"&lt;="&amp;'Panel'!$N$5)=1,1,0))</x:f>
        <x:v>0</x:v>
      </x:c>
      <x:c r="J492" s="2" t="n">
        <x:f>IF(OR(B492="",C492="",A492="",A492&gt;'Panel'!$N$5,A492&lt;'Panel'!$N$5-WEEKDAY('Panel'!$N$5,2)+1),0,IF(COUNTIFS($B$7:B492,B492,$C$7:C492,C492,$A$7:A492,"&gt;="&amp;('Panel'!$N$5-WEEKDAY('Panel'!$N$5,2)+1),$A$7:A492,"&lt;="&amp;'Panel'!$N$5)=1,1,0))</x:f>
        <x:v>0</x:v>
      </x:c>
    </x:row>
    <x:row r="493" ht="22" customHeight="1">
      <x:c r="A493" s="7"/>
      <x:c r="B493" s="6"/>
      <x:c r="C493" s="6"/>
      <x:c r="D493" s="6"/>
      <x:c r="E493" s="6"/>
      <x:c r="F493" s="17"/>
      <x:c r="G493" s="13"/>
      <x:c r="H493" s="14" t="str">
        <x:f>IF(B493="","",IF(OR(A493="",C493="",NOT(ISNUMBER(F493)),NOT(ISNUMBER(G493))),"Eksik efor",F493*G493))</x:f>
      </x:c>
      <x:c r="I493" s="2" t="n">
        <x:f>IF(OR(B493="",C493="",A493="",A493&gt;'Panel'!$N$5),0,IF(COUNTIFS($B$7:B493,B493,$C$7:C493,C493,$A$7:A493,"&lt;="&amp;'Panel'!$N$5)=1,1,0))</x:f>
        <x:v>0</x:v>
      </x:c>
      <x:c r="J493" s="2" t="n">
        <x:f>IF(OR(B493="",C493="",A493="",A493&gt;'Panel'!$N$5,A493&lt;'Panel'!$N$5-WEEKDAY('Panel'!$N$5,2)+1),0,IF(COUNTIFS($B$7:B493,B493,$C$7:C493,C493,$A$7:A493,"&gt;="&amp;('Panel'!$N$5-WEEKDAY('Panel'!$N$5,2)+1),$A$7:A493,"&lt;="&amp;'Panel'!$N$5)=1,1,0))</x:f>
        <x:v>0</x:v>
      </x:c>
    </x:row>
    <x:row r="494" ht="22" customHeight="1">
      <x:c r="A494" s="7"/>
      <x:c r="B494" s="6"/>
      <x:c r="C494" s="6"/>
      <x:c r="D494" s="6"/>
      <x:c r="E494" s="6"/>
      <x:c r="F494" s="17"/>
      <x:c r="G494" s="13"/>
      <x:c r="H494" s="14" t="str">
        <x:f>IF(B494="","",IF(OR(A494="",C494="",NOT(ISNUMBER(F494)),NOT(ISNUMBER(G494))),"Eksik efor",F494*G494))</x:f>
      </x:c>
      <x:c r="I494" s="2" t="n">
        <x:f>IF(OR(B494="",C494="",A494="",A494&gt;'Panel'!$N$5),0,IF(COUNTIFS($B$7:B494,B494,$C$7:C494,C494,$A$7:A494,"&lt;="&amp;'Panel'!$N$5)=1,1,0))</x:f>
        <x:v>0</x:v>
      </x:c>
      <x:c r="J494" s="2" t="n">
        <x:f>IF(OR(B494="",C494="",A494="",A494&gt;'Panel'!$N$5,A494&lt;'Panel'!$N$5-WEEKDAY('Panel'!$N$5,2)+1),0,IF(COUNTIFS($B$7:B494,B494,$C$7:C494,C494,$A$7:A494,"&gt;="&amp;('Panel'!$N$5-WEEKDAY('Panel'!$N$5,2)+1),$A$7:A494,"&lt;="&amp;'Panel'!$N$5)=1,1,0))</x:f>
        <x:v>0</x:v>
      </x:c>
    </x:row>
    <x:row r="495" ht="22" customHeight="1">
      <x:c r="A495" s="7"/>
      <x:c r="B495" s="6"/>
      <x:c r="C495" s="6"/>
      <x:c r="D495" s="6"/>
      <x:c r="E495" s="6"/>
      <x:c r="F495" s="17"/>
      <x:c r="G495" s="13"/>
      <x:c r="H495" s="14" t="str">
        <x:f>IF(B495="","",IF(OR(A495="",C495="",NOT(ISNUMBER(F495)),NOT(ISNUMBER(G495))),"Eksik efor",F495*G495))</x:f>
      </x:c>
      <x:c r="I495" s="2" t="n">
        <x:f>IF(OR(B495="",C495="",A495="",A495&gt;'Panel'!$N$5),0,IF(COUNTIFS($B$7:B495,B495,$C$7:C495,C495,$A$7:A495,"&lt;="&amp;'Panel'!$N$5)=1,1,0))</x:f>
        <x:v>0</x:v>
      </x:c>
      <x:c r="J495" s="2" t="n">
        <x:f>IF(OR(B495="",C495="",A495="",A495&gt;'Panel'!$N$5,A495&lt;'Panel'!$N$5-WEEKDAY('Panel'!$N$5,2)+1),0,IF(COUNTIFS($B$7:B495,B495,$C$7:C495,C495,$A$7:A495,"&gt;="&amp;('Panel'!$N$5-WEEKDAY('Panel'!$N$5,2)+1),$A$7:A495,"&lt;="&amp;'Panel'!$N$5)=1,1,0))</x:f>
        <x:v>0</x:v>
      </x:c>
    </x:row>
    <x:row r="496" ht="22" customHeight="1">
      <x:c r="A496" s="7"/>
      <x:c r="B496" s="6"/>
      <x:c r="C496" s="6"/>
      <x:c r="D496" s="6"/>
      <x:c r="E496" s="6"/>
      <x:c r="F496" s="17"/>
      <x:c r="G496" s="13"/>
      <x:c r="H496" s="14" t="str">
        <x:f>IF(B496="","",IF(OR(A496="",C496="",NOT(ISNUMBER(F496)),NOT(ISNUMBER(G496))),"Eksik efor",F496*G496))</x:f>
      </x:c>
      <x:c r="I496" s="2" t="n">
        <x:f>IF(OR(B496="",C496="",A496="",A496&gt;'Panel'!$N$5),0,IF(COUNTIFS($B$7:B496,B496,$C$7:C496,C496,$A$7:A496,"&lt;="&amp;'Panel'!$N$5)=1,1,0))</x:f>
        <x:v>0</x:v>
      </x:c>
      <x:c r="J496" s="2" t="n">
        <x:f>IF(OR(B496="",C496="",A496="",A496&gt;'Panel'!$N$5,A496&lt;'Panel'!$N$5-WEEKDAY('Panel'!$N$5,2)+1),0,IF(COUNTIFS($B$7:B496,B496,$C$7:C496,C496,$A$7:A496,"&gt;="&amp;('Panel'!$N$5-WEEKDAY('Panel'!$N$5,2)+1),$A$7:A496,"&lt;="&amp;'Panel'!$N$5)=1,1,0))</x:f>
        <x:v>0</x:v>
      </x:c>
    </x:row>
    <x:row r="497" ht="22" customHeight="1">
      <x:c r="A497" s="7"/>
      <x:c r="B497" s="6"/>
      <x:c r="C497" s="6"/>
      <x:c r="D497" s="6"/>
      <x:c r="E497" s="6"/>
      <x:c r="F497" s="17"/>
      <x:c r="G497" s="13"/>
      <x:c r="H497" s="14" t="str">
        <x:f>IF(B497="","",IF(OR(A497="",C497="",NOT(ISNUMBER(F497)),NOT(ISNUMBER(G497))),"Eksik efor",F497*G497))</x:f>
      </x:c>
      <x:c r="I497" s="2" t="n">
        <x:f>IF(OR(B497="",C497="",A497="",A497&gt;'Panel'!$N$5),0,IF(COUNTIFS($B$7:B497,B497,$C$7:C497,C497,$A$7:A497,"&lt;="&amp;'Panel'!$N$5)=1,1,0))</x:f>
        <x:v>0</x:v>
      </x:c>
      <x:c r="J497" s="2" t="n">
        <x:f>IF(OR(B497="",C497="",A497="",A497&gt;'Panel'!$N$5,A497&lt;'Panel'!$N$5-WEEKDAY('Panel'!$N$5,2)+1),0,IF(COUNTIFS($B$7:B497,B497,$C$7:C497,C497,$A$7:A497,"&gt;="&amp;('Panel'!$N$5-WEEKDAY('Panel'!$N$5,2)+1),$A$7:A497,"&lt;="&amp;'Panel'!$N$5)=1,1,0))</x:f>
        <x:v>0</x:v>
      </x:c>
    </x:row>
    <x:row r="498" ht="22" customHeight="1">
      <x:c r="A498" s="7"/>
      <x:c r="B498" s="6"/>
      <x:c r="C498" s="6"/>
      <x:c r="D498" s="6"/>
      <x:c r="E498" s="6"/>
      <x:c r="F498" s="17"/>
      <x:c r="G498" s="13"/>
      <x:c r="H498" s="14" t="str">
        <x:f>IF(B498="","",IF(OR(A498="",C498="",NOT(ISNUMBER(F498)),NOT(ISNUMBER(G498))),"Eksik efor",F498*G498))</x:f>
      </x:c>
      <x:c r="I498" s="2" t="n">
        <x:f>IF(OR(B498="",C498="",A498="",A498&gt;'Panel'!$N$5),0,IF(COUNTIFS($B$7:B498,B498,$C$7:C498,C498,$A$7:A498,"&lt;="&amp;'Panel'!$N$5)=1,1,0))</x:f>
        <x:v>0</x:v>
      </x:c>
      <x:c r="J498" s="2" t="n">
        <x:f>IF(OR(B498="",C498="",A498="",A498&gt;'Panel'!$N$5,A498&lt;'Panel'!$N$5-WEEKDAY('Panel'!$N$5,2)+1),0,IF(COUNTIFS($B$7:B498,B498,$C$7:C498,C498,$A$7:A498,"&gt;="&amp;('Panel'!$N$5-WEEKDAY('Panel'!$N$5,2)+1),$A$7:A498,"&lt;="&amp;'Panel'!$N$5)=1,1,0))</x:f>
        <x:v>0</x:v>
      </x:c>
    </x:row>
    <x:row r="499" ht="22" customHeight="1">
      <x:c r="A499" s="7"/>
      <x:c r="B499" s="6"/>
      <x:c r="C499" s="6"/>
      <x:c r="D499" s="6"/>
      <x:c r="E499" s="6"/>
      <x:c r="F499" s="17"/>
      <x:c r="G499" s="13"/>
      <x:c r="H499" s="14" t="str">
        <x:f>IF(B499="","",IF(OR(A499="",C499="",NOT(ISNUMBER(F499)),NOT(ISNUMBER(G499))),"Eksik efor",F499*G499))</x:f>
      </x:c>
      <x:c r="I499" s="2" t="n">
        <x:f>IF(OR(B499="",C499="",A499="",A499&gt;'Panel'!$N$5),0,IF(COUNTIFS($B$7:B499,B499,$C$7:C499,C499,$A$7:A499,"&lt;="&amp;'Panel'!$N$5)=1,1,0))</x:f>
        <x:v>0</x:v>
      </x:c>
      <x:c r="J499" s="2" t="n">
        <x:f>IF(OR(B499="",C499="",A499="",A499&gt;'Panel'!$N$5,A499&lt;'Panel'!$N$5-WEEKDAY('Panel'!$N$5,2)+1),0,IF(COUNTIFS($B$7:B499,B499,$C$7:C499,C499,$A$7:A499,"&gt;="&amp;('Panel'!$N$5-WEEKDAY('Panel'!$N$5,2)+1),$A$7:A499,"&lt;="&amp;'Panel'!$N$5)=1,1,0))</x:f>
        <x:v>0</x:v>
      </x:c>
    </x:row>
    <x:row r="500" ht="22" customHeight="1">
      <x:c r="A500" s="7"/>
      <x:c r="B500" s="6"/>
      <x:c r="C500" s="6"/>
      <x:c r="D500" s="6"/>
      <x:c r="E500" s="6"/>
      <x:c r="F500" s="17"/>
      <x:c r="G500" s="13"/>
      <x:c r="H500" s="14" t="str">
        <x:f>IF(B500="","",IF(OR(A500="",C500="",NOT(ISNUMBER(F500)),NOT(ISNUMBER(G500))),"Eksik efor",F500*G500))</x:f>
      </x:c>
      <x:c r="I500" s="2" t="n">
        <x:f>IF(OR(B500="",C500="",A500="",A500&gt;'Panel'!$N$5),0,IF(COUNTIFS($B$7:B500,B500,$C$7:C500,C500,$A$7:A500,"&lt;="&amp;'Panel'!$N$5)=1,1,0))</x:f>
        <x:v>0</x:v>
      </x:c>
      <x:c r="J500" s="2" t="n">
        <x:f>IF(OR(B500="",C500="",A500="",A500&gt;'Panel'!$N$5,A500&lt;'Panel'!$N$5-WEEKDAY('Panel'!$N$5,2)+1),0,IF(COUNTIFS($B$7:B500,B500,$C$7:C500,C500,$A$7:A500,"&gt;="&amp;('Panel'!$N$5-WEEKDAY('Panel'!$N$5,2)+1),$A$7:A500,"&lt;="&amp;'Panel'!$N$5)=1,1,0))</x:f>
        <x:v>0</x:v>
      </x:c>
    </x:row>
    <x:row r="501" ht="22" customHeight="1">
      <x:c r="A501" s="7"/>
      <x:c r="B501" s="6"/>
      <x:c r="C501" s="6"/>
      <x:c r="D501" s="6"/>
      <x:c r="E501" s="6"/>
      <x:c r="F501" s="17"/>
      <x:c r="G501" s="13"/>
      <x:c r="H501" s="14" t="str">
        <x:f>IF(B501="","",IF(OR(A501="",C501="",NOT(ISNUMBER(F501)),NOT(ISNUMBER(G501))),"Eksik efor",F501*G501))</x:f>
      </x:c>
      <x:c r="I501" s="2" t="n">
        <x:f>IF(OR(B501="",C501="",A501="",A501&gt;'Panel'!$N$5),0,IF(COUNTIFS($B$7:B501,B501,$C$7:C501,C501,$A$7:A501,"&lt;="&amp;'Panel'!$N$5)=1,1,0))</x:f>
        <x:v>0</x:v>
      </x:c>
      <x:c r="J501" s="2" t="n">
        <x:f>IF(OR(B501="",C501="",A501="",A501&gt;'Panel'!$N$5,A501&lt;'Panel'!$N$5-WEEKDAY('Panel'!$N$5,2)+1),0,IF(COUNTIFS($B$7:B501,B501,$C$7:C501,C501,$A$7:A501,"&gt;="&amp;('Panel'!$N$5-WEEKDAY('Panel'!$N$5,2)+1),$A$7:A501,"&lt;="&amp;'Panel'!$N$5)=1,1,0))</x:f>
        <x:v>0</x:v>
      </x:c>
    </x:row>
    <x:row r="502" ht="22" customHeight="1">
      <x:c r="A502" s="7"/>
      <x:c r="B502" s="6"/>
      <x:c r="C502" s="6"/>
      <x:c r="D502" s="6"/>
      <x:c r="E502" s="6"/>
      <x:c r="F502" s="17"/>
      <x:c r="G502" s="13"/>
      <x:c r="H502" s="14" t="str">
        <x:f>IF(B502="","",IF(OR(A502="",C502="",NOT(ISNUMBER(F502)),NOT(ISNUMBER(G502))),"Eksik efor",F502*G502))</x:f>
      </x:c>
      <x:c r="I502" s="2" t="n">
        <x:f>IF(OR(B502="",C502="",A502="",A502&gt;'Panel'!$N$5),0,IF(COUNTIFS($B$7:B502,B502,$C$7:C502,C502,$A$7:A502,"&lt;="&amp;'Panel'!$N$5)=1,1,0))</x:f>
        <x:v>0</x:v>
      </x:c>
      <x:c r="J502" s="2" t="n">
        <x:f>IF(OR(B502="",C502="",A502="",A502&gt;'Panel'!$N$5,A502&lt;'Panel'!$N$5-WEEKDAY('Panel'!$N$5,2)+1),0,IF(COUNTIFS($B$7:B502,B502,$C$7:C502,C502,$A$7:A502,"&gt;="&amp;('Panel'!$N$5-WEEKDAY('Panel'!$N$5,2)+1),$A$7:A502,"&lt;="&amp;'Panel'!$N$5)=1,1,0))</x:f>
        <x:v>0</x:v>
      </x:c>
    </x:row>
    <x:row r="503" ht="22" customHeight="1">
      <x:c r="A503" s="7"/>
      <x:c r="B503" s="6"/>
      <x:c r="C503" s="6"/>
      <x:c r="D503" s="6"/>
      <x:c r="E503" s="6"/>
      <x:c r="F503" s="17"/>
      <x:c r="G503" s="13"/>
      <x:c r="H503" s="14" t="str">
        <x:f>IF(B503="","",IF(OR(A503="",C503="",NOT(ISNUMBER(F503)),NOT(ISNUMBER(G503))),"Eksik efor",F503*G503))</x:f>
      </x:c>
      <x:c r="I503" s="2" t="n">
        <x:f>IF(OR(B503="",C503="",A503="",A503&gt;'Panel'!$N$5),0,IF(COUNTIFS($B$7:B503,B503,$C$7:C503,C503,$A$7:A503,"&lt;="&amp;'Panel'!$N$5)=1,1,0))</x:f>
        <x:v>0</x:v>
      </x:c>
      <x:c r="J503" s="2" t="n">
        <x:f>IF(OR(B503="",C503="",A503="",A503&gt;'Panel'!$N$5,A503&lt;'Panel'!$N$5-WEEKDAY('Panel'!$N$5,2)+1),0,IF(COUNTIFS($B$7:B503,B503,$C$7:C503,C503,$A$7:A503,"&gt;="&amp;('Panel'!$N$5-WEEKDAY('Panel'!$N$5,2)+1),$A$7:A503,"&lt;="&amp;'Panel'!$N$5)=1,1,0))</x:f>
        <x:v>0</x:v>
      </x:c>
    </x:row>
    <x:row r="504" ht="22" customHeight="1">
      <x:c r="A504" s="7"/>
      <x:c r="B504" s="6"/>
      <x:c r="C504" s="6"/>
      <x:c r="D504" s="6"/>
      <x:c r="E504" s="6"/>
      <x:c r="F504" s="17"/>
      <x:c r="G504" s="13"/>
      <x:c r="H504" s="14" t="str">
        <x:f>IF(B504="","",IF(OR(A504="",C504="",NOT(ISNUMBER(F504)),NOT(ISNUMBER(G504))),"Eksik efor",F504*G504))</x:f>
      </x:c>
      <x:c r="I504" s="2" t="n">
        <x:f>IF(OR(B504="",C504="",A504="",A504&gt;'Panel'!$N$5),0,IF(COUNTIFS($B$7:B504,B504,$C$7:C504,C504,$A$7:A504,"&lt;="&amp;'Panel'!$N$5)=1,1,0))</x:f>
        <x:v>0</x:v>
      </x:c>
      <x:c r="J504" s="2" t="n">
        <x:f>IF(OR(B504="",C504="",A504="",A504&gt;'Panel'!$N$5,A504&lt;'Panel'!$N$5-WEEKDAY('Panel'!$N$5,2)+1),0,IF(COUNTIFS($B$7:B504,B504,$C$7:C504,C504,$A$7:A504,"&gt;="&amp;('Panel'!$N$5-WEEKDAY('Panel'!$N$5,2)+1),$A$7:A504,"&lt;="&amp;'Panel'!$N$5)=1,1,0))</x:f>
        <x:v>0</x:v>
      </x:c>
    </x:row>
    <x:row r="505" ht="22" customHeight="1">
      <x:c r="A505" s="7"/>
      <x:c r="B505" s="6"/>
      <x:c r="C505" s="6"/>
      <x:c r="D505" s="6"/>
      <x:c r="E505" s="6"/>
      <x:c r="F505" s="17"/>
      <x:c r="G505" s="13"/>
      <x:c r="H505" s="14" t="str">
        <x:f>IF(B505="","",IF(OR(A505="",C505="",NOT(ISNUMBER(F505)),NOT(ISNUMBER(G505))),"Eksik efor",F505*G505))</x:f>
      </x:c>
      <x:c r="I505" s="2" t="n">
        <x:f>IF(OR(B505="",C505="",A505="",A505&gt;'Panel'!$N$5),0,IF(COUNTIFS($B$7:B505,B505,$C$7:C505,C505,$A$7:A505,"&lt;="&amp;'Panel'!$N$5)=1,1,0))</x:f>
        <x:v>0</x:v>
      </x:c>
      <x:c r="J505" s="2" t="n">
        <x:f>IF(OR(B505="",C505="",A505="",A505&gt;'Panel'!$N$5,A505&lt;'Panel'!$N$5-WEEKDAY('Panel'!$N$5,2)+1),0,IF(COUNTIFS($B$7:B505,B505,$C$7:C505,C505,$A$7:A505,"&gt;="&amp;('Panel'!$N$5-WEEKDAY('Panel'!$N$5,2)+1),$A$7:A505,"&lt;="&amp;'Panel'!$N$5)=1,1,0))</x:f>
        <x:v>0</x:v>
      </x:c>
    </x:row>
    <x:row r="506" ht="22" customHeight="1">
      <x:c r="A506" s="7"/>
      <x:c r="B506" s="6"/>
      <x:c r="C506" s="6"/>
      <x:c r="D506" s="6"/>
      <x:c r="E506" s="6"/>
      <x:c r="F506" s="17"/>
      <x:c r="G506" s="13"/>
      <x:c r="H506" s="14" t="str">
        <x:f>IF(B506="","",IF(OR(A506="",C506="",NOT(ISNUMBER(F506)),NOT(ISNUMBER(G506))),"Eksik efor",F506*G506))</x:f>
      </x:c>
      <x:c r="I506" s="2" t="n">
        <x:f>IF(OR(B506="",C506="",A506="",A506&gt;'Panel'!$N$5),0,IF(COUNTIFS($B$7:B506,B506,$C$7:C506,C506,$A$7:A506,"&lt;="&amp;'Panel'!$N$5)=1,1,0))</x:f>
        <x:v>0</x:v>
      </x:c>
      <x:c r="J506" s="2" t="n">
        <x:f>IF(OR(B506="",C506="",A506="",A506&gt;'Panel'!$N$5,A506&lt;'Panel'!$N$5-WEEKDAY('Panel'!$N$5,2)+1),0,IF(COUNTIFS($B$7:B506,B506,$C$7:C506,C506,$A$7:A506,"&gt;="&amp;('Panel'!$N$5-WEEKDAY('Panel'!$N$5,2)+1),$A$7:A506,"&lt;="&amp;'Panel'!$N$5)=1,1,0))</x:f>
        <x:v>0</x:v>
      </x:c>
    </x:row>
    <x:row r="507" ht="22" customHeight="1">
      <x:c r="A507" s="7"/>
      <x:c r="B507" s="6"/>
      <x:c r="C507" s="6"/>
      <x:c r="D507" s="6"/>
      <x:c r="E507" s="6"/>
      <x:c r="F507" s="17"/>
      <x:c r="G507" s="13"/>
      <x:c r="H507" s="14" t="str">
        <x:f>IF(B507="","",IF(OR(A507="",C507="",NOT(ISNUMBER(F507)),NOT(ISNUMBER(G507))),"Eksik efor",F507*G507))</x:f>
      </x:c>
      <x:c r="I507" s="2" t="n">
        <x:f>IF(OR(B507="",C507="",A507="",A507&gt;'Panel'!$N$5),0,IF(COUNTIFS($B$7:B507,B507,$C$7:C507,C507,$A$7:A507,"&lt;="&amp;'Panel'!$N$5)=1,1,0))</x:f>
        <x:v>0</x:v>
      </x:c>
      <x:c r="J507" s="2" t="n">
        <x:f>IF(OR(B507="",C507="",A507="",A507&gt;'Panel'!$N$5,A507&lt;'Panel'!$N$5-WEEKDAY('Panel'!$N$5,2)+1),0,IF(COUNTIFS($B$7:B507,B507,$C$7:C507,C507,$A$7:A507,"&gt;="&amp;('Panel'!$N$5-WEEKDAY('Panel'!$N$5,2)+1),$A$7:A507,"&lt;="&amp;'Panel'!$N$5)=1,1,0))</x:f>
        <x:v>0</x:v>
      </x:c>
    </x:row>
    <x:row r="508" ht="22" customHeight="1">
      <x:c r="A508" s="7"/>
      <x:c r="B508" s="6"/>
      <x:c r="C508" s="6"/>
      <x:c r="D508" s="6"/>
      <x:c r="E508" s="6"/>
      <x:c r="F508" s="17"/>
      <x:c r="G508" s="13"/>
      <x:c r="H508" s="14" t="str">
        <x:f>IF(B508="","",IF(OR(A508="",C508="",NOT(ISNUMBER(F508)),NOT(ISNUMBER(G508))),"Eksik efor",F508*G508))</x:f>
      </x:c>
      <x:c r="I508" s="2" t="n">
        <x:f>IF(OR(B508="",C508="",A508="",A508&gt;'Panel'!$N$5),0,IF(COUNTIFS($B$7:B508,B508,$C$7:C508,C508,$A$7:A508,"&lt;="&amp;'Panel'!$N$5)=1,1,0))</x:f>
        <x:v>0</x:v>
      </x:c>
      <x:c r="J508" s="2" t="n">
        <x:f>IF(OR(B508="",C508="",A508="",A508&gt;'Panel'!$N$5,A508&lt;'Panel'!$N$5-WEEKDAY('Panel'!$N$5,2)+1),0,IF(COUNTIFS($B$7:B508,B508,$C$7:C508,C508,$A$7:A508,"&gt;="&amp;('Panel'!$N$5-WEEKDAY('Panel'!$N$5,2)+1),$A$7:A508,"&lt;="&amp;'Panel'!$N$5)=1,1,0))</x:f>
        <x:v>0</x:v>
      </x:c>
    </x:row>
    <x:row r="509" ht="22" customHeight="1">
      <x:c r="A509" s="7"/>
      <x:c r="B509" s="6"/>
      <x:c r="C509" s="6"/>
      <x:c r="D509" s="6"/>
      <x:c r="E509" s="6"/>
      <x:c r="F509" s="17"/>
      <x:c r="G509" s="13"/>
      <x:c r="H509" s="14" t="str">
        <x:f>IF(B509="","",IF(OR(A509="",C509="",NOT(ISNUMBER(F509)),NOT(ISNUMBER(G509))),"Eksik efor",F509*G509))</x:f>
      </x:c>
      <x:c r="I509" s="2" t="n">
        <x:f>IF(OR(B509="",C509="",A509="",A509&gt;'Panel'!$N$5),0,IF(COUNTIFS($B$7:B509,B509,$C$7:C509,C509,$A$7:A509,"&lt;="&amp;'Panel'!$N$5)=1,1,0))</x:f>
        <x:v>0</x:v>
      </x:c>
      <x:c r="J509" s="2" t="n">
        <x:f>IF(OR(B509="",C509="",A509="",A509&gt;'Panel'!$N$5,A509&lt;'Panel'!$N$5-WEEKDAY('Panel'!$N$5,2)+1),0,IF(COUNTIFS($B$7:B509,B509,$C$7:C509,C509,$A$7:A509,"&gt;="&amp;('Panel'!$N$5-WEEKDAY('Panel'!$N$5,2)+1),$A$7:A509,"&lt;="&amp;'Panel'!$N$5)=1,1,0))</x:f>
        <x:v>0</x:v>
      </x:c>
    </x:row>
    <x:row r="510" ht="22" customHeight="1">
      <x:c r="A510" s="7"/>
      <x:c r="B510" s="6"/>
      <x:c r="C510" s="6"/>
      <x:c r="D510" s="6"/>
      <x:c r="E510" s="6"/>
      <x:c r="F510" s="17"/>
      <x:c r="G510" s="13"/>
      <x:c r="H510" s="14" t="str">
        <x:f>IF(B510="","",IF(OR(A510="",C510="",NOT(ISNUMBER(F510)),NOT(ISNUMBER(G510))),"Eksik efor",F510*G510))</x:f>
      </x:c>
      <x:c r="I510" s="2" t="n">
        <x:f>IF(OR(B510="",C510="",A510="",A510&gt;'Panel'!$N$5),0,IF(COUNTIFS($B$7:B510,B510,$C$7:C510,C510,$A$7:A510,"&lt;="&amp;'Panel'!$N$5)=1,1,0))</x:f>
        <x:v>0</x:v>
      </x:c>
      <x:c r="J510" s="2" t="n">
        <x:f>IF(OR(B510="",C510="",A510="",A510&gt;'Panel'!$N$5,A510&lt;'Panel'!$N$5-WEEKDAY('Panel'!$N$5,2)+1),0,IF(COUNTIFS($B$7:B510,B510,$C$7:C510,C510,$A$7:A510,"&gt;="&amp;('Panel'!$N$5-WEEKDAY('Panel'!$N$5,2)+1),$A$7:A510,"&lt;="&amp;'Panel'!$N$5)=1,1,0))</x:f>
        <x:v>0</x:v>
      </x:c>
    </x:row>
    <x:row r="511" ht="22" customHeight="1">
      <x:c r="A511" s="7"/>
      <x:c r="B511" s="6"/>
      <x:c r="C511" s="6"/>
      <x:c r="D511" s="6"/>
      <x:c r="E511" s="6"/>
      <x:c r="F511" s="17"/>
      <x:c r="G511" s="13"/>
      <x:c r="H511" s="14" t="str">
        <x:f>IF(B511="","",IF(OR(A511="",C511="",NOT(ISNUMBER(F511)),NOT(ISNUMBER(G511))),"Eksik efor",F511*G511))</x:f>
      </x:c>
      <x:c r="I511" s="2" t="n">
        <x:f>IF(OR(B511="",C511="",A511="",A511&gt;'Panel'!$N$5),0,IF(COUNTIFS($B$7:B511,B511,$C$7:C511,C511,$A$7:A511,"&lt;="&amp;'Panel'!$N$5)=1,1,0))</x:f>
        <x:v>0</x:v>
      </x:c>
      <x:c r="J511" s="2" t="n">
        <x:f>IF(OR(B511="",C511="",A511="",A511&gt;'Panel'!$N$5,A511&lt;'Panel'!$N$5-WEEKDAY('Panel'!$N$5,2)+1),0,IF(COUNTIFS($B$7:B511,B511,$C$7:C511,C511,$A$7:A511,"&gt;="&amp;('Panel'!$N$5-WEEKDAY('Panel'!$N$5,2)+1),$A$7:A511,"&lt;="&amp;'Panel'!$N$5)=1,1,0))</x:f>
        <x:v>0</x:v>
      </x:c>
    </x:row>
    <x:row r="512" ht="22" customHeight="1">
      <x:c r="A512" s="7"/>
      <x:c r="B512" s="6"/>
      <x:c r="C512" s="6"/>
      <x:c r="D512" s="6"/>
      <x:c r="E512" s="6"/>
      <x:c r="F512" s="17"/>
      <x:c r="G512" s="13"/>
      <x:c r="H512" s="14" t="str">
        <x:f>IF(B512="","",IF(OR(A512="",C512="",NOT(ISNUMBER(F512)),NOT(ISNUMBER(G512))),"Eksik efor",F512*G512))</x:f>
      </x:c>
      <x:c r="I512" s="2" t="n">
        <x:f>IF(OR(B512="",C512="",A512="",A512&gt;'Panel'!$N$5),0,IF(COUNTIFS($B$7:B512,B512,$C$7:C512,C512,$A$7:A512,"&lt;="&amp;'Panel'!$N$5)=1,1,0))</x:f>
        <x:v>0</x:v>
      </x:c>
      <x:c r="J512" s="2" t="n">
        <x:f>IF(OR(B512="",C512="",A512="",A512&gt;'Panel'!$N$5,A512&lt;'Panel'!$N$5-WEEKDAY('Panel'!$N$5,2)+1),0,IF(COUNTIFS($B$7:B512,B512,$C$7:C512,C512,$A$7:A512,"&gt;="&amp;('Panel'!$N$5-WEEKDAY('Panel'!$N$5,2)+1),$A$7:A512,"&lt;="&amp;'Panel'!$N$5)=1,1,0))</x:f>
        <x:v>0</x:v>
      </x:c>
    </x:row>
    <x:row r="513" ht="22" customHeight="1">
      <x:c r="A513" s="7"/>
      <x:c r="B513" s="6"/>
      <x:c r="C513" s="6"/>
      <x:c r="D513" s="6"/>
      <x:c r="E513" s="6"/>
      <x:c r="F513" s="17"/>
      <x:c r="G513" s="13"/>
      <x:c r="H513" s="14" t="str">
        <x:f>IF(B513="","",IF(OR(A513="",C513="",NOT(ISNUMBER(F513)),NOT(ISNUMBER(G513))),"Eksik efor",F513*G513))</x:f>
      </x:c>
      <x:c r="I513" s="2" t="n">
        <x:f>IF(OR(B513="",C513="",A513="",A513&gt;'Panel'!$N$5),0,IF(COUNTIFS($B$7:B513,B513,$C$7:C513,C513,$A$7:A513,"&lt;="&amp;'Panel'!$N$5)=1,1,0))</x:f>
        <x:v>0</x:v>
      </x:c>
      <x:c r="J513" s="2" t="n">
        <x:f>IF(OR(B513="",C513="",A513="",A513&gt;'Panel'!$N$5,A513&lt;'Panel'!$N$5-WEEKDAY('Panel'!$N$5,2)+1),0,IF(COUNTIFS($B$7:B513,B513,$C$7:C513,C513,$A$7:A513,"&gt;="&amp;('Panel'!$N$5-WEEKDAY('Panel'!$N$5,2)+1),$A$7:A513,"&lt;="&amp;'Panel'!$N$5)=1,1,0))</x:f>
        <x:v>0</x:v>
      </x:c>
    </x:row>
    <x:row r="514" ht="22" customHeight="1">
      <x:c r="A514" s="7"/>
      <x:c r="B514" s="6"/>
      <x:c r="C514" s="6"/>
      <x:c r="D514" s="6"/>
      <x:c r="E514" s="6"/>
      <x:c r="F514" s="17"/>
      <x:c r="G514" s="13"/>
      <x:c r="H514" s="14" t="str">
        <x:f>IF(B514="","",IF(OR(A514="",C514="",NOT(ISNUMBER(F514)),NOT(ISNUMBER(G514))),"Eksik efor",F514*G514))</x:f>
      </x:c>
      <x:c r="I514" s="2" t="n">
        <x:f>IF(OR(B514="",C514="",A514="",A514&gt;'Panel'!$N$5),0,IF(COUNTIFS($B$7:B514,B514,$C$7:C514,C514,$A$7:A514,"&lt;="&amp;'Panel'!$N$5)=1,1,0))</x:f>
        <x:v>0</x:v>
      </x:c>
      <x:c r="J514" s="2" t="n">
        <x:f>IF(OR(B514="",C514="",A514="",A514&gt;'Panel'!$N$5,A514&lt;'Panel'!$N$5-WEEKDAY('Panel'!$N$5,2)+1),0,IF(COUNTIFS($B$7:B514,B514,$C$7:C514,C514,$A$7:A514,"&gt;="&amp;('Panel'!$N$5-WEEKDAY('Panel'!$N$5,2)+1),$A$7:A514,"&lt;="&amp;'Panel'!$N$5)=1,1,0))</x:f>
        <x:v>0</x:v>
      </x:c>
    </x:row>
    <x:row r="515" ht="22" customHeight="1">
      <x:c r="A515" s="7"/>
      <x:c r="B515" s="6"/>
      <x:c r="C515" s="6"/>
      <x:c r="D515" s="6"/>
      <x:c r="E515" s="6"/>
      <x:c r="F515" s="17"/>
      <x:c r="G515" s="13"/>
      <x:c r="H515" s="14" t="str">
        <x:f>IF(B515="","",IF(OR(A515="",C515="",NOT(ISNUMBER(F515)),NOT(ISNUMBER(G515))),"Eksik efor",F515*G515))</x:f>
      </x:c>
      <x:c r="I515" s="2" t="n">
        <x:f>IF(OR(B515="",C515="",A515="",A515&gt;'Panel'!$N$5),0,IF(COUNTIFS($B$7:B515,B515,$C$7:C515,C515,$A$7:A515,"&lt;="&amp;'Panel'!$N$5)=1,1,0))</x:f>
        <x:v>0</x:v>
      </x:c>
      <x:c r="J515" s="2" t="n">
        <x:f>IF(OR(B515="",C515="",A515="",A515&gt;'Panel'!$N$5,A515&lt;'Panel'!$N$5-WEEKDAY('Panel'!$N$5,2)+1),0,IF(COUNTIFS($B$7:B515,B515,$C$7:C515,C515,$A$7:A515,"&gt;="&amp;('Panel'!$N$5-WEEKDAY('Panel'!$N$5,2)+1),$A$7:A515,"&lt;="&amp;'Panel'!$N$5)=1,1,0))</x:f>
        <x:v>0</x:v>
      </x:c>
    </x:row>
    <x:row r="516" ht="22" customHeight="1">
      <x:c r="A516" s="7"/>
      <x:c r="B516" s="6"/>
      <x:c r="C516" s="6"/>
      <x:c r="D516" s="6"/>
      <x:c r="E516" s="6"/>
      <x:c r="F516" s="17"/>
      <x:c r="G516" s="13"/>
      <x:c r="H516" s="14" t="str">
        <x:f>IF(B516="","",IF(OR(A516="",C516="",NOT(ISNUMBER(F516)),NOT(ISNUMBER(G516))),"Eksik efor",F516*G516))</x:f>
      </x:c>
      <x:c r="I516" s="2" t="n">
        <x:f>IF(OR(B516="",C516="",A516="",A516&gt;'Panel'!$N$5),0,IF(COUNTIFS($B$7:B516,B516,$C$7:C516,C516,$A$7:A516,"&lt;="&amp;'Panel'!$N$5)=1,1,0))</x:f>
        <x:v>0</x:v>
      </x:c>
      <x:c r="J516" s="2" t="n">
        <x:f>IF(OR(B516="",C516="",A516="",A516&gt;'Panel'!$N$5,A516&lt;'Panel'!$N$5-WEEKDAY('Panel'!$N$5,2)+1),0,IF(COUNTIFS($B$7:B516,B516,$C$7:C516,C516,$A$7:A516,"&gt;="&amp;('Panel'!$N$5-WEEKDAY('Panel'!$N$5,2)+1),$A$7:A516,"&lt;="&amp;'Panel'!$N$5)=1,1,0))</x:f>
        <x:v>0</x:v>
      </x:c>
    </x:row>
    <x:row r="517" ht="22" customHeight="1">
      <x:c r="A517" s="7"/>
      <x:c r="B517" s="6"/>
      <x:c r="C517" s="6"/>
      <x:c r="D517" s="6"/>
      <x:c r="E517" s="6"/>
      <x:c r="F517" s="17"/>
      <x:c r="G517" s="13"/>
      <x:c r="H517" s="14" t="str">
        <x:f>IF(B517="","",IF(OR(A517="",C517="",NOT(ISNUMBER(F517)),NOT(ISNUMBER(G517))),"Eksik efor",F517*G517))</x:f>
      </x:c>
      <x:c r="I517" s="2" t="n">
        <x:f>IF(OR(B517="",C517="",A517="",A517&gt;'Panel'!$N$5),0,IF(COUNTIFS($B$7:B517,B517,$C$7:C517,C517,$A$7:A517,"&lt;="&amp;'Panel'!$N$5)=1,1,0))</x:f>
        <x:v>0</x:v>
      </x:c>
      <x:c r="J517" s="2" t="n">
        <x:f>IF(OR(B517="",C517="",A517="",A517&gt;'Panel'!$N$5,A517&lt;'Panel'!$N$5-WEEKDAY('Panel'!$N$5,2)+1),0,IF(COUNTIFS($B$7:B517,B517,$C$7:C517,C517,$A$7:A517,"&gt;="&amp;('Panel'!$N$5-WEEKDAY('Panel'!$N$5,2)+1),$A$7:A517,"&lt;="&amp;'Panel'!$N$5)=1,1,0))</x:f>
        <x:v>0</x:v>
      </x:c>
    </x:row>
    <x:row r="518" ht="22" customHeight="1">
      <x:c r="A518" s="7"/>
      <x:c r="B518" s="6"/>
      <x:c r="C518" s="6"/>
      <x:c r="D518" s="6"/>
      <x:c r="E518" s="6"/>
      <x:c r="F518" s="17"/>
      <x:c r="G518" s="13"/>
      <x:c r="H518" s="14" t="str">
        <x:f>IF(B518="","",IF(OR(A518="",C518="",NOT(ISNUMBER(F518)),NOT(ISNUMBER(G518))),"Eksik efor",F518*G518))</x:f>
      </x:c>
      <x:c r="I518" s="2" t="n">
        <x:f>IF(OR(B518="",C518="",A518="",A518&gt;'Panel'!$N$5),0,IF(COUNTIFS($B$7:B518,B518,$C$7:C518,C518,$A$7:A518,"&lt;="&amp;'Panel'!$N$5)=1,1,0))</x:f>
        <x:v>0</x:v>
      </x:c>
      <x:c r="J518" s="2" t="n">
        <x:f>IF(OR(B518="",C518="",A518="",A518&gt;'Panel'!$N$5,A518&lt;'Panel'!$N$5-WEEKDAY('Panel'!$N$5,2)+1),0,IF(COUNTIFS($B$7:B518,B518,$C$7:C518,C518,$A$7:A518,"&gt;="&amp;('Panel'!$N$5-WEEKDAY('Panel'!$N$5,2)+1),$A$7:A518,"&lt;="&amp;'Panel'!$N$5)=1,1,0))</x:f>
        <x:v>0</x:v>
      </x:c>
    </x:row>
    <x:row r="519" ht="22" customHeight="1">
      <x:c r="A519" s="7"/>
      <x:c r="B519" s="6"/>
      <x:c r="C519" s="6"/>
      <x:c r="D519" s="6"/>
      <x:c r="E519" s="6"/>
      <x:c r="F519" s="17"/>
      <x:c r="G519" s="13"/>
      <x:c r="H519" s="14" t="str">
        <x:f>IF(B519="","",IF(OR(A519="",C519="",NOT(ISNUMBER(F519)),NOT(ISNUMBER(G519))),"Eksik efor",F519*G519))</x:f>
      </x:c>
      <x:c r="I519" s="2" t="n">
        <x:f>IF(OR(B519="",C519="",A519="",A519&gt;'Panel'!$N$5),0,IF(COUNTIFS($B$7:B519,B519,$C$7:C519,C519,$A$7:A519,"&lt;="&amp;'Panel'!$N$5)=1,1,0))</x:f>
        <x:v>0</x:v>
      </x:c>
      <x:c r="J519" s="2" t="n">
        <x:f>IF(OR(B519="",C519="",A519="",A519&gt;'Panel'!$N$5,A519&lt;'Panel'!$N$5-WEEKDAY('Panel'!$N$5,2)+1),0,IF(COUNTIFS($B$7:B519,B519,$C$7:C519,C519,$A$7:A519,"&gt;="&amp;('Panel'!$N$5-WEEKDAY('Panel'!$N$5,2)+1),$A$7:A519,"&lt;="&amp;'Panel'!$N$5)=1,1,0))</x:f>
        <x:v>0</x:v>
      </x:c>
    </x:row>
    <x:row r="520" ht="22" customHeight="1">
      <x:c r="A520" s="7"/>
      <x:c r="B520" s="6"/>
      <x:c r="C520" s="6"/>
      <x:c r="D520" s="6"/>
      <x:c r="E520" s="6"/>
      <x:c r="F520" s="17"/>
      <x:c r="G520" s="13"/>
      <x:c r="H520" s="14" t="str">
        <x:f>IF(B520="","",IF(OR(A520="",C520="",NOT(ISNUMBER(F520)),NOT(ISNUMBER(G520))),"Eksik efor",F520*G520))</x:f>
      </x:c>
      <x:c r="I520" s="2" t="n">
        <x:f>IF(OR(B520="",C520="",A520="",A520&gt;'Panel'!$N$5),0,IF(COUNTIFS($B$7:B520,B520,$C$7:C520,C520,$A$7:A520,"&lt;="&amp;'Panel'!$N$5)=1,1,0))</x:f>
        <x:v>0</x:v>
      </x:c>
      <x:c r="J520" s="2" t="n">
        <x:f>IF(OR(B520="",C520="",A520="",A520&gt;'Panel'!$N$5,A520&lt;'Panel'!$N$5-WEEKDAY('Panel'!$N$5,2)+1),0,IF(COUNTIFS($B$7:B520,B520,$C$7:C520,C520,$A$7:A520,"&gt;="&amp;('Panel'!$N$5-WEEKDAY('Panel'!$N$5,2)+1),$A$7:A520,"&lt;="&amp;'Panel'!$N$5)=1,1,0))</x:f>
        <x:v>0</x:v>
      </x:c>
    </x:row>
    <x:row r="521" ht="22" customHeight="1">
      <x:c r="A521" s="7"/>
      <x:c r="B521" s="6"/>
      <x:c r="C521" s="6"/>
      <x:c r="D521" s="6"/>
      <x:c r="E521" s="6"/>
      <x:c r="F521" s="17"/>
      <x:c r="G521" s="13"/>
      <x:c r="H521" s="14" t="str">
        <x:f>IF(B521="","",IF(OR(A521="",C521="",NOT(ISNUMBER(F521)),NOT(ISNUMBER(G521))),"Eksik efor",F521*G521))</x:f>
      </x:c>
      <x:c r="I521" s="2" t="n">
        <x:f>IF(OR(B521="",C521="",A521="",A521&gt;'Panel'!$N$5),0,IF(COUNTIFS($B$7:B521,B521,$C$7:C521,C521,$A$7:A521,"&lt;="&amp;'Panel'!$N$5)=1,1,0))</x:f>
        <x:v>0</x:v>
      </x:c>
      <x:c r="J521" s="2" t="n">
        <x:f>IF(OR(B521="",C521="",A521="",A521&gt;'Panel'!$N$5,A521&lt;'Panel'!$N$5-WEEKDAY('Panel'!$N$5,2)+1),0,IF(COUNTIFS($B$7:B521,B521,$C$7:C521,C521,$A$7:A521,"&gt;="&amp;('Panel'!$N$5-WEEKDAY('Panel'!$N$5,2)+1),$A$7:A521,"&lt;="&amp;'Panel'!$N$5)=1,1,0))</x:f>
        <x:v>0</x:v>
      </x:c>
    </x:row>
    <x:row r="522" ht="22" customHeight="1">
      <x:c r="A522" s="7"/>
      <x:c r="B522" s="6"/>
      <x:c r="C522" s="6"/>
      <x:c r="D522" s="6"/>
      <x:c r="E522" s="6"/>
      <x:c r="F522" s="17"/>
      <x:c r="G522" s="13"/>
      <x:c r="H522" s="14" t="str">
        <x:f>IF(B522="","",IF(OR(A522="",C522="",NOT(ISNUMBER(F522)),NOT(ISNUMBER(G522))),"Eksik efor",F522*G522))</x:f>
      </x:c>
      <x:c r="I522" s="2" t="n">
        <x:f>IF(OR(B522="",C522="",A522="",A522&gt;'Panel'!$N$5),0,IF(COUNTIFS($B$7:B522,B522,$C$7:C522,C522,$A$7:A522,"&lt;="&amp;'Panel'!$N$5)=1,1,0))</x:f>
        <x:v>0</x:v>
      </x:c>
      <x:c r="J522" s="2" t="n">
        <x:f>IF(OR(B522="",C522="",A522="",A522&gt;'Panel'!$N$5,A522&lt;'Panel'!$N$5-WEEKDAY('Panel'!$N$5,2)+1),0,IF(COUNTIFS($B$7:B522,B522,$C$7:C522,C522,$A$7:A522,"&gt;="&amp;('Panel'!$N$5-WEEKDAY('Panel'!$N$5,2)+1),$A$7:A522,"&lt;="&amp;'Panel'!$N$5)=1,1,0))</x:f>
        <x:v>0</x:v>
      </x:c>
    </x:row>
    <x:row r="523" ht="22" customHeight="1">
      <x:c r="A523" s="7"/>
      <x:c r="B523" s="6"/>
      <x:c r="C523" s="6"/>
      <x:c r="D523" s="6"/>
      <x:c r="E523" s="6"/>
      <x:c r="F523" s="17"/>
      <x:c r="G523" s="13"/>
      <x:c r="H523" s="14" t="str">
        <x:f>IF(B523="","",IF(OR(A523="",C523="",NOT(ISNUMBER(F523)),NOT(ISNUMBER(G523))),"Eksik efor",F523*G523))</x:f>
      </x:c>
      <x:c r="I523" s="2" t="n">
        <x:f>IF(OR(B523="",C523="",A523="",A523&gt;'Panel'!$N$5),0,IF(COUNTIFS($B$7:B523,B523,$C$7:C523,C523,$A$7:A523,"&lt;="&amp;'Panel'!$N$5)=1,1,0))</x:f>
        <x:v>0</x:v>
      </x:c>
      <x:c r="J523" s="2" t="n">
        <x:f>IF(OR(B523="",C523="",A523="",A523&gt;'Panel'!$N$5,A523&lt;'Panel'!$N$5-WEEKDAY('Panel'!$N$5,2)+1),0,IF(COUNTIFS($B$7:B523,B523,$C$7:C523,C523,$A$7:A523,"&gt;="&amp;('Panel'!$N$5-WEEKDAY('Panel'!$N$5,2)+1),$A$7:A523,"&lt;="&amp;'Panel'!$N$5)=1,1,0))</x:f>
        <x:v>0</x:v>
      </x:c>
    </x:row>
    <x:row r="524" ht="22" customHeight="1">
      <x:c r="A524" s="7"/>
      <x:c r="B524" s="6"/>
      <x:c r="C524" s="6"/>
      <x:c r="D524" s="6"/>
      <x:c r="E524" s="6"/>
      <x:c r="F524" s="17"/>
      <x:c r="G524" s="13"/>
      <x:c r="H524" s="14" t="str">
        <x:f>IF(B524="","",IF(OR(A524="",C524="",NOT(ISNUMBER(F524)),NOT(ISNUMBER(G524))),"Eksik efor",F524*G524))</x:f>
      </x:c>
      <x:c r="I524" s="2" t="n">
        <x:f>IF(OR(B524="",C524="",A524="",A524&gt;'Panel'!$N$5),0,IF(COUNTIFS($B$7:B524,B524,$C$7:C524,C524,$A$7:A524,"&lt;="&amp;'Panel'!$N$5)=1,1,0))</x:f>
        <x:v>0</x:v>
      </x:c>
      <x:c r="J524" s="2" t="n">
        <x:f>IF(OR(B524="",C524="",A524="",A524&gt;'Panel'!$N$5,A524&lt;'Panel'!$N$5-WEEKDAY('Panel'!$N$5,2)+1),0,IF(COUNTIFS($B$7:B524,B524,$C$7:C524,C524,$A$7:A524,"&gt;="&amp;('Panel'!$N$5-WEEKDAY('Panel'!$N$5,2)+1),$A$7:A524,"&lt;="&amp;'Panel'!$N$5)=1,1,0))</x:f>
        <x:v>0</x:v>
      </x:c>
    </x:row>
    <x:row r="525" ht="22" customHeight="1">
      <x:c r="A525" s="7"/>
      <x:c r="B525" s="6"/>
      <x:c r="C525" s="6"/>
      <x:c r="D525" s="6"/>
      <x:c r="E525" s="6"/>
      <x:c r="F525" s="17"/>
      <x:c r="G525" s="13"/>
      <x:c r="H525" s="14" t="str">
        <x:f>IF(B525="","",IF(OR(A525="",C525="",NOT(ISNUMBER(F525)),NOT(ISNUMBER(G525))),"Eksik efor",F525*G525))</x:f>
      </x:c>
      <x:c r="I525" s="2" t="n">
        <x:f>IF(OR(B525="",C525="",A525="",A525&gt;'Panel'!$N$5),0,IF(COUNTIFS($B$7:B525,B525,$C$7:C525,C525,$A$7:A525,"&lt;="&amp;'Panel'!$N$5)=1,1,0))</x:f>
        <x:v>0</x:v>
      </x:c>
      <x:c r="J525" s="2" t="n">
        <x:f>IF(OR(B525="",C525="",A525="",A525&gt;'Panel'!$N$5,A525&lt;'Panel'!$N$5-WEEKDAY('Panel'!$N$5,2)+1),0,IF(COUNTIFS($B$7:B525,B525,$C$7:C525,C525,$A$7:A525,"&gt;="&amp;('Panel'!$N$5-WEEKDAY('Panel'!$N$5,2)+1),$A$7:A525,"&lt;="&amp;'Panel'!$N$5)=1,1,0))</x:f>
        <x:v>0</x:v>
      </x:c>
    </x:row>
    <x:row r="526" ht="22" customHeight="1">
      <x:c r="A526" s="7"/>
      <x:c r="B526" s="6"/>
      <x:c r="C526" s="6"/>
      <x:c r="D526" s="6"/>
      <x:c r="E526" s="6"/>
      <x:c r="F526" s="17"/>
      <x:c r="G526" s="13"/>
      <x:c r="H526" s="14" t="str">
        <x:f>IF(B526="","",IF(OR(A526="",C526="",NOT(ISNUMBER(F526)),NOT(ISNUMBER(G526))),"Eksik efor",F526*G526))</x:f>
      </x:c>
      <x:c r="I526" s="2" t="n">
        <x:f>IF(OR(B526="",C526="",A526="",A526&gt;'Panel'!$N$5),0,IF(COUNTIFS($B$7:B526,B526,$C$7:C526,C526,$A$7:A526,"&lt;="&amp;'Panel'!$N$5)=1,1,0))</x:f>
        <x:v>0</x:v>
      </x:c>
      <x:c r="J526" s="2" t="n">
        <x:f>IF(OR(B526="",C526="",A526="",A526&gt;'Panel'!$N$5,A526&lt;'Panel'!$N$5-WEEKDAY('Panel'!$N$5,2)+1),0,IF(COUNTIFS($B$7:B526,B526,$C$7:C526,C526,$A$7:A526,"&gt;="&amp;('Panel'!$N$5-WEEKDAY('Panel'!$N$5,2)+1),$A$7:A526,"&lt;="&amp;'Panel'!$N$5)=1,1,0))</x:f>
        <x:v>0</x:v>
      </x:c>
    </x:row>
    <x:row r="527" ht="22" customHeight="1">
      <x:c r="A527" s="7"/>
      <x:c r="B527" s="6"/>
      <x:c r="C527" s="6"/>
      <x:c r="D527" s="6"/>
      <x:c r="E527" s="6"/>
      <x:c r="F527" s="17"/>
      <x:c r="G527" s="13"/>
      <x:c r="H527" s="14" t="str">
        <x:f>IF(B527="","",IF(OR(A527="",C527="",NOT(ISNUMBER(F527)),NOT(ISNUMBER(G527))),"Eksik efor",F527*G527))</x:f>
      </x:c>
      <x:c r="I527" s="2" t="n">
        <x:f>IF(OR(B527="",C527="",A527="",A527&gt;'Panel'!$N$5),0,IF(COUNTIFS($B$7:B527,B527,$C$7:C527,C527,$A$7:A527,"&lt;="&amp;'Panel'!$N$5)=1,1,0))</x:f>
        <x:v>0</x:v>
      </x:c>
      <x:c r="J527" s="2" t="n">
        <x:f>IF(OR(B527="",C527="",A527="",A527&gt;'Panel'!$N$5,A527&lt;'Panel'!$N$5-WEEKDAY('Panel'!$N$5,2)+1),0,IF(COUNTIFS($B$7:B527,B527,$C$7:C527,C527,$A$7:A527,"&gt;="&amp;('Panel'!$N$5-WEEKDAY('Panel'!$N$5,2)+1),$A$7:A527,"&lt;="&amp;'Panel'!$N$5)=1,1,0))</x:f>
        <x:v>0</x:v>
      </x:c>
    </x:row>
    <x:row r="528" ht="22" customHeight="1">
      <x:c r="A528" s="7"/>
      <x:c r="B528" s="6"/>
      <x:c r="C528" s="6"/>
      <x:c r="D528" s="6"/>
      <x:c r="E528" s="6"/>
      <x:c r="F528" s="17"/>
      <x:c r="G528" s="13"/>
      <x:c r="H528" s="14" t="str">
        <x:f>IF(B528="","",IF(OR(A528="",C528="",NOT(ISNUMBER(F528)),NOT(ISNUMBER(G528))),"Eksik efor",F528*G528))</x:f>
      </x:c>
      <x:c r="I528" s="2" t="n">
        <x:f>IF(OR(B528="",C528="",A528="",A528&gt;'Panel'!$N$5),0,IF(COUNTIFS($B$7:B528,B528,$C$7:C528,C528,$A$7:A528,"&lt;="&amp;'Panel'!$N$5)=1,1,0))</x:f>
        <x:v>0</x:v>
      </x:c>
      <x:c r="J528" s="2" t="n">
        <x:f>IF(OR(B528="",C528="",A528="",A528&gt;'Panel'!$N$5,A528&lt;'Panel'!$N$5-WEEKDAY('Panel'!$N$5,2)+1),0,IF(COUNTIFS($B$7:B528,B528,$C$7:C528,C528,$A$7:A528,"&gt;="&amp;('Panel'!$N$5-WEEKDAY('Panel'!$N$5,2)+1),$A$7:A528,"&lt;="&amp;'Panel'!$N$5)=1,1,0))</x:f>
        <x:v>0</x:v>
      </x:c>
    </x:row>
    <x:row r="529" ht="22" customHeight="1">
      <x:c r="A529" s="7"/>
      <x:c r="B529" s="6"/>
      <x:c r="C529" s="6"/>
      <x:c r="D529" s="6"/>
      <x:c r="E529" s="6"/>
      <x:c r="F529" s="17"/>
      <x:c r="G529" s="13"/>
      <x:c r="H529" s="14" t="str">
        <x:f>IF(B529="","",IF(OR(A529="",C529="",NOT(ISNUMBER(F529)),NOT(ISNUMBER(G529))),"Eksik efor",F529*G529))</x:f>
      </x:c>
      <x:c r="I529" s="2" t="n">
        <x:f>IF(OR(B529="",C529="",A529="",A529&gt;'Panel'!$N$5),0,IF(COUNTIFS($B$7:B529,B529,$C$7:C529,C529,$A$7:A529,"&lt;="&amp;'Panel'!$N$5)=1,1,0))</x:f>
        <x:v>0</x:v>
      </x:c>
      <x:c r="J529" s="2" t="n">
        <x:f>IF(OR(B529="",C529="",A529="",A529&gt;'Panel'!$N$5,A529&lt;'Panel'!$N$5-WEEKDAY('Panel'!$N$5,2)+1),0,IF(COUNTIFS($B$7:B529,B529,$C$7:C529,C529,$A$7:A529,"&gt;="&amp;('Panel'!$N$5-WEEKDAY('Panel'!$N$5,2)+1),$A$7:A529,"&lt;="&amp;'Panel'!$N$5)=1,1,0))</x:f>
        <x:v>0</x:v>
      </x:c>
    </x:row>
    <x:row r="530" ht="22" customHeight="1">
      <x:c r="A530" s="7"/>
      <x:c r="B530" s="6"/>
      <x:c r="C530" s="6"/>
      <x:c r="D530" s="6"/>
      <x:c r="E530" s="6"/>
      <x:c r="F530" s="17"/>
      <x:c r="G530" s="13"/>
      <x:c r="H530" s="14" t="str">
        <x:f>IF(B530="","",IF(OR(A530="",C530="",NOT(ISNUMBER(F530)),NOT(ISNUMBER(G530))),"Eksik efor",F530*G530))</x:f>
      </x:c>
      <x:c r="I530" s="2" t="n">
        <x:f>IF(OR(B530="",C530="",A530="",A530&gt;'Panel'!$N$5),0,IF(COUNTIFS($B$7:B530,B530,$C$7:C530,C530,$A$7:A530,"&lt;="&amp;'Panel'!$N$5)=1,1,0))</x:f>
        <x:v>0</x:v>
      </x:c>
      <x:c r="J530" s="2" t="n">
        <x:f>IF(OR(B530="",C530="",A530="",A530&gt;'Panel'!$N$5,A530&lt;'Panel'!$N$5-WEEKDAY('Panel'!$N$5,2)+1),0,IF(COUNTIFS($B$7:B530,B530,$C$7:C530,C530,$A$7:A530,"&gt;="&amp;('Panel'!$N$5-WEEKDAY('Panel'!$N$5,2)+1),$A$7:A530,"&lt;="&amp;'Panel'!$N$5)=1,1,0))</x:f>
        <x:v>0</x:v>
      </x:c>
    </x:row>
    <x:row r="531" ht="22" customHeight="1">
      <x:c r="A531" s="7"/>
      <x:c r="B531" s="6"/>
      <x:c r="C531" s="6"/>
      <x:c r="D531" s="6"/>
      <x:c r="E531" s="6"/>
      <x:c r="F531" s="17"/>
      <x:c r="G531" s="13"/>
      <x:c r="H531" s="14" t="str">
        <x:f>IF(B531="","",IF(OR(A531="",C531="",NOT(ISNUMBER(F531)),NOT(ISNUMBER(G531))),"Eksik efor",F531*G531))</x:f>
      </x:c>
      <x:c r="I531" s="2" t="n">
        <x:f>IF(OR(B531="",C531="",A531="",A531&gt;'Panel'!$N$5),0,IF(COUNTIFS($B$7:B531,B531,$C$7:C531,C531,$A$7:A531,"&lt;="&amp;'Panel'!$N$5)=1,1,0))</x:f>
        <x:v>0</x:v>
      </x:c>
      <x:c r="J531" s="2" t="n">
        <x:f>IF(OR(B531="",C531="",A531="",A531&gt;'Panel'!$N$5,A531&lt;'Panel'!$N$5-WEEKDAY('Panel'!$N$5,2)+1),0,IF(COUNTIFS($B$7:B531,B531,$C$7:C531,C531,$A$7:A531,"&gt;="&amp;('Panel'!$N$5-WEEKDAY('Panel'!$N$5,2)+1),$A$7:A531,"&lt;="&amp;'Panel'!$N$5)=1,1,0))</x:f>
        <x:v>0</x:v>
      </x:c>
    </x:row>
    <x:row r="532" ht="22" customHeight="1">
      <x:c r="A532" s="7"/>
      <x:c r="B532" s="6"/>
      <x:c r="C532" s="6"/>
      <x:c r="D532" s="6"/>
      <x:c r="E532" s="6"/>
      <x:c r="F532" s="17"/>
      <x:c r="G532" s="13"/>
      <x:c r="H532" s="14" t="str">
        <x:f>IF(B532="","",IF(OR(A532="",C532="",NOT(ISNUMBER(F532)),NOT(ISNUMBER(G532))),"Eksik efor",F532*G532))</x:f>
      </x:c>
      <x:c r="I532" s="2" t="n">
        <x:f>IF(OR(B532="",C532="",A532="",A532&gt;'Panel'!$N$5),0,IF(COUNTIFS($B$7:B532,B532,$C$7:C532,C532,$A$7:A532,"&lt;="&amp;'Panel'!$N$5)=1,1,0))</x:f>
        <x:v>0</x:v>
      </x:c>
      <x:c r="J532" s="2" t="n">
        <x:f>IF(OR(B532="",C532="",A532="",A532&gt;'Panel'!$N$5,A532&lt;'Panel'!$N$5-WEEKDAY('Panel'!$N$5,2)+1),0,IF(COUNTIFS($B$7:B532,B532,$C$7:C532,C532,$A$7:A532,"&gt;="&amp;('Panel'!$N$5-WEEKDAY('Panel'!$N$5,2)+1),$A$7:A532,"&lt;="&amp;'Panel'!$N$5)=1,1,0))</x:f>
        <x:v>0</x:v>
      </x:c>
    </x:row>
    <x:row r="533" ht="22" customHeight="1">
      <x:c r="A533" s="7"/>
      <x:c r="B533" s="6"/>
      <x:c r="C533" s="6"/>
      <x:c r="D533" s="6"/>
      <x:c r="E533" s="6"/>
      <x:c r="F533" s="17"/>
      <x:c r="G533" s="13"/>
      <x:c r="H533" s="14" t="str">
        <x:f>IF(B533="","",IF(OR(A533="",C533="",NOT(ISNUMBER(F533)),NOT(ISNUMBER(G533))),"Eksik efor",F533*G533))</x:f>
      </x:c>
      <x:c r="I533" s="2" t="n">
        <x:f>IF(OR(B533="",C533="",A533="",A533&gt;'Panel'!$N$5),0,IF(COUNTIFS($B$7:B533,B533,$C$7:C533,C533,$A$7:A533,"&lt;="&amp;'Panel'!$N$5)=1,1,0))</x:f>
        <x:v>0</x:v>
      </x:c>
      <x:c r="J533" s="2" t="n">
        <x:f>IF(OR(B533="",C533="",A533="",A533&gt;'Panel'!$N$5,A533&lt;'Panel'!$N$5-WEEKDAY('Panel'!$N$5,2)+1),0,IF(COUNTIFS($B$7:B533,B533,$C$7:C533,C533,$A$7:A533,"&gt;="&amp;('Panel'!$N$5-WEEKDAY('Panel'!$N$5,2)+1),$A$7:A533,"&lt;="&amp;'Panel'!$N$5)=1,1,0))</x:f>
        <x:v>0</x:v>
      </x:c>
    </x:row>
    <x:row r="534" ht="22" customHeight="1">
      <x:c r="A534" s="7"/>
      <x:c r="B534" s="6"/>
      <x:c r="C534" s="6"/>
      <x:c r="D534" s="6"/>
      <x:c r="E534" s="6"/>
      <x:c r="F534" s="17"/>
      <x:c r="G534" s="13"/>
      <x:c r="H534" s="14" t="str">
        <x:f>IF(B534="","",IF(OR(A534="",C534="",NOT(ISNUMBER(F534)),NOT(ISNUMBER(G534))),"Eksik efor",F534*G534))</x:f>
      </x:c>
      <x:c r="I534" s="2" t="n">
        <x:f>IF(OR(B534="",C534="",A534="",A534&gt;'Panel'!$N$5),0,IF(COUNTIFS($B$7:B534,B534,$C$7:C534,C534,$A$7:A534,"&lt;="&amp;'Panel'!$N$5)=1,1,0))</x:f>
        <x:v>0</x:v>
      </x:c>
      <x:c r="J534" s="2" t="n">
        <x:f>IF(OR(B534="",C534="",A534="",A534&gt;'Panel'!$N$5,A534&lt;'Panel'!$N$5-WEEKDAY('Panel'!$N$5,2)+1),0,IF(COUNTIFS($B$7:B534,B534,$C$7:C534,C534,$A$7:A534,"&gt;="&amp;('Panel'!$N$5-WEEKDAY('Panel'!$N$5,2)+1),$A$7:A534,"&lt;="&amp;'Panel'!$N$5)=1,1,0))</x:f>
        <x:v>0</x:v>
      </x:c>
    </x:row>
    <x:row r="535" ht="22" customHeight="1">
      <x:c r="A535" s="7"/>
      <x:c r="B535" s="6"/>
      <x:c r="C535" s="6"/>
      <x:c r="D535" s="6"/>
      <x:c r="E535" s="6"/>
      <x:c r="F535" s="17"/>
      <x:c r="G535" s="13"/>
      <x:c r="H535" s="14" t="str">
        <x:f>IF(B535="","",IF(OR(A535="",C535="",NOT(ISNUMBER(F535)),NOT(ISNUMBER(G535))),"Eksik efor",F535*G535))</x:f>
      </x:c>
      <x:c r="I535" s="2" t="n">
        <x:f>IF(OR(B535="",C535="",A535="",A535&gt;'Panel'!$N$5),0,IF(COUNTIFS($B$7:B535,B535,$C$7:C535,C535,$A$7:A535,"&lt;="&amp;'Panel'!$N$5)=1,1,0))</x:f>
        <x:v>0</x:v>
      </x:c>
      <x:c r="J535" s="2" t="n">
        <x:f>IF(OR(B535="",C535="",A535="",A535&gt;'Panel'!$N$5,A535&lt;'Panel'!$N$5-WEEKDAY('Panel'!$N$5,2)+1),0,IF(COUNTIFS($B$7:B535,B535,$C$7:C535,C535,$A$7:A535,"&gt;="&amp;('Panel'!$N$5-WEEKDAY('Panel'!$N$5,2)+1),$A$7:A535,"&lt;="&amp;'Panel'!$N$5)=1,1,0))</x:f>
        <x:v>0</x:v>
      </x:c>
    </x:row>
    <x:row r="536" ht="22" customHeight="1">
      <x:c r="A536" s="7"/>
      <x:c r="B536" s="6"/>
      <x:c r="C536" s="6"/>
      <x:c r="D536" s="6"/>
      <x:c r="E536" s="6"/>
      <x:c r="F536" s="17"/>
      <x:c r="G536" s="13"/>
      <x:c r="H536" s="14" t="str">
        <x:f>IF(B536="","",IF(OR(A536="",C536="",NOT(ISNUMBER(F536)),NOT(ISNUMBER(G536))),"Eksik efor",F536*G536))</x:f>
      </x:c>
      <x:c r="I536" s="2" t="n">
        <x:f>IF(OR(B536="",C536="",A536="",A536&gt;'Panel'!$N$5),0,IF(COUNTIFS($B$7:B536,B536,$C$7:C536,C536,$A$7:A536,"&lt;="&amp;'Panel'!$N$5)=1,1,0))</x:f>
        <x:v>0</x:v>
      </x:c>
      <x:c r="J536" s="2" t="n">
        <x:f>IF(OR(B536="",C536="",A536="",A536&gt;'Panel'!$N$5,A536&lt;'Panel'!$N$5-WEEKDAY('Panel'!$N$5,2)+1),0,IF(COUNTIFS($B$7:B536,B536,$C$7:C536,C536,$A$7:A536,"&gt;="&amp;('Panel'!$N$5-WEEKDAY('Panel'!$N$5,2)+1),$A$7:A536,"&lt;="&amp;'Panel'!$N$5)=1,1,0))</x:f>
        <x:v>0</x:v>
      </x:c>
    </x:row>
    <x:row r="537" ht="22" customHeight="1">
      <x:c r="A537" s="7"/>
      <x:c r="B537" s="6"/>
      <x:c r="C537" s="6"/>
      <x:c r="D537" s="6"/>
      <x:c r="E537" s="6"/>
      <x:c r="F537" s="17"/>
      <x:c r="G537" s="13"/>
      <x:c r="H537" s="14" t="str">
        <x:f>IF(B537="","",IF(OR(A537="",C537="",NOT(ISNUMBER(F537)),NOT(ISNUMBER(G537))),"Eksik efor",F537*G537))</x:f>
      </x:c>
      <x:c r="I537" s="2" t="n">
        <x:f>IF(OR(B537="",C537="",A537="",A537&gt;'Panel'!$N$5),0,IF(COUNTIFS($B$7:B537,B537,$C$7:C537,C537,$A$7:A537,"&lt;="&amp;'Panel'!$N$5)=1,1,0))</x:f>
        <x:v>0</x:v>
      </x:c>
      <x:c r="J537" s="2" t="n">
        <x:f>IF(OR(B537="",C537="",A537="",A537&gt;'Panel'!$N$5,A537&lt;'Panel'!$N$5-WEEKDAY('Panel'!$N$5,2)+1),0,IF(COUNTIFS($B$7:B537,B537,$C$7:C537,C537,$A$7:A537,"&gt;="&amp;('Panel'!$N$5-WEEKDAY('Panel'!$N$5,2)+1),$A$7:A537,"&lt;="&amp;'Panel'!$N$5)=1,1,0))</x:f>
        <x:v>0</x:v>
      </x:c>
    </x:row>
    <x:row r="538" ht="22" customHeight="1">
      <x:c r="A538" s="7"/>
      <x:c r="B538" s="6"/>
      <x:c r="C538" s="6"/>
      <x:c r="D538" s="6"/>
      <x:c r="E538" s="6"/>
      <x:c r="F538" s="17"/>
      <x:c r="G538" s="13"/>
      <x:c r="H538" s="14" t="str">
        <x:f>IF(B538="","",IF(OR(A538="",C538="",NOT(ISNUMBER(F538)),NOT(ISNUMBER(G538))),"Eksik efor",F538*G538))</x:f>
      </x:c>
      <x:c r="I538" s="2" t="n">
        <x:f>IF(OR(B538="",C538="",A538="",A538&gt;'Panel'!$N$5),0,IF(COUNTIFS($B$7:B538,B538,$C$7:C538,C538,$A$7:A538,"&lt;="&amp;'Panel'!$N$5)=1,1,0))</x:f>
        <x:v>0</x:v>
      </x:c>
      <x:c r="J538" s="2" t="n">
        <x:f>IF(OR(B538="",C538="",A538="",A538&gt;'Panel'!$N$5,A538&lt;'Panel'!$N$5-WEEKDAY('Panel'!$N$5,2)+1),0,IF(COUNTIFS($B$7:B538,B538,$C$7:C538,C538,$A$7:A538,"&gt;="&amp;('Panel'!$N$5-WEEKDAY('Panel'!$N$5,2)+1),$A$7:A538,"&lt;="&amp;'Panel'!$N$5)=1,1,0))</x:f>
        <x:v>0</x:v>
      </x:c>
    </x:row>
    <x:row r="539" ht="22" customHeight="1">
      <x:c r="A539" s="7"/>
      <x:c r="B539" s="6"/>
      <x:c r="C539" s="6"/>
      <x:c r="D539" s="6"/>
      <x:c r="E539" s="6"/>
      <x:c r="F539" s="17"/>
      <x:c r="G539" s="13"/>
      <x:c r="H539" s="14" t="str">
        <x:f>IF(B539="","",IF(OR(A539="",C539="",NOT(ISNUMBER(F539)),NOT(ISNUMBER(G539))),"Eksik efor",F539*G539))</x:f>
      </x:c>
      <x:c r="I539" s="2" t="n">
        <x:f>IF(OR(B539="",C539="",A539="",A539&gt;'Panel'!$N$5),0,IF(COUNTIFS($B$7:B539,B539,$C$7:C539,C539,$A$7:A539,"&lt;="&amp;'Panel'!$N$5)=1,1,0))</x:f>
        <x:v>0</x:v>
      </x:c>
      <x:c r="J539" s="2" t="n">
        <x:f>IF(OR(B539="",C539="",A539="",A539&gt;'Panel'!$N$5,A539&lt;'Panel'!$N$5-WEEKDAY('Panel'!$N$5,2)+1),0,IF(COUNTIFS($B$7:B539,B539,$C$7:C539,C539,$A$7:A539,"&gt;="&amp;('Panel'!$N$5-WEEKDAY('Panel'!$N$5,2)+1),$A$7:A539,"&lt;="&amp;'Panel'!$N$5)=1,1,0))</x:f>
        <x:v>0</x:v>
      </x:c>
    </x:row>
    <x:row r="540" ht="22" customHeight="1">
      <x:c r="A540" s="7"/>
      <x:c r="B540" s="6"/>
      <x:c r="C540" s="6"/>
      <x:c r="D540" s="6"/>
      <x:c r="E540" s="6"/>
      <x:c r="F540" s="17"/>
      <x:c r="G540" s="13"/>
      <x:c r="H540" s="14" t="str">
        <x:f>IF(B540="","",IF(OR(A540="",C540="",NOT(ISNUMBER(F540)),NOT(ISNUMBER(G540))),"Eksik efor",F540*G540))</x:f>
      </x:c>
      <x:c r="I540" s="2" t="n">
        <x:f>IF(OR(B540="",C540="",A540="",A540&gt;'Panel'!$N$5),0,IF(COUNTIFS($B$7:B540,B540,$C$7:C540,C540,$A$7:A540,"&lt;="&amp;'Panel'!$N$5)=1,1,0))</x:f>
        <x:v>0</x:v>
      </x:c>
      <x:c r="J540" s="2" t="n">
        <x:f>IF(OR(B540="",C540="",A540="",A540&gt;'Panel'!$N$5,A540&lt;'Panel'!$N$5-WEEKDAY('Panel'!$N$5,2)+1),0,IF(COUNTIFS($B$7:B540,B540,$C$7:C540,C540,$A$7:A540,"&gt;="&amp;('Panel'!$N$5-WEEKDAY('Panel'!$N$5,2)+1),$A$7:A540,"&lt;="&amp;'Panel'!$N$5)=1,1,0))</x:f>
        <x:v>0</x:v>
      </x:c>
    </x:row>
    <x:row r="541" ht="22" customHeight="1">
      <x:c r="A541" s="7"/>
      <x:c r="B541" s="6"/>
      <x:c r="C541" s="6"/>
      <x:c r="D541" s="6"/>
      <x:c r="E541" s="6"/>
      <x:c r="F541" s="17"/>
      <x:c r="G541" s="13"/>
      <x:c r="H541" s="14" t="str">
        <x:f>IF(B541="","",IF(OR(A541="",C541="",NOT(ISNUMBER(F541)),NOT(ISNUMBER(G541))),"Eksik efor",F541*G541))</x:f>
      </x:c>
      <x:c r="I541" s="2" t="n">
        <x:f>IF(OR(B541="",C541="",A541="",A541&gt;'Panel'!$N$5),0,IF(COUNTIFS($B$7:B541,B541,$C$7:C541,C541,$A$7:A541,"&lt;="&amp;'Panel'!$N$5)=1,1,0))</x:f>
        <x:v>0</x:v>
      </x:c>
      <x:c r="J541" s="2" t="n">
        <x:f>IF(OR(B541="",C541="",A541="",A541&gt;'Panel'!$N$5,A541&lt;'Panel'!$N$5-WEEKDAY('Panel'!$N$5,2)+1),0,IF(COUNTIFS($B$7:B541,B541,$C$7:C541,C541,$A$7:A541,"&gt;="&amp;('Panel'!$N$5-WEEKDAY('Panel'!$N$5,2)+1),$A$7:A541,"&lt;="&amp;'Panel'!$N$5)=1,1,0))</x:f>
        <x:v>0</x:v>
      </x:c>
    </x:row>
    <x:row r="542" ht="22" customHeight="1">
      <x:c r="A542" s="7"/>
      <x:c r="B542" s="6"/>
      <x:c r="C542" s="6"/>
      <x:c r="D542" s="6"/>
      <x:c r="E542" s="6"/>
      <x:c r="F542" s="17"/>
      <x:c r="G542" s="13"/>
      <x:c r="H542" s="14" t="str">
        <x:f>IF(B542="","",IF(OR(A542="",C542="",NOT(ISNUMBER(F542)),NOT(ISNUMBER(G542))),"Eksik efor",F542*G542))</x:f>
      </x:c>
      <x:c r="I542" s="2" t="n">
        <x:f>IF(OR(B542="",C542="",A542="",A542&gt;'Panel'!$N$5),0,IF(COUNTIFS($B$7:B542,B542,$C$7:C542,C542,$A$7:A542,"&lt;="&amp;'Panel'!$N$5)=1,1,0))</x:f>
        <x:v>0</x:v>
      </x:c>
      <x:c r="J542" s="2" t="n">
        <x:f>IF(OR(B542="",C542="",A542="",A542&gt;'Panel'!$N$5,A542&lt;'Panel'!$N$5-WEEKDAY('Panel'!$N$5,2)+1),0,IF(COUNTIFS($B$7:B542,B542,$C$7:C542,C542,$A$7:A542,"&gt;="&amp;('Panel'!$N$5-WEEKDAY('Panel'!$N$5,2)+1),$A$7:A542,"&lt;="&amp;'Panel'!$N$5)=1,1,0))</x:f>
        <x:v>0</x:v>
      </x:c>
    </x:row>
    <x:row r="543" ht="22" customHeight="1">
      <x:c r="A543" s="7"/>
      <x:c r="B543" s="6"/>
      <x:c r="C543" s="6"/>
      <x:c r="D543" s="6"/>
      <x:c r="E543" s="6"/>
      <x:c r="F543" s="17"/>
      <x:c r="G543" s="13"/>
      <x:c r="H543" s="14" t="str">
        <x:f>IF(B543="","",IF(OR(A543="",C543="",NOT(ISNUMBER(F543)),NOT(ISNUMBER(G543))),"Eksik efor",F543*G543))</x:f>
      </x:c>
      <x:c r="I543" s="2" t="n">
        <x:f>IF(OR(B543="",C543="",A543="",A543&gt;'Panel'!$N$5),0,IF(COUNTIFS($B$7:B543,B543,$C$7:C543,C543,$A$7:A543,"&lt;="&amp;'Panel'!$N$5)=1,1,0))</x:f>
        <x:v>0</x:v>
      </x:c>
      <x:c r="J543" s="2" t="n">
        <x:f>IF(OR(B543="",C543="",A543="",A543&gt;'Panel'!$N$5,A543&lt;'Panel'!$N$5-WEEKDAY('Panel'!$N$5,2)+1),0,IF(COUNTIFS($B$7:B543,B543,$C$7:C543,C543,$A$7:A543,"&gt;="&amp;('Panel'!$N$5-WEEKDAY('Panel'!$N$5,2)+1),$A$7:A543,"&lt;="&amp;'Panel'!$N$5)=1,1,0))</x:f>
        <x:v>0</x:v>
      </x:c>
    </x:row>
    <x:row r="544" ht="22" customHeight="1">
      <x:c r="A544" s="7"/>
      <x:c r="B544" s="6"/>
      <x:c r="C544" s="6"/>
      <x:c r="D544" s="6"/>
      <x:c r="E544" s="6"/>
      <x:c r="F544" s="17"/>
      <x:c r="G544" s="13"/>
      <x:c r="H544" s="14" t="str">
        <x:f>IF(B544="","",IF(OR(A544="",C544="",NOT(ISNUMBER(F544)),NOT(ISNUMBER(G544))),"Eksik efor",F544*G544))</x:f>
      </x:c>
      <x:c r="I544" s="2" t="n">
        <x:f>IF(OR(B544="",C544="",A544="",A544&gt;'Panel'!$N$5),0,IF(COUNTIFS($B$7:B544,B544,$C$7:C544,C544,$A$7:A544,"&lt;="&amp;'Panel'!$N$5)=1,1,0))</x:f>
        <x:v>0</x:v>
      </x:c>
      <x:c r="J544" s="2" t="n">
        <x:f>IF(OR(B544="",C544="",A544="",A544&gt;'Panel'!$N$5,A544&lt;'Panel'!$N$5-WEEKDAY('Panel'!$N$5,2)+1),0,IF(COUNTIFS($B$7:B544,B544,$C$7:C544,C544,$A$7:A544,"&gt;="&amp;('Panel'!$N$5-WEEKDAY('Panel'!$N$5,2)+1),$A$7:A544,"&lt;="&amp;'Panel'!$N$5)=1,1,0))</x:f>
        <x:v>0</x:v>
      </x:c>
    </x:row>
    <x:row r="545" ht="22" customHeight="1">
      <x:c r="A545" s="7"/>
      <x:c r="B545" s="6"/>
      <x:c r="C545" s="6"/>
      <x:c r="D545" s="6"/>
      <x:c r="E545" s="6"/>
      <x:c r="F545" s="17"/>
      <x:c r="G545" s="13"/>
      <x:c r="H545" s="14" t="str">
        <x:f>IF(B545="","",IF(OR(A545="",C545="",NOT(ISNUMBER(F545)),NOT(ISNUMBER(G545))),"Eksik efor",F545*G545))</x:f>
      </x:c>
      <x:c r="I545" s="2" t="n">
        <x:f>IF(OR(B545="",C545="",A545="",A545&gt;'Panel'!$N$5),0,IF(COUNTIFS($B$7:B545,B545,$C$7:C545,C545,$A$7:A545,"&lt;="&amp;'Panel'!$N$5)=1,1,0))</x:f>
        <x:v>0</x:v>
      </x:c>
      <x:c r="J545" s="2" t="n">
        <x:f>IF(OR(B545="",C545="",A545="",A545&gt;'Panel'!$N$5,A545&lt;'Panel'!$N$5-WEEKDAY('Panel'!$N$5,2)+1),0,IF(COUNTIFS($B$7:B545,B545,$C$7:C545,C545,$A$7:A545,"&gt;="&amp;('Panel'!$N$5-WEEKDAY('Panel'!$N$5,2)+1),$A$7:A545,"&lt;="&amp;'Panel'!$N$5)=1,1,0))</x:f>
        <x:v>0</x:v>
      </x:c>
    </x:row>
    <x:row r="546" ht="22" customHeight="1">
      <x:c r="A546" s="7"/>
      <x:c r="B546" s="6"/>
      <x:c r="C546" s="6"/>
      <x:c r="D546" s="6"/>
      <x:c r="E546" s="6"/>
      <x:c r="F546" s="17"/>
      <x:c r="G546" s="13"/>
      <x:c r="H546" s="14" t="str">
        <x:f>IF(B546="","",IF(OR(A546="",C546="",NOT(ISNUMBER(F546)),NOT(ISNUMBER(G546))),"Eksik efor",F546*G546))</x:f>
      </x:c>
      <x:c r="I546" s="2" t="n">
        <x:f>IF(OR(B546="",C546="",A546="",A546&gt;'Panel'!$N$5),0,IF(COUNTIFS($B$7:B546,B546,$C$7:C546,C546,$A$7:A546,"&lt;="&amp;'Panel'!$N$5)=1,1,0))</x:f>
        <x:v>0</x:v>
      </x:c>
      <x:c r="J546" s="2" t="n">
        <x:f>IF(OR(B546="",C546="",A546="",A546&gt;'Panel'!$N$5,A546&lt;'Panel'!$N$5-WEEKDAY('Panel'!$N$5,2)+1),0,IF(COUNTIFS($B$7:B546,B546,$C$7:C546,C546,$A$7:A546,"&gt;="&amp;('Panel'!$N$5-WEEKDAY('Panel'!$N$5,2)+1),$A$7:A546,"&lt;="&amp;'Panel'!$N$5)=1,1,0))</x:f>
        <x:v>0</x:v>
      </x:c>
    </x:row>
    <x:row r="547" ht="22" customHeight="1">
      <x:c r="A547" s="7"/>
      <x:c r="B547" s="6"/>
      <x:c r="C547" s="6"/>
      <x:c r="D547" s="6"/>
      <x:c r="E547" s="6"/>
      <x:c r="F547" s="17"/>
      <x:c r="G547" s="13"/>
      <x:c r="H547" s="14" t="str">
        <x:f>IF(B547="","",IF(OR(A547="",C547="",NOT(ISNUMBER(F547)),NOT(ISNUMBER(G547))),"Eksik efor",F547*G547))</x:f>
      </x:c>
      <x:c r="I547" s="2" t="n">
        <x:f>IF(OR(B547="",C547="",A547="",A547&gt;'Panel'!$N$5),0,IF(COUNTIFS($B$7:B547,B547,$C$7:C547,C547,$A$7:A547,"&lt;="&amp;'Panel'!$N$5)=1,1,0))</x:f>
        <x:v>0</x:v>
      </x:c>
      <x:c r="J547" s="2" t="n">
        <x:f>IF(OR(B547="",C547="",A547="",A547&gt;'Panel'!$N$5,A547&lt;'Panel'!$N$5-WEEKDAY('Panel'!$N$5,2)+1),0,IF(COUNTIFS($B$7:B547,B547,$C$7:C547,C547,$A$7:A547,"&gt;="&amp;('Panel'!$N$5-WEEKDAY('Panel'!$N$5,2)+1),$A$7:A547,"&lt;="&amp;'Panel'!$N$5)=1,1,0))</x:f>
        <x:v>0</x:v>
      </x:c>
    </x:row>
    <x:row r="548" ht="22" customHeight="1">
      <x:c r="A548" s="7"/>
      <x:c r="B548" s="6"/>
      <x:c r="C548" s="6"/>
      <x:c r="D548" s="6"/>
      <x:c r="E548" s="6"/>
      <x:c r="F548" s="17"/>
      <x:c r="G548" s="13"/>
      <x:c r="H548" s="14" t="str">
        <x:f>IF(B548="","",IF(OR(A548="",C548="",NOT(ISNUMBER(F548)),NOT(ISNUMBER(G548))),"Eksik efor",F548*G548))</x:f>
      </x:c>
      <x:c r="I548" s="2" t="n">
        <x:f>IF(OR(B548="",C548="",A548="",A548&gt;'Panel'!$N$5),0,IF(COUNTIFS($B$7:B548,B548,$C$7:C548,C548,$A$7:A548,"&lt;="&amp;'Panel'!$N$5)=1,1,0))</x:f>
        <x:v>0</x:v>
      </x:c>
      <x:c r="J548" s="2" t="n">
        <x:f>IF(OR(B548="",C548="",A548="",A548&gt;'Panel'!$N$5,A548&lt;'Panel'!$N$5-WEEKDAY('Panel'!$N$5,2)+1),0,IF(COUNTIFS($B$7:B548,B548,$C$7:C548,C548,$A$7:A548,"&gt;="&amp;('Panel'!$N$5-WEEKDAY('Panel'!$N$5,2)+1),$A$7:A548,"&lt;="&amp;'Panel'!$N$5)=1,1,0))</x:f>
        <x:v>0</x:v>
      </x:c>
    </x:row>
    <x:row r="549" ht="22" customHeight="1">
      <x:c r="A549" s="7"/>
      <x:c r="B549" s="6"/>
      <x:c r="C549" s="6"/>
      <x:c r="D549" s="6"/>
      <x:c r="E549" s="6"/>
      <x:c r="F549" s="17"/>
      <x:c r="G549" s="13"/>
      <x:c r="H549" s="14" t="str">
        <x:f>IF(B549="","",IF(OR(A549="",C549="",NOT(ISNUMBER(F549)),NOT(ISNUMBER(G549))),"Eksik efor",F549*G549))</x:f>
      </x:c>
      <x:c r="I549" s="2" t="n">
        <x:f>IF(OR(B549="",C549="",A549="",A549&gt;'Panel'!$N$5),0,IF(COUNTIFS($B$7:B549,B549,$C$7:C549,C549,$A$7:A549,"&lt;="&amp;'Panel'!$N$5)=1,1,0))</x:f>
        <x:v>0</x:v>
      </x:c>
      <x:c r="J549" s="2" t="n">
        <x:f>IF(OR(B549="",C549="",A549="",A549&gt;'Panel'!$N$5,A549&lt;'Panel'!$N$5-WEEKDAY('Panel'!$N$5,2)+1),0,IF(COUNTIFS($B$7:B549,B549,$C$7:C549,C549,$A$7:A549,"&gt;="&amp;('Panel'!$N$5-WEEKDAY('Panel'!$N$5,2)+1),$A$7:A549,"&lt;="&amp;'Panel'!$N$5)=1,1,0))</x:f>
        <x:v>0</x:v>
      </x:c>
    </x:row>
    <x:row r="550" ht="22" customHeight="1">
      <x:c r="A550" s="7"/>
      <x:c r="B550" s="6"/>
      <x:c r="C550" s="6"/>
      <x:c r="D550" s="6"/>
      <x:c r="E550" s="6"/>
      <x:c r="F550" s="17"/>
      <x:c r="G550" s="13"/>
      <x:c r="H550" s="14" t="str">
        <x:f>IF(B550="","",IF(OR(A550="",C550="",NOT(ISNUMBER(F550)),NOT(ISNUMBER(G550))),"Eksik efor",F550*G550))</x:f>
      </x:c>
      <x:c r="I550" s="2" t="n">
        <x:f>IF(OR(B550="",C550="",A550="",A550&gt;'Panel'!$N$5),0,IF(COUNTIFS($B$7:B550,B550,$C$7:C550,C550,$A$7:A550,"&lt;="&amp;'Panel'!$N$5)=1,1,0))</x:f>
        <x:v>0</x:v>
      </x:c>
      <x:c r="J550" s="2" t="n">
        <x:f>IF(OR(B550="",C550="",A550="",A550&gt;'Panel'!$N$5,A550&lt;'Panel'!$N$5-WEEKDAY('Panel'!$N$5,2)+1),0,IF(COUNTIFS($B$7:B550,B550,$C$7:C550,C550,$A$7:A550,"&gt;="&amp;('Panel'!$N$5-WEEKDAY('Panel'!$N$5,2)+1),$A$7:A550,"&lt;="&amp;'Panel'!$N$5)=1,1,0))</x:f>
        <x:v>0</x:v>
      </x:c>
    </x:row>
    <x:row r="551" ht="22" customHeight="1">
      <x:c r="A551" s="7"/>
      <x:c r="B551" s="6"/>
      <x:c r="C551" s="6"/>
      <x:c r="D551" s="6"/>
      <x:c r="E551" s="6"/>
      <x:c r="F551" s="17"/>
      <x:c r="G551" s="13"/>
      <x:c r="H551" s="14" t="str">
        <x:f>IF(B551="","",IF(OR(A551="",C551="",NOT(ISNUMBER(F551)),NOT(ISNUMBER(G551))),"Eksik efor",F551*G551))</x:f>
      </x:c>
      <x:c r="I551" s="2" t="n">
        <x:f>IF(OR(B551="",C551="",A551="",A551&gt;'Panel'!$N$5),0,IF(COUNTIFS($B$7:B551,B551,$C$7:C551,C551,$A$7:A551,"&lt;="&amp;'Panel'!$N$5)=1,1,0))</x:f>
        <x:v>0</x:v>
      </x:c>
      <x:c r="J551" s="2" t="n">
        <x:f>IF(OR(B551="",C551="",A551="",A551&gt;'Panel'!$N$5,A551&lt;'Panel'!$N$5-WEEKDAY('Panel'!$N$5,2)+1),0,IF(COUNTIFS($B$7:B551,B551,$C$7:C551,C551,$A$7:A551,"&gt;="&amp;('Panel'!$N$5-WEEKDAY('Panel'!$N$5,2)+1),$A$7:A551,"&lt;="&amp;'Panel'!$N$5)=1,1,0))</x:f>
        <x:v>0</x:v>
      </x:c>
    </x:row>
    <x:row r="552" ht="22" customHeight="1">
      <x:c r="A552" s="7"/>
      <x:c r="B552" s="6"/>
      <x:c r="C552" s="6"/>
      <x:c r="D552" s="6"/>
      <x:c r="E552" s="6"/>
      <x:c r="F552" s="17"/>
      <x:c r="G552" s="13"/>
      <x:c r="H552" s="14" t="str">
        <x:f>IF(B552="","",IF(OR(A552="",C552="",NOT(ISNUMBER(F552)),NOT(ISNUMBER(G552))),"Eksik efor",F552*G552))</x:f>
      </x:c>
      <x:c r="I552" s="2" t="n">
        <x:f>IF(OR(B552="",C552="",A552="",A552&gt;'Panel'!$N$5),0,IF(COUNTIFS($B$7:B552,B552,$C$7:C552,C552,$A$7:A552,"&lt;="&amp;'Panel'!$N$5)=1,1,0))</x:f>
        <x:v>0</x:v>
      </x:c>
      <x:c r="J552" s="2" t="n">
        <x:f>IF(OR(B552="",C552="",A552="",A552&gt;'Panel'!$N$5,A552&lt;'Panel'!$N$5-WEEKDAY('Panel'!$N$5,2)+1),0,IF(COUNTIFS($B$7:B552,B552,$C$7:C552,C552,$A$7:A552,"&gt;="&amp;('Panel'!$N$5-WEEKDAY('Panel'!$N$5,2)+1),$A$7:A552,"&lt;="&amp;'Panel'!$N$5)=1,1,0))</x:f>
        <x:v>0</x:v>
      </x:c>
    </x:row>
    <x:row r="553" ht="22" customHeight="1">
      <x:c r="A553" s="7"/>
      <x:c r="B553" s="6"/>
      <x:c r="C553" s="6"/>
      <x:c r="D553" s="6"/>
      <x:c r="E553" s="6"/>
      <x:c r="F553" s="17"/>
      <x:c r="G553" s="13"/>
      <x:c r="H553" s="14" t="str">
        <x:f>IF(B553="","",IF(OR(A553="",C553="",NOT(ISNUMBER(F553)),NOT(ISNUMBER(G553))),"Eksik efor",F553*G553))</x:f>
      </x:c>
      <x:c r="I553" s="2" t="n">
        <x:f>IF(OR(B553="",C553="",A553="",A553&gt;'Panel'!$N$5),0,IF(COUNTIFS($B$7:B553,B553,$C$7:C553,C553,$A$7:A553,"&lt;="&amp;'Panel'!$N$5)=1,1,0))</x:f>
        <x:v>0</x:v>
      </x:c>
      <x:c r="J553" s="2" t="n">
        <x:f>IF(OR(B553="",C553="",A553="",A553&gt;'Panel'!$N$5,A553&lt;'Panel'!$N$5-WEEKDAY('Panel'!$N$5,2)+1),0,IF(COUNTIFS($B$7:B553,B553,$C$7:C553,C553,$A$7:A553,"&gt;="&amp;('Panel'!$N$5-WEEKDAY('Panel'!$N$5,2)+1),$A$7:A553,"&lt;="&amp;'Panel'!$N$5)=1,1,0))</x:f>
        <x:v>0</x:v>
      </x:c>
    </x:row>
    <x:row r="554" ht="22" customHeight="1">
      <x:c r="A554" s="7"/>
      <x:c r="B554" s="6"/>
      <x:c r="C554" s="6"/>
      <x:c r="D554" s="6"/>
      <x:c r="E554" s="6"/>
      <x:c r="F554" s="17"/>
      <x:c r="G554" s="13"/>
      <x:c r="H554" s="14" t="str">
        <x:f>IF(B554="","",IF(OR(A554="",C554="",NOT(ISNUMBER(F554)),NOT(ISNUMBER(G554))),"Eksik efor",F554*G554))</x:f>
      </x:c>
      <x:c r="I554" s="2" t="n">
        <x:f>IF(OR(B554="",C554="",A554="",A554&gt;'Panel'!$N$5),0,IF(COUNTIFS($B$7:B554,B554,$C$7:C554,C554,$A$7:A554,"&lt;="&amp;'Panel'!$N$5)=1,1,0))</x:f>
        <x:v>0</x:v>
      </x:c>
      <x:c r="J554" s="2" t="n">
        <x:f>IF(OR(B554="",C554="",A554="",A554&gt;'Panel'!$N$5,A554&lt;'Panel'!$N$5-WEEKDAY('Panel'!$N$5,2)+1),0,IF(COUNTIFS($B$7:B554,B554,$C$7:C554,C554,$A$7:A554,"&gt;="&amp;('Panel'!$N$5-WEEKDAY('Panel'!$N$5,2)+1),$A$7:A554,"&lt;="&amp;'Panel'!$N$5)=1,1,0))</x:f>
        <x:v>0</x:v>
      </x:c>
    </x:row>
    <x:row r="555" ht="22" customHeight="1">
      <x:c r="A555" s="7"/>
      <x:c r="B555" s="6"/>
      <x:c r="C555" s="6"/>
      <x:c r="D555" s="6"/>
      <x:c r="E555" s="6"/>
      <x:c r="F555" s="17"/>
      <x:c r="G555" s="13"/>
      <x:c r="H555" s="14" t="str">
        <x:f>IF(B555="","",IF(OR(A555="",C555="",NOT(ISNUMBER(F555)),NOT(ISNUMBER(G555))),"Eksik efor",F555*G555))</x:f>
      </x:c>
      <x:c r="I555" s="2" t="n">
        <x:f>IF(OR(B555="",C555="",A555="",A555&gt;'Panel'!$N$5),0,IF(COUNTIFS($B$7:B555,B555,$C$7:C555,C555,$A$7:A555,"&lt;="&amp;'Panel'!$N$5)=1,1,0))</x:f>
        <x:v>0</x:v>
      </x:c>
      <x:c r="J555" s="2" t="n">
        <x:f>IF(OR(B555="",C555="",A555="",A555&gt;'Panel'!$N$5,A555&lt;'Panel'!$N$5-WEEKDAY('Panel'!$N$5,2)+1),0,IF(COUNTIFS($B$7:B555,B555,$C$7:C555,C555,$A$7:A555,"&gt;="&amp;('Panel'!$N$5-WEEKDAY('Panel'!$N$5,2)+1),$A$7:A555,"&lt;="&amp;'Panel'!$N$5)=1,1,0))</x:f>
        <x:v>0</x:v>
      </x:c>
    </x:row>
    <x:row r="556" ht="22" customHeight="1">
      <x:c r="A556" s="7"/>
      <x:c r="B556" s="6"/>
      <x:c r="C556" s="6"/>
      <x:c r="D556" s="6"/>
      <x:c r="E556" s="6"/>
      <x:c r="F556" s="17"/>
      <x:c r="G556" s="13"/>
      <x:c r="H556" s="14" t="str">
        <x:f>IF(B556="","",IF(OR(A556="",C556="",NOT(ISNUMBER(F556)),NOT(ISNUMBER(G556))),"Eksik efor",F556*G556))</x:f>
      </x:c>
      <x:c r="I556" s="2" t="n">
        <x:f>IF(OR(B556="",C556="",A556="",A556&gt;'Panel'!$N$5),0,IF(COUNTIFS($B$7:B556,B556,$C$7:C556,C556,$A$7:A556,"&lt;="&amp;'Panel'!$N$5)=1,1,0))</x:f>
        <x:v>0</x:v>
      </x:c>
      <x:c r="J556" s="2" t="n">
        <x:f>IF(OR(B556="",C556="",A556="",A556&gt;'Panel'!$N$5,A556&lt;'Panel'!$N$5-WEEKDAY('Panel'!$N$5,2)+1),0,IF(COUNTIFS($B$7:B556,B556,$C$7:C556,C556,$A$7:A556,"&gt;="&amp;('Panel'!$N$5-WEEKDAY('Panel'!$N$5,2)+1),$A$7:A556,"&lt;="&amp;'Panel'!$N$5)=1,1,0))</x:f>
        <x:v>0</x:v>
      </x:c>
    </x:row>
    <x:row r="557" ht="22" customHeight="1">
      <x:c r="A557" s="7"/>
      <x:c r="B557" s="6"/>
      <x:c r="C557" s="6"/>
      <x:c r="D557" s="6"/>
      <x:c r="E557" s="6"/>
      <x:c r="F557" s="17"/>
      <x:c r="G557" s="13"/>
      <x:c r="H557" s="14" t="str">
        <x:f>IF(B557="","",IF(OR(A557="",C557="",NOT(ISNUMBER(F557)),NOT(ISNUMBER(G557))),"Eksik efor",F557*G557))</x:f>
      </x:c>
      <x:c r="I557" s="2" t="n">
        <x:f>IF(OR(B557="",C557="",A557="",A557&gt;'Panel'!$N$5),0,IF(COUNTIFS($B$7:B557,B557,$C$7:C557,C557,$A$7:A557,"&lt;="&amp;'Panel'!$N$5)=1,1,0))</x:f>
        <x:v>0</x:v>
      </x:c>
      <x:c r="J557" s="2" t="n">
        <x:f>IF(OR(B557="",C557="",A557="",A557&gt;'Panel'!$N$5,A557&lt;'Panel'!$N$5-WEEKDAY('Panel'!$N$5,2)+1),0,IF(COUNTIFS($B$7:B557,B557,$C$7:C557,C557,$A$7:A557,"&gt;="&amp;('Panel'!$N$5-WEEKDAY('Panel'!$N$5,2)+1),$A$7:A557,"&lt;="&amp;'Panel'!$N$5)=1,1,0))</x:f>
        <x:v>0</x:v>
      </x:c>
    </x:row>
    <x:row r="558" ht="22" customHeight="1">
      <x:c r="A558" s="7"/>
      <x:c r="B558" s="6"/>
      <x:c r="C558" s="6"/>
      <x:c r="D558" s="6"/>
      <x:c r="E558" s="6"/>
      <x:c r="F558" s="17"/>
      <x:c r="G558" s="13"/>
      <x:c r="H558" s="14" t="str">
        <x:f>IF(B558="","",IF(OR(A558="",C558="",NOT(ISNUMBER(F558)),NOT(ISNUMBER(G558))),"Eksik efor",F558*G558))</x:f>
      </x:c>
      <x:c r="I558" s="2" t="n">
        <x:f>IF(OR(B558="",C558="",A558="",A558&gt;'Panel'!$N$5),0,IF(COUNTIFS($B$7:B558,B558,$C$7:C558,C558,$A$7:A558,"&lt;="&amp;'Panel'!$N$5)=1,1,0))</x:f>
        <x:v>0</x:v>
      </x:c>
      <x:c r="J558" s="2" t="n">
        <x:f>IF(OR(B558="",C558="",A558="",A558&gt;'Panel'!$N$5,A558&lt;'Panel'!$N$5-WEEKDAY('Panel'!$N$5,2)+1),0,IF(COUNTIFS($B$7:B558,B558,$C$7:C558,C558,$A$7:A558,"&gt;="&amp;('Panel'!$N$5-WEEKDAY('Panel'!$N$5,2)+1),$A$7:A558,"&lt;="&amp;'Panel'!$N$5)=1,1,0))</x:f>
        <x:v>0</x:v>
      </x:c>
    </x:row>
    <x:row r="559" ht="22" customHeight="1">
      <x:c r="A559" s="7"/>
      <x:c r="B559" s="6"/>
      <x:c r="C559" s="6"/>
      <x:c r="D559" s="6"/>
      <x:c r="E559" s="6"/>
      <x:c r="F559" s="17"/>
      <x:c r="G559" s="13"/>
      <x:c r="H559" s="14" t="str">
        <x:f>IF(B559="","",IF(OR(A559="",C559="",NOT(ISNUMBER(F559)),NOT(ISNUMBER(G559))),"Eksik efor",F559*G559))</x:f>
      </x:c>
      <x:c r="I559" s="2" t="n">
        <x:f>IF(OR(B559="",C559="",A559="",A559&gt;'Panel'!$N$5),0,IF(COUNTIFS($B$7:B559,B559,$C$7:C559,C559,$A$7:A559,"&lt;="&amp;'Panel'!$N$5)=1,1,0))</x:f>
        <x:v>0</x:v>
      </x:c>
      <x:c r="J559" s="2" t="n">
        <x:f>IF(OR(B559="",C559="",A559="",A559&gt;'Panel'!$N$5,A559&lt;'Panel'!$N$5-WEEKDAY('Panel'!$N$5,2)+1),0,IF(COUNTIFS($B$7:B559,B559,$C$7:C559,C559,$A$7:A559,"&gt;="&amp;('Panel'!$N$5-WEEKDAY('Panel'!$N$5,2)+1),$A$7:A559,"&lt;="&amp;'Panel'!$N$5)=1,1,0))</x:f>
        <x:v>0</x:v>
      </x:c>
    </x:row>
    <x:row r="560" ht="22" customHeight="1">
      <x:c r="A560" s="7"/>
      <x:c r="B560" s="6"/>
      <x:c r="C560" s="6"/>
      <x:c r="D560" s="6"/>
      <x:c r="E560" s="6"/>
      <x:c r="F560" s="17"/>
      <x:c r="G560" s="13"/>
      <x:c r="H560" s="14" t="str">
        <x:f>IF(B560="","",IF(OR(A560="",C560="",NOT(ISNUMBER(F560)),NOT(ISNUMBER(G560))),"Eksik efor",F560*G560))</x:f>
      </x:c>
      <x:c r="I560" s="2" t="n">
        <x:f>IF(OR(B560="",C560="",A560="",A560&gt;'Panel'!$N$5),0,IF(COUNTIFS($B$7:B560,B560,$C$7:C560,C560,$A$7:A560,"&lt;="&amp;'Panel'!$N$5)=1,1,0))</x:f>
        <x:v>0</x:v>
      </x:c>
      <x:c r="J560" s="2" t="n">
        <x:f>IF(OR(B560="",C560="",A560="",A560&gt;'Panel'!$N$5,A560&lt;'Panel'!$N$5-WEEKDAY('Panel'!$N$5,2)+1),0,IF(COUNTIFS($B$7:B560,B560,$C$7:C560,C560,$A$7:A560,"&gt;="&amp;('Panel'!$N$5-WEEKDAY('Panel'!$N$5,2)+1),$A$7:A560,"&lt;="&amp;'Panel'!$N$5)=1,1,0))</x:f>
        <x:v>0</x:v>
      </x:c>
    </x:row>
    <x:row r="561" ht="22" customHeight="1">
      <x:c r="A561" s="7"/>
      <x:c r="B561" s="6"/>
      <x:c r="C561" s="6"/>
      <x:c r="D561" s="6"/>
      <x:c r="E561" s="6"/>
      <x:c r="F561" s="17"/>
      <x:c r="G561" s="13"/>
      <x:c r="H561" s="14" t="str">
        <x:f>IF(B561="","",IF(OR(A561="",C561="",NOT(ISNUMBER(F561)),NOT(ISNUMBER(G561))),"Eksik efor",F561*G561))</x:f>
      </x:c>
      <x:c r="I561" s="2" t="n">
        <x:f>IF(OR(B561="",C561="",A561="",A561&gt;'Panel'!$N$5),0,IF(COUNTIFS($B$7:B561,B561,$C$7:C561,C561,$A$7:A561,"&lt;="&amp;'Panel'!$N$5)=1,1,0))</x:f>
        <x:v>0</x:v>
      </x:c>
      <x:c r="J561" s="2" t="n">
        <x:f>IF(OR(B561="",C561="",A561="",A561&gt;'Panel'!$N$5,A561&lt;'Panel'!$N$5-WEEKDAY('Panel'!$N$5,2)+1),0,IF(COUNTIFS($B$7:B561,B561,$C$7:C561,C561,$A$7:A561,"&gt;="&amp;('Panel'!$N$5-WEEKDAY('Panel'!$N$5,2)+1),$A$7:A561,"&lt;="&amp;'Panel'!$N$5)=1,1,0))</x:f>
        <x:v>0</x:v>
      </x:c>
    </x:row>
    <x:row r="562" ht="22" customHeight="1">
      <x:c r="A562" s="7"/>
      <x:c r="B562" s="6"/>
      <x:c r="C562" s="6"/>
      <x:c r="D562" s="6"/>
      <x:c r="E562" s="6"/>
      <x:c r="F562" s="17"/>
      <x:c r="G562" s="13"/>
      <x:c r="H562" s="14" t="str">
        <x:f>IF(B562="","",IF(OR(A562="",C562="",NOT(ISNUMBER(F562)),NOT(ISNUMBER(G562))),"Eksik efor",F562*G562))</x:f>
      </x:c>
      <x:c r="I562" s="2" t="n">
        <x:f>IF(OR(B562="",C562="",A562="",A562&gt;'Panel'!$N$5),0,IF(COUNTIFS($B$7:B562,B562,$C$7:C562,C562,$A$7:A562,"&lt;="&amp;'Panel'!$N$5)=1,1,0))</x:f>
        <x:v>0</x:v>
      </x:c>
      <x:c r="J562" s="2" t="n">
        <x:f>IF(OR(B562="",C562="",A562="",A562&gt;'Panel'!$N$5,A562&lt;'Panel'!$N$5-WEEKDAY('Panel'!$N$5,2)+1),0,IF(COUNTIFS($B$7:B562,B562,$C$7:C562,C562,$A$7:A562,"&gt;="&amp;('Panel'!$N$5-WEEKDAY('Panel'!$N$5,2)+1),$A$7:A562,"&lt;="&amp;'Panel'!$N$5)=1,1,0))</x:f>
        <x:v>0</x:v>
      </x:c>
    </x:row>
    <x:row r="563" ht="22" customHeight="1">
      <x:c r="A563" s="7"/>
      <x:c r="B563" s="6"/>
      <x:c r="C563" s="6"/>
      <x:c r="D563" s="6"/>
      <x:c r="E563" s="6"/>
      <x:c r="F563" s="17"/>
      <x:c r="G563" s="13"/>
      <x:c r="H563" s="14" t="str">
        <x:f>IF(B563="","",IF(OR(A563="",C563="",NOT(ISNUMBER(F563)),NOT(ISNUMBER(G563))),"Eksik efor",F563*G563))</x:f>
      </x:c>
      <x:c r="I563" s="2" t="n">
        <x:f>IF(OR(B563="",C563="",A563="",A563&gt;'Panel'!$N$5),0,IF(COUNTIFS($B$7:B563,B563,$C$7:C563,C563,$A$7:A563,"&lt;="&amp;'Panel'!$N$5)=1,1,0))</x:f>
        <x:v>0</x:v>
      </x:c>
      <x:c r="J563" s="2" t="n">
        <x:f>IF(OR(B563="",C563="",A563="",A563&gt;'Panel'!$N$5,A563&lt;'Panel'!$N$5-WEEKDAY('Panel'!$N$5,2)+1),0,IF(COUNTIFS($B$7:B563,B563,$C$7:C563,C563,$A$7:A563,"&gt;="&amp;('Panel'!$N$5-WEEKDAY('Panel'!$N$5,2)+1),$A$7:A563,"&lt;="&amp;'Panel'!$N$5)=1,1,0))</x:f>
        <x:v>0</x:v>
      </x:c>
    </x:row>
    <x:row r="564" ht="22" customHeight="1">
      <x:c r="A564" s="7"/>
      <x:c r="B564" s="6"/>
      <x:c r="C564" s="6"/>
      <x:c r="D564" s="6"/>
      <x:c r="E564" s="6"/>
      <x:c r="F564" s="17"/>
      <x:c r="G564" s="13"/>
      <x:c r="H564" s="14" t="str">
        <x:f>IF(B564="","",IF(OR(A564="",C564="",NOT(ISNUMBER(F564)),NOT(ISNUMBER(G564))),"Eksik efor",F564*G564))</x:f>
      </x:c>
      <x:c r="I564" s="2" t="n">
        <x:f>IF(OR(B564="",C564="",A564="",A564&gt;'Panel'!$N$5),0,IF(COUNTIFS($B$7:B564,B564,$C$7:C564,C564,$A$7:A564,"&lt;="&amp;'Panel'!$N$5)=1,1,0))</x:f>
        <x:v>0</x:v>
      </x:c>
      <x:c r="J564" s="2" t="n">
        <x:f>IF(OR(B564="",C564="",A564="",A564&gt;'Panel'!$N$5,A564&lt;'Panel'!$N$5-WEEKDAY('Panel'!$N$5,2)+1),0,IF(COUNTIFS($B$7:B564,B564,$C$7:C564,C564,$A$7:A564,"&gt;="&amp;('Panel'!$N$5-WEEKDAY('Panel'!$N$5,2)+1),$A$7:A564,"&lt;="&amp;'Panel'!$N$5)=1,1,0))</x:f>
        <x:v>0</x:v>
      </x:c>
    </x:row>
    <x:row r="565" ht="22" customHeight="1">
      <x:c r="A565" s="7"/>
      <x:c r="B565" s="6"/>
      <x:c r="C565" s="6"/>
      <x:c r="D565" s="6"/>
      <x:c r="E565" s="6"/>
      <x:c r="F565" s="17"/>
      <x:c r="G565" s="13"/>
      <x:c r="H565" s="14" t="str">
        <x:f>IF(B565="","",IF(OR(A565="",C565="",NOT(ISNUMBER(F565)),NOT(ISNUMBER(G565))),"Eksik efor",F565*G565))</x:f>
      </x:c>
      <x:c r="I565" s="2" t="n">
        <x:f>IF(OR(B565="",C565="",A565="",A565&gt;'Panel'!$N$5),0,IF(COUNTIFS($B$7:B565,B565,$C$7:C565,C565,$A$7:A565,"&lt;="&amp;'Panel'!$N$5)=1,1,0))</x:f>
        <x:v>0</x:v>
      </x:c>
      <x:c r="J565" s="2" t="n">
        <x:f>IF(OR(B565="",C565="",A565="",A565&gt;'Panel'!$N$5,A565&lt;'Panel'!$N$5-WEEKDAY('Panel'!$N$5,2)+1),0,IF(COUNTIFS($B$7:B565,B565,$C$7:C565,C565,$A$7:A565,"&gt;="&amp;('Panel'!$N$5-WEEKDAY('Panel'!$N$5,2)+1),$A$7:A565,"&lt;="&amp;'Panel'!$N$5)=1,1,0))</x:f>
        <x:v>0</x:v>
      </x:c>
    </x:row>
    <x:row r="566" ht="22" customHeight="1">
      <x:c r="A566" s="7"/>
      <x:c r="B566" s="6"/>
      <x:c r="C566" s="6"/>
      <x:c r="D566" s="6"/>
      <x:c r="E566" s="6"/>
      <x:c r="F566" s="17"/>
      <x:c r="G566" s="13"/>
      <x:c r="H566" s="14" t="str">
        <x:f>IF(B566="","",IF(OR(A566="",C566="",NOT(ISNUMBER(F566)),NOT(ISNUMBER(G566))),"Eksik efor",F566*G566))</x:f>
      </x:c>
      <x:c r="I566" s="2" t="n">
        <x:f>IF(OR(B566="",C566="",A566="",A566&gt;'Panel'!$N$5),0,IF(COUNTIFS($B$7:B566,B566,$C$7:C566,C566,$A$7:A566,"&lt;="&amp;'Panel'!$N$5)=1,1,0))</x:f>
        <x:v>0</x:v>
      </x:c>
      <x:c r="J566" s="2" t="n">
        <x:f>IF(OR(B566="",C566="",A566="",A566&gt;'Panel'!$N$5,A566&lt;'Panel'!$N$5-WEEKDAY('Panel'!$N$5,2)+1),0,IF(COUNTIFS($B$7:B566,B566,$C$7:C566,C566,$A$7:A566,"&gt;="&amp;('Panel'!$N$5-WEEKDAY('Panel'!$N$5,2)+1),$A$7:A566,"&lt;="&amp;'Panel'!$N$5)=1,1,0))</x:f>
        <x:v>0</x:v>
      </x:c>
    </x:row>
    <x:row r="567" ht="22" customHeight="1">
      <x:c r="A567" s="7"/>
      <x:c r="B567" s="6"/>
      <x:c r="C567" s="6"/>
      <x:c r="D567" s="6"/>
      <x:c r="E567" s="6"/>
      <x:c r="F567" s="17"/>
      <x:c r="G567" s="13"/>
      <x:c r="H567" s="14" t="str">
        <x:f>IF(B567="","",IF(OR(A567="",C567="",NOT(ISNUMBER(F567)),NOT(ISNUMBER(G567))),"Eksik efor",F567*G567))</x:f>
      </x:c>
      <x:c r="I567" s="2" t="n">
        <x:f>IF(OR(B567="",C567="",A567="",A567&gt;'Panel'!$N$5),0,IF(COUNTIFS($B$7:B567,B567,$C$7:C567,C567,$A$7:A567,"&lt;="&amp;'Panel'!$N$5)=1,1,0))</x:f>
        <x:v>0</x:v>
      </x:c>
      <x:c r="J567" s="2" t="n">
        <x:f>IF(OR(B567="",C567="",A567="",A567&gt;'Panel'!$N$5,A567&lt;'Panel'!$N$5-WEEKDAY('Panel'!$N$5,2)+1),0,IF(COUNTIFS($B$7:B567,B567,$C$7:C567,C567,$A$7:A567,"&gt;="&amp;('Panel'!$N$5-WEEKDAY('Panel'!$N$5,2)+1),$A$7:A567,"&lt;="&amp;'Panel'!$N$5)=1,1,0))</x:f>
        <x:v>0</x:v>
      </x:c>
    </x:row>
    <x:row r="568" ht="22" customHeight="1">
      <x:c r="A568" s="7"/>
      <x:c r="B568" s="6"/>
      <x:c r="C568" s="6"/>
      <x:c r="D568" s="6"/>
      <x:c r="E568" s="6"/>
      <x:c r="F568" s="17"/>
      <x:c r="G568" s="13"/>
      <x:c r="H568" s="14" t="str">
        <x:f>IF(B568="","",IF(OR(A568="",C568="",NOT(ISNUMBER(F568)),NOT(ISNUMBER(G568))),"Eksik efor",F568*G568))</x:f>
      </x:c>
      <x:c r="I568" s="2" t="n">
        <x:f>IF(OR(B568="",C568="",A568="",A568&gt;'Panel'!$N$5),0,IF(COUNTIFS($B$7:B568,B568,$C$7:C568,C568,$A$7:A568,"&lt;="&amp;'Panel'!$N$5)=1,1,0))</x:f>
        <x:v>0</x:v>
      </x:c>
      <x:c r="J568" s="2" t="n">
        <x:f>IF(OR(B568="",C568="",A568="",A568&gt;'Panel'!$N$5,A568&lt;'Panel'!$N$5-WEEKDAY('Panel'!$N$5,2)+1),0,IF(COUNTIFS($B$7:B568,B568,$C$7:C568,C568,$A$7:A568,"&gt;="&amp;('Panel'!$N$5-WEEKDAY('Panel'!$N$5,2)+1),$A$7:A568,"&lt;="&amp;'Panel'!$N$5)=1,1,0))</x:f>
        <x:v>0</x:v>
      </x:c>
    </x:row>
    <x:row r="569" ht="22" customHeight="1">
      <x:c r="A569" s="7"/>
      <x:c r="B569" s="6"/>
      <x:c r="C569" s="6"/>
      <x:c r="D569" s="6"/>
      <x:c r="E569" s="6"/>
      <x:c r="F569" s="17"/>
      <x:c r="G569" s="13"/>
      <x:c r="H569" s="14" t="str">
        <x:f>IF(B569="","",IF(OR(A569="",C569="",NOT(ISNUMBER(F569)),NOT(ISNUMBER(G569))),"Eksik efor",F569*G569))</x:f>
      </x:c>
      <x:c r="I569" s="2" t="n">
        <x:f>IF(OR(B569="",C569="",A569="",A569&gt;'Panel'!$N$5),0,IF(COUNTIFS($B$7:B569,B569,$C$7:C569,C569,$A$7:A569,"&lt;="&amp;'Panel'!$N$5)=1,1,0))</x:f>
        <x:v>0</x:v>
      </x:c>
      <x:c r="J569" s="2" t="n">
        <x:f>IF(OR(B569="",C569="",A569="",A569&gt;'Panel'!$N$5,A569&lt;'Panel'!$N$5-WEEKDAY('Panel'!$N$5,2)+1),0,IF(COUNTIFS($B$7:B569,B569,$C$7:C569,C569,$A$7:A569,"&gt;="&amp;('Panel'!$N$5-WEEKDAY('Panel'!$N$5,2)+1),$A$7:A569,"&lt;="&amp;'Panel'!$N$5)=1,1,0))</x:f>
        <x:v>0</x:v>
      </x:c>
    </x:row>
    <x:row r="570" ht="22" customHeight="1">
      <x:c r="A570" s="7"/>
      <x:c r="B570" s="6"/>
      <x:c r="C570" s="6"/>
      <x:c r="D570" s="6"/>
      <x:c r="E570" s="6"/>
      <x:c r="F570" s="17"/>
      <x:c r="G570" s="13"/>
      <x:c r="H570" s="14" t="str">
        <x:f>IF(B570="","",IF(OR(A570="",C570="",NOT(ISNUMBER(F570)),NOT(ISNUMBER(G570))),"Eksik efor",F570*G570))</x:f>
      </x:c>
      <x:c r="I570" s="2" t="n">
        <x:f>IF(OR(B570="",C570="",A570="",A570&gt;'Panel'!$N$5),0,IF(COUNTIFS($B$7:B570,B570,$C$7:C570,C570,$A$7:A570,"&lt;="&amp;'Panel'!$N$5)=1,1,0))</x:f>
        <x:v>0</x:v>
      </x:c>
      <x:c r="J570" s="2" t="n">
        <x:f>IF(OR(B570="",C570="",A570="",A570&gt;'Panel'!$N$5,A570&lt;'Panel'!$N$5-WEEKDAY('Panel'!$N$5,2)+1),0,IF(COUNTIFS($B$7:B570,B570,$C$7:C570,C570,$A$7:A570,"&gt;="&amp;('Panel'!$N$5-WEEKDAY('Panel'!$N$5,2)+1),$A$7:A570,"&lt;="&amp;'Panel'!$N$5)=1,1,0))</x:f>
        <x:v>0</x:v>
      </x:c>
    </x:row>
    <x:row r="571" ht="22" customHeight="1">
      <x:c r="A571" s="7"/>
      <x:c r="B571" s="6"/>
      <x:c r="C571" s="6"/>
      <x:c r="D571" s="6"/>
      <x:c r="E571" s="6"/>
      <x:c r="F571" s="17"/>
      <x:c r="G571" s="13"/>
      <x:c r="H571" s="14" t="str">
        <x:f>IF(B571="","",IF(OR(A571="",C571="",NOT(ISNUMBER(F571)),NOT(ISNUMBER(G571))),"Eksik efor",F571*G571))</x:f>
      </x:c>
      <x:c r="I571" s="2" t="n">
        <x:f>IF(OR(B571="",C571="",A571="",A571&gt;'Panel'!$N$5),0,IF(COUNTIFS($B$7:B571,B571,$C$7:C571,C571,$A$7:A571,"&lt;="&amp;'Panel'!$N$5)=1,1,0))</x:f>
        <x:v>0</x:v>
      </x:c>
      <x:c r="J571" s="2" t="n">
        <x:f>IF(OR(B571="",C571="",A571="",A571&gt;'Panel'!$N$5,A571&lt;'Panel'!$N$5-WEEKDAY('Panel'!$N$5,2)+1),0,IF(COUNTIFS($B$7:B571,B571,$C$7:C571,C571,$A$7:A571,"&gt;="&amp;('Panel'!$N$5-WEEKDAY('Panel'!$N$5,2)+1),$A$7:A571,"&lt;="&amp;'Panel'!$N$5)=1,1,0))</x:f>
        <x:v>0</x:v>
      </x:c>
    </x:row>
    <x:row r="572" ht="22" customHeight="1">
      <x:c r="A572" s="7"/>
      <x:c r="B572" s="6"/>
      <x:c r="C572" s="6"/>
      <x:c r="D572" s="6"/>
      <x:c r="E572" s="6"/>
      <x:c r="F572" s="17"/>
      <x:c r="G572" s="13"/>
      <x:c r="H572" s="14" t="str">
        <x:f>IF(B572="","",IF(OR(A572="",C572="",NOT(ISNUMBER(F572)),NOT(ISNUMBER(G572))),"Eksik efor",F572*G572))</x:f>
      </x:c>
      <x:c r="I572" s="2" t="n">
        <x:f>IF(OR(B572="",C572="",A572="",A572&gt;'Panel'!$N$5),0,IF(COUNTIFS($B$7:B572,B572,$C$7:C572,C572,$A$7:A572,"&lt;="&amp;'Panel'!$N$5)=1,1,0))</x:f>
        <x:v>0</x:v>
      </x:c>
      <x:c r="J572" s="2" t="n">
        <x:f>IF(OR(B572="",C572="",A572="",A572&gt;'Panel'!$N$5,A572&lt;'Panel'!$N$5-WEEKDAY('Panel'!$N$5,2)+1),0,IF(COUNTIFS($B$7:B572,B572,$C$7:C572,C572,$A$7:A572,"&gt;="&amp;('Panel'!$N$5-WEEKDAY('Panel'!$N$5,2)+1),$A$7:A572,"&lt;="&amp;'Panel'!$N$5)=1,1,0))</x:f>
        <x:v>0</x:v>
      </x:c>
    </x:row>
    <x:row r="573" ht="22" customHeight="1">
      <x:c r="A573" s="7"/>
      <x:c r="B573" s="6"/>
      <x:c r="C573" s="6"/>
      <x:c r="D573" s="6"/>
      <x:c r="E573" s="6"/>
      <x:c r="F573" s="17"/>
      <x:c r="G573" s="13"/>
      <x:c r="H573" s="14" t="str">
        <x:f>IF(B573="","",IF(OR(A573="",C573="",NOT(ISNUMBER(F573)),NOT(ISNUMBER(G573))),"Eksik efor",F573*G573))</x:f>
      </x:c>
      <x:c r="I573" s="2" t="n">
        <x:f>IF(OR(B573="",C573="",A573="",A573&gt;'Panel'!$N$5),0,IF(COUNTIFS($B$7:B573,B573,$C$7:C573,C573,$A$7:A573,"&lt;="&amp;'Panel'!$N$5)=1,1,0))</x:f>
        <x:v>0</x:v>
      </x:c>
      <x:c r="J573" s="2" t="n">
        <x:f>IF(OR(B573="",C573="",A573="",A573&gt;'Panel'!$N$5,A573&lt;'Panel'!$N$5-WEEKDAY('Panel'!$N$5,2)+1),0,IF(COUNTIFS($B$7:B573,B573,$C$7:C573,C573,$A$7:A573,"&gt;="&amp;('Panel'!$N$5-WEEKDAY('Panel'!$N$5,2)+1),$A$7:A573,"&lt;="&amp;'Panel'!$N$5)=1,1,0))</x:f>
        <x:v>0</x:v>
      </x:c>
    </x:row>
    <x:row r="574" ht="22" customHeight="1">
      <x:c r="A574" s="7"/>
      <x:c r="B574" s="6"/>
      <x:c r="C574" s="6"/>
      <x:c r="D574" s="6"/>
      <x:c r="E574" s="6"/>
      <x:c r="F574" s="17"/>
      <x:c r="G574" s="13"/>
      <x:c r="H574" s="14" t="str">
        <x:f>IF(B574="","",IF(OR(A574="",C574="",NOT(ISNUMBER(F574)),NOT(ISNUMBER(G574))),"Eksik efor",F574*G574))</x:f>
      </x:c>
      <x:c r="I574" s="2" t="n">
        <x:f>IF(OR(B574="",C574="",A574="",A574&gt;'Panel'!$N$5),0,IF(COUNTIFS($B$7:B574,B574,$C$7:C574,C574,$A$7:A574,"&lt;="&amp;'Panel'!$N$5)=1,1,0))</x:f>
        <x:v>0</x:v>
      </x:c>
      <x:c r="J574" s="2" t="n">
        <x:f>IF(OR(B574="",C574="",A574="",A574&gt;'Panel'!$N$5,A574&lt;'Panel'!$N$5-WEEKDAY('Panel'!$N$5,2)+1),0,IF(COUNTIFS($B$7:B574,B574,$C$7:C574,C574,$A$7:A574,"&gt;="&amp;('Panel'!$N$5-WEEKDAY('Panel'!$N$5,2)+1),$A$7:A574,"&lt;="&amp;'Panel'!$N$5)=1,1,0))</x:f>
        <x:v>0</x:v>
      </x:c>
    </x:row>
    <x:row r="575" ht="22" customHeight="1">
      <x:c r="A575" s="7"/>
      <x:c r="B575" s="6"/>
      <x:c r="C575" s="6"/>
      <x:c r="D575" s="6"/>
      <x:c r="E575" s="6"/>
      <x:c r="F575" s="17"/>
      <x:c r="G575" s="13"/>
      <x:c r="H575" s="14" t="str">
        <x:f>IF(B575="","",IF(OR(A575="",C575="",NOT(ISNUMBER(F575)),NOT(ISNUMBER(G575))),"Eksik efor",F575*G575))</x:f>
      </x:c>
      <x:c r="I575" s="2" t="n">
        <x:f>IF(OR(B575="",C575="",A575="",A575&gt;'Panel'!$N$5),0,IF(COUNTIFS($B$7:B575,B575,$C$7:C575,C575,$A$7:A575,"&lt;="&amp;'Panel'!$N$5)=1,1,0))</x:f>
        <x:v>0</x:v>
      </x:c>
      <x:c r="J575" s="2" t="n">
        <x:f>IF(OR(B575="",C575="",A575="",A575&gt;'Panel'!$N$5,A575&lt;'Panel'!$N$5-WEEKDAY('Panel'!$N$5,2)+1),0,IF(COUNTIFS($B$7:B575,B575,$C$7:C575,C575,$A$7:A575,"&gt;="&amp;('Panel'!$N$5-WEEKDAY('Panel'!$N$5,2)+1),$A$7:A575,"&lt;="&amp;'Panel'!$N$5)=1,1,0))</x:f>
        <x:v>0</x:v>
      </x:c>
    </x:row>
    <x:row r="576" ht="22" customHeight="1">
      <x:c r="A576" s="7"/>
      <x:c r="B576" s="6"/>
      <x:c r="C576" s="6"/>
      <x:c r="D576" s="6"/>
      <x:c r="E576" s="6"/>
      <x:c r="F576" s="17"/>
      <x:c r="G576" s="13"/>
      <x:c r="H576" s="14" t="str">
        <x:f>IF(B576="","",IF(OR(A576="",C576="",NOT(ISNUMBER(F576)),NOT(ISNUMBER(G576))),"Eksik efor",F576*G576))</x:f>
      </x:c>
      <x:c r="I576" s="2" t="n">
        <x:f>IF(OR(B576="",C576="",A576="",A576&gt;'Panel'!$N$5),0,IF(COUNTIFS($B$7:B576,B576,$C$7:C576,C576,$A$7:A576,"&lt;="&amp;'Panel'!$N$5)=1,1,0))</x:f>
        <x:v>0</x:v>
      </x:c>
      <x:c r="J576" s="2" t="n">
        <x:f>IF(OR(B576="",C576="",A576="",A576&gt;'Panel'!$N$5,A576&lt;'Panel'!$N$5-WEEKDAY('Panel'!$N$5,2)+1),0,IF(COUNTIFS($B$7:B576,B576,$C$7:C576,C576,$A$7:A576,"&gt;="&amp;('Panel'!$N$5-WEEKDAY('Panel'!$N$5,2)+1),$A$7:A576,"&lt;="&amp;'Panel'!$N$5)=1,1,0))</x:f>
        <x:v>0</x:v>
      </x:c>
    </x:row>
    <x:row r="577" ht="22" customHeight="1">
      <x:c r="A577" s="7"/>
      <x:c r="B577" s="6"/>
      <x:c r="C577" s="6"/>
      <x:c r="D577" s="6"/>
      <x:c r="E577" s="6"/>
      <x:c r="F577" s="17"/>
      <x:c r="G577" s="13"/>
      <x:c r="H577" s="14" t="str">
        <x:f>IF(B577="","",IF(OR(A577="",C577="",NOT(ISNUMBER(F577)),NOT(ISNUMBER(G577))),"Eksik efor",F577*G577))</x:f>
      </x:c>
      <x:c r="I577" s="2" t="n">
        <x:f>IF(OR(B577="",C577="",A577="",A577&gt;'Panel'!$N$5),0,IF(COUNTIFS($B$7:B577,B577,$C$7:C577,C577,$A$7:A577,"&lt;="&amp;'Panel'!$N$5)=1,1,0))</x:f>
        <x:v>0</x:v>
      </x:c>
      <x:c r="J577" s="2" t="n">
        <x:f>IF(OR(B577="",C577="",A577="",A577&gt;'Panel'!$N$5,A577&lt;'Panel'!$N$5-WEEKDAY('Panel'!$N$5,2)+1),0,IF(COUNTIFS($B$7:B577,B577,$C$7:C577,C577,$A$7:A577,"&gt;="&amp;('Panel'!$N$5-WEEKDAY('Panel'!$N$5,2)+1),$A$7:A577,"&lt;="&amp;'Panel'!$N$5)=1,1,0))</x:f>
        <x:v>0</x:v>
      </x:c>
    </x:row>
    <x:row r="578" ht="22" customHeight="1">
      <x:c r="A578" s="7"/>
      <x:c r="B578" s="6"/>
      <x:c r="C578" s="6"/>
      <x:c r="D578" s="6"/>
      <x:c r="E578" s="6"/>
      <x:c r="F578" s="17"/>
      <x:c r="G578" s="13"/>
      <x:c r="H578" s="14" t="str">
        <x:f>IF(B578="","",IF(OR(A578="",C578="",NOT(ISNUMBER(F578)),NOT(ISNUMBER(G578))),"Eksik efor",F578*G578))</x:f>
      </x:c>
      <x:c r="I578" s="2" t="n">
        <x:f>IF(OR(B578="",C578="",A578="",A578&gt;'Panel'!$N$5),0,IF(COUNTIFS($B$7:B578,B578,$C$7:C578,C578,$A$7:A578,"&lt;="&amp;'Panel'!$N$5)=1,1,0))</x:f>
        <x:v>0</x:v>
      </x:c>
      <x:c r="J578" s="2" t="n">
        <x:f>IF(OR(B578="",C578="",A578="",A578&gt;'Panel'!$N$5,A578&lt;'Panel'!$N$5-WEEKDAY('Panel'!$N$5,2)+1),0,IF(COUNTIFS($B$7:B578,B578,$C$7:C578,C578,$A$7:A578,"&gt;="&amp;('Panel'!$N$5-WEEKDAY('Panel'!$N$5,2)+1),$A$7:A578,"&lt;="&amp;'Panel'!$N$5)=1,1,0))</x:f>
        <x:v>0</x:v>
      </x:c>
    </x:row>
    <x:row r="579" ht="22" customHeight="1">
      <x:c r="A579" s="7"/>
      <x:c r="B579" s="6"/>
      <x:c r="C579" s="6"/>
      <x:c r="D579" s="6"/>
      <x:c r="E579" s="6"/>
      <x:c r="F579" s="17"/>
      <x:c r="G579" s="13"/>
      <x:c r="H579" s="14" t="str">
        <x:f>IF(B579="","",IF(OR(A579="",C579="",NOT(ISNUMBER(F579)),NOT(ISNUMBER(G579))),"Eksik efor",F579*G579))</x:f>
      </x:c>
      <x:c r="I579" s="2" t="n">
        <x:f>IF(OR(B579="",C579="",A579="",A579&gt;'Panel'!$N$5),0,IF(COUNTIFS($B$7:B579,B579,$C$7:C579,C579,$A$7:A579,"&lt;="&amp;'Panel'!$N$5)=1,1,0))</x:f>
        <x:v>0</x:v>
      </x:c>
      <x:c r="J579" s="2" t="n">
        <x:f>IF(OR(B579="",C579="",A579="",A579&gt;'Panel'!$N$5,A579&lt;'Panel'!$N$5-WEEKDAY('Panel'!$N$5,2)+1),0,IF(COUNTIFS($B$7:B579,B579,$C$7:C579,C579,$A$7:A579,"&gt;="&amp;('Panel'!$N$5-WEEKDAY('Panel'!$N$5,2)+1),$A$7:A579,"&lt;="&amp;'Panel'!$N$5)=1,1,0))</x:f>
        <x:v>0</x:v>
      </x:c>
    </x:row>
    <x:row r="580" ht="22" customHeight="1">
      <x:c r="A580" s="7"/>
      <x:c r="B580" s="6"/>
      <x:c r="C580" s="6"/>
      <x:c r="D580" s="6"/>
      <x:c r="E580" s="6"/>
      <x:c r="F580" s="17"/>
      <x:c r="G580" s="13"/>
      <x:c r="H580" s="14" t="str">
        <x:f>IF(B580="","",IF(OR(A580="",C580="",NOT(ISNUMBER(F580)),NOT(ISNUMBER(G580))),"Eksik efor",F580*G580))</x:f>
      </x:c>
      <x:c r="I580" s="2" t="n">
        <x:f>IF(OR(B580="",C580="",A580="",A580&gt;'Panel'!$N$5),0,IF(COUNTIFS($B$7:B580,B580,$C$7:C580,C580,$A$7:A580,"&lt;="&amp;'Panel'!$N$5)=1,1,0))</x:f>
        <x:v>0</x:v>
      </x:c>
      <x:c r="J580" s="2" t="n">
        <x:f>IF(OR(B580="",C580="",A580="",A580&gt;'Panel'!$N$5,A580&lt;'Panel'!$N$5-WEEKDAY('Panel'!$N$5,2)+1),0,IF(COUNTIFS($B$7:B580,B580,$C$7:C580,C580,$A$7:A580,"&gt;="&amp;('Panel'!$N$5-WEEKDAY('Panel'!$N$5,2)+1),$A$7:A580,"&lt;="&amp;'Panel'!$N$5)=1,1,0))</x:f>
        <x:v>0</x:v>
      </x:c>
    </x:row>
    <x:row r="581" ht="22" customHeight="1">
      <x:c r="A581" s="7"/>
      <x:c r="B581" s="6"/>
      <x:c r="C581" s="6"/>
      <x:c r="D581" s="6"/>
      <x:c r="E581" s="6"/>
      <x:c r="F581" s="17"/>
      <x:c r="G581" s="13"/>
      <x:c r="H581" s="14" t="str">
        <x:f>IF(B581="","",IF(OR(A581="",C581="",NOT(ISNUMBER(F581)),NOT(ISNUMBER(G581))),"Eksik efor",F581*G581))</x:f>
      </x:c>
      <x:c r="I581" s="2" t="n">
        <x:f>IF(OR(B581="",C581="",A581="",A581&gt;'Panel'!$N$5),0,IF(COUNTIFS($B$7:B581,B581,$C$7:C581,C581,$A$7:A581,"&lt;="&amp;'Panel'!$N$5)=1,1,0))</x:f>
        <x:v>0</x:v>
      </x:c>
      <x:c r="J581" s="2" t="n">
        <x:f>IF(OR(B581="",C581="",A581="",A581&gt;'Panel'!$N$5,A581&lt;'Panel'!$N$5-WEEKDAY('Panel'!$N$5,2)+1),0,IF(COUNTIFS($B$7:B581,B581,$C$7:C581,C581,$A$7:A581,"&gt;="&amp;('Panel'!$N$5-WEEKDAY('Panel'!$N$5,2)+1),$A$7:A581,"&lt;="&amp;'Panel'!$N$5)=1,1,0))</x:f>
        <x:v>0</x:v>
      </x:c>
    </x:row>
    <x:row r="582" ht="22" customHeight="1">
      <x:c r="A582" s="7"/>
      <x:c r="B582" s="6"/>
      <x:c r="C582" s="6"/>
      <x:c r="D582" s="6"/>
      <x:c r="E582" s="6"/>
      <x:c r="F582" s="17"/>
      <x:c r="G582" s="13"/>
      <x:c r="H582" s="14" t="str">
        <x:f>IF(B582="","",IF(OR(A582="",C582="",NOT(ISNUMBER(F582)),NOT(ISNUMBER(G582))),"Eksik efor",F582*G582))</x:f>
      </x:c>
      <x:c r="I582" s="2" t="n">
        <x:f>IF(OR(B582="",C582="",A582="",A582&gt;'Panel'!$N$5),0,IF(COUNTIFS($B$7:B582,B582,$C$7:C582,C582,$A$7:A582,"&lt;="&amp;'Panel'!$N$5)=1,1,0))</x:f>
        <x:v>0</x:v>
      </x:c>
      <x:c r="J582" s="2" t="n">
        <x:f>IF(OR(B582="",C582="",A582="",A582&gt;'Panel'!$N$5,A582&lt;'Panel'!$N$5-WEEKDAY('Panel'!$N$5,2)+1),0,IF(COUNTIFS($B$7:B582,B582,$C$7:C582,C582,$A$7:A582,"&gt;="&amp;('Panel'!$N$5-WEEKDAY('Panel'!$N$5,2)+1),$A$7:A582,"&lt;="&amp;'Panel'!$N$5)=1,1,0))</x:f>
        <x:v>0</x:v>
      </x:c>
    </x:row>
    <x:row r="583" ht="22" customHeight="1">
      <x:c r="A583" s="7"/>
      <x:c r="B583" s="6"/>
      <x:c r="C583" s="6"/>
      <x:c r="D583" s="6"/>
      <x:c r="E583" s="6"/>
      <x:c r="F583" s="17"/>
      <x:c r="G583" s="13"/>
      <x:c r="H583" s="14" t="str">
        <x:f>IF(B583="","",IF(OR(A583="",C583="",NOT(ISNUMBER(F583)),NOT(ISNUMBER(G583))),"Eksik efor",F583*G583))</x:f>
      </x:c>
      <x:c r="I583" s="2" t="n">
        <x:f>IF(OR(B583="",C583="",A583="",A583&gt;'Panel'!$N$5),0,IF(COUNTIFS($B$7:B583,B583,$C$7:C583,C583,$A$7:A583,"&lt;="&amp;'Panel'!$N$5)=1,1,0))</x:f>
        <x:v>0</x:v>
      </x:c>
      <x:c r="J583" s="2" t="n">
        <x:f>IF(OR(B583="",C583="",A583="",A583&gt;'Panel'!$N$5,A583&lt;'Panel'!$N$5-WEEKDAY('Panel'!$N$5,2)+1),0,IF(COUNTIFS($B$7:B583,B583,$C$7:C583,C583,$A$7:A583,"&gt;="&amp;('Panel'!$N$5-WEEKDAY('Panel'!$N$5,2)+1),$A$7:A583,"&lt;="&amp;'Panel'!$N$5)=1,1,0))</x:f>
        <x:v>0</x:v>
      </x:c>
    </x:row>
    <x:row r="584" ht="22" customHeight="1">
      <x:c r="A584" s="7"/>
      <x:c r="B584" s="6"/>
      <x:c r="C584" s="6"/>
      <x:c r="D584" s="6"/>
      <x:c r="E584" s="6"/>
      <x:c r="F584" s="17"/>
      <x:c r="G584" s="13"/>
      <x:c r="H584" s="14" t="str">
        <x:f>IF(B584="","",IF(OR(A584="",C584="",NOT(ISNUMBER(F584)),NOT(ISNUMBER(G584))),"Eksik efor",F584*G584))</x:f>
      </x:c>
      <x:c r="I584" s="2" t="n">
        <x:f>IF(OR(B584="",C584="",A584="",A584&gt;'Panel'!$N$5),0,IF(COUNTIFS($B$7:B584,B584,$C$7:C584,C584,$A$7:A584,"&lt;="&amp;'Panel'!$N$5)=1,1,0))</x:f>
        <x:v>0</x:v>
      </x:c>
      <x:c r="J584" s="2" t="n">
        <x:f>IF(OR(B584="",C584="",A584="",A584&gt;'Panel'!$N$5,A584&lt;'Panel'!$N$5-WEEKDAY('Panel'!$N$5,2)+1),0,IF(COUNTIFS($B$7:B584,B584,$C$7:C584,C584,$A$7:A584,"&gt;="&amp;('Panel'!$N$5-WEEKDAY('Panel'!$N$5,2)+1),$A$7:A584,"&lt;="&amp;'Panel'!$N$5)=1,1,0))</x:f>
        <x:v>0</x:v>
      </x:c>
    </x:row>
    <x:row r="585" ht="22" customHeight="1">
      <x:c r="A585" s="7"/>
      <x:c r="B585" s="6"/>
      <x:c r="C585" s="6"/>
      <x:c r="D585" s="6"/>
      <x:c r="E585" s="6"/>
      <x:c r="F585" s="17"/>
      <x:c r="G585" s="13"/>
      <x:c r="H585" s="14" t="str">
        <x:f>IF(B585="","",IF(OR(A585="",C585="",NOT(ISNUMBER(F585)),NOT(ISNUMBER(G585))),"Eksik efor",F585*G585))</x:f>
      </x:c>
      <x:c r="I585" s="2" t="n">
        <x:f>IF(OR(B585="",C585="",A585="",A585&gt;'Panel'!$N$5),0,IF(COUNTIFS($B$7:B585,B585,$C$7:C585,C585,$A$7:A585,"&lt;="&amp;'Panel'!$N$5)=1,1,0))</x:f>
        <x:v>0</x:v>
      </x:c>
      <x:c r="J585" s="2" t="n">
        <x:f>IF(OR(B585="",C585="",A585="",A585&gt;'Panel'!$N$5,A585&lt;'Panel'!$N$5-WEEKDAY('Panel'!$N$5,2)+1),0,IF(COUNTIFS($B$7:B585,B585,$C$7:C585,C585,$A$7:A585,"&gt;="&amp;('Panel'!$N$5-WEEKDAY('Panel'!$N$5,2)+1),$A$7:A585,"&lt;="&amp;'Panel'!$N$5)=1,1,0))</x:f>
        <x:v>0</x:v>
      </x:c>
    </x:row>
    <x:row r="586" ht="22" customHeight="1">
      <x:c r="A586" s="7"/>
      <x:c r="B586" s="6"/>
      <x:c r="C586" s="6"/>
      <x:c r="D586" s="6"/>
      <x:c r="E586" s="6"/>
      <x:c r="F586" s="17"/>
      <x:c r="G586" s="13"/>
      <x:c r="H586" s="14" t="str">
        <x:f>IF(B586="","",IF(OR(A586="",C586="",NOT(ISNUMBER(F586)),NOT(ISNUMBER(G586))),"Eksik efor",F586*G586))</x:f>
      </x:c>
      <x:c r="I586" s="2" t="n">
        <x:f>IF(OR(B586="",C586="",A586="",A586&gt;'Panel'!$N$5),0,IF(COUNTIFS($B$7:B586,B586,$C$7:C586,C586,$A$7:A586,"&lt;="&amp;'Panel'!$N$5)=1,1,0))</x:f>
        <x:v>0</x:v>
      </x:c>
      <x:c r="J586" s="2" t="n">
        <x:f>IF(OR(B586="",C586="",A586="",A586&gt;'Panel'!$N$5,A586&lt;'Panel'!$N$5-WEEKDAY('Panel'!$N$5,2)+1),0,IF(COUNTIFS($B$7:B586,B586,$C$7:C586,C586,$A$7:A586,"&gt;="&amp;('Panel'!$N$5-WEEKDAY('Panel'!$N$5,2)+1),$A$7:A586,"&lt;="&amp;'Panel'!$N$5)=1,1,0))</x:f>
        <x:v>0</x:v>
      </x:c>
    </x:row>
    <x:row r="587" ht="22" customHeight="1">
      <x:c r="A587" s="7"/>
      <x:c r="B587" s="6"/>
      <x:c r="C587" s="6"/>
      <x:c r="D587" s="6"/>
      <x:c r="E587" s="6"/>
      <x:c r="F587" s="17"/>
      <x:c r="G587" s="13"/>
      <x:c r="H587" s="14" t="str">
        <x:f>IF(B587="","",IF(OR(A587="",C587="",NOT(ISNUMBER(F587)),NOT(ISNUMBER(G587))),"Eksik efor",F587*G587))</x:f>
      </x:c>
      <x:c r="I587" s="2" t="n">
        <x:f>IF(OR(B587="",C587="",A587="",A587&gt;'Panel'!$N$5),0,IF(COUNTIFS($B$7:B587,B587,$C$7:C587,C587,$A$7:A587,"&lt;="&amp;'Panel'!$N$5)=1,1,0))</x:f>
        <x:v>0</x:v>
      </x:c>
      <x:c r="J587" s="2" t="n">
        <x:f>IF(OR(B587="",C587="",A587="",A587&gt;'Panel'!$N$5,A587&lt;'Panel'!$N$5-WEEKDAY('Panel'!$N$5,2)+1),0,IF(COUNTIFS($B$7:B587,B587,$C$7:C587,C587,$A$7:A587,"&gt;="&amp;('Panel'!$N$5-WEEKDAY('Panel'!$N$5,2)+1),$A$7:A587,"&lt;="&amp;'Panel'!$N$5)=1,1,0))</x:f>
        <x:v>0</x:v>
      </x:c>
    </x:row>
    <x:row r="588" ht="22" customHeight="1">
      <x:c r="A588" s="7"/>
      <x:c r="B588" s="6"/>
      <x:c r="C588" s="6"/>
      <x:c r="D588" s="6"/>
      <x:c r="E588" s="6"/>
      <x:c r="F588" s="17"/>
      <x:c r="G588" s="13"/>
      <x:c r="H588" s="14" t="str">
        <x:f>IF(B588="","",IF(OR(A588="",C588="",NOT(ISNUMBER(F588)),NOT(ISNUMBER(G588))),"Eksik efor",F588*G588))</x:f>
      </x:c>
      <x:c r="I588" s="2" t="n">
        <x:f>IF(OR(B588="",C588="",A588="",A588&gt;'Panel'!$N$5),0,IF(COUNTIFS($B$7:B588,B588,$C$7:C588,C588,$A$7:A588,"&lt;="&amp;'Panel'!$N$5)=1,1,0))</x:f>
        <x:v>0</x:v>
      </x:c>
      <x:c r="J588" s="2" t="n">
        <x:f>IF(OR(B588="",C588="",A588="",A588&gt;'Panel'!$N$5,A588&lt;'Panel'!$N$5-WEEKDAY('Panel'!$N$5,2)+1),0,IF(COUNTIFS($B$7:B588,B588,$C$7:C588,C588,$A$7:A588,"&gt;="&amp;('Panel'!$N$5-WEEKDAY('Panel'!$N$5,2)+1),$A$7:A588,"&lt;="&amp;'Panel'!$N$5)=1,1,0))</x:f>
        <x:v>0</x:v>
      </x:c>
    </x:row>
    <x:row r="589" ht="22" customHeight="1">
      <x:c r="A589" s="7"/>
      <x:c r="B589" s="6"/>
      <x:c r="C589" s="6"/>
      <x:c r="D589" s="6"/>
      <x:c r="E589" s="6"/>
      <x:c r="F589" s="17"/>
      <x:c r="G589" s="13"/>
      <x:c r="H589" s="14" t="str">
        <x:f>IF(B589="","",IF(OR(A589="",C589="",NOT(ISNUMBER(F589)),NOT(ISNUMBER(G589))),"Eksik efor",F589*G589))</x:f>
      </x:c>
      <x:c r="I589" s="2" t="n">
        <x:f>IF(OR(B589="",C589="",A589="",A589&gt;'Panel'!$N$5),0,IF(COUNTIFS($B$7:B589,B589,$C$7:C589,C589,$A$7:A589,"&lt;="&amp;'Panel'!$N$5)=1,1,0))</x:f>
        <x:v>0</x:v>
      </x:c>
      <x:c r="J589" s="2" t="n">
        <x:f>IF(OR(B589="",C589="",A589="",A589&gt;'Panel'!$N$5,A589&lt;'Panel'!$N$5-WEEKDAY('Panel'!$N$5,2)+1),0,IF(COUNTIFS($B$7:B589,B589,$C$7:C589,C589,$A$7:A589,"&gt;="&amp;('Panel'!$N$5-WEEKDAY('Panel'!$N$5,2)+1),$A$7:A589,"&lt;="&amp;'Panel'!$N$5)=1,1,0))</x:f>
        <x:v>0</x:v>
      </x:c>
    </x:row>
    <x:row r="590" ht="22" customHeight="1">
      <x:c r="A590" s="7"/>
      <x:c r="B590" s="6"/>
      <x:c r="C590" s="6"/>
      <x:c r="D590" s="6"/>
      <x:c r="E590" s="6"/>
      <x:c r="F590" s="17"/>
      <x:c r="G590" s="13"/>
      <x:c r="H590" s="14" t="str">
        <x:f>IF(B590="","",IF(OR(A590="",C590="",NOT(ISNUMBER(F590)),NOT(ISNUMBER(G590))),"Eksik efor",F590*G590))</x:f>
      </x:c>
      <x:c r="I590" s="2" t="n">
        <x:f>IF(OR(B590="",C590="",A590="",A590&gt;'Panel'!$N$5),0,IF(COUNTIFS($B$7:B590,B590,$C$7:C590,C590,$A$7:A590,"&lt;="&amp;'Panel'!$N$5)=1,1,0))</x:f>
        <x:v>0</x:v>
      </x:c>
      <x:c r="J590" s="2" t="n">
        <x:f>IF(OR(B590="",C590="",A590="",A590&gt;'Panel'!$N$5,A590&lt;'Panel'!$N$5-WEEKDAY('Panel'!$N$5,2)+1),0,IF(COUNTIFS($B$7:B590,B590,$C$7:C590,C590,$A$7:A590,"&gt;="&amp;('Panel'!$N$5-WEEKDAY('Panel'!$N$5,2)+1),$A$7:A590,"&lt;="&amp;'Panel'!$N$5)=1,1,0))</x:f>
        <x:v>0</x:v>
      </x:c>
    </x:row>
    <x:row r="591" ht="22" customHeight="1">
      <x:c r="A591" s="7"/>
      <x:c r="B591" s="6"/>
      <x:c r="C591" s="6"/>
      <x:c r="D591" s="6"/>
      <x:c r="E591" s="6"/>
      <x:c r="F591" s="17"/>
      <x:c r="G591" s="13"/>
      <x:c r="H591" s="14" t="str">
        <x:f>IF(B591="","",IF(OR(A591="",C591="",NOT(ISNUMBER(F591)),NOT(ISNUMBER(G591))),"Eksik efor",F591*G591))</x:f>
      </x:c>
      <x:c r="I591" s="2" t="n">
        <x:f>IF(OR(B591="",C591="",A591="",A591&gt;'Panel'!$N$5),0,IF(COUNTIFS($B$7:B591,B591,$C$7:C591,C591,$A$7:A591,"&lt;="&amp;'Panel'!$N$5)=1,1,0))</x:f>
        <x:v>0</x:v>
      </x:c>
      <x:c r="J591" s="2" t="n">
        <x:f>IF(OR(B591="",C591="",A591="",A591&gt;'Panel'!$N$5,A591&lt;'Panel'!$N$5-WEEKDAY('Panel'!$N$5,2)+1),0,IF(COUNTIFS($B$7:B591,B591,$C$7:C591,C591,$A$7:A591,"&gt;="&amp;('Panel'!$N$5-WEEKDAY('Panel'!$N$5,2)+1),$A$7:A591,"&lt;="&amp;'Panel'!$N$5)=1,1,0))</x:f>
        <x:v>0</x:v>
      </x:c>
    </x:row>
    <x:row r="592" ht="22" customHeight="1">
      <x:c r="A592" s="7"/>
      <x:c r="B592" s="6"/>
      <x:c r="C592" s="6"/>
      <x:c r="D592" s="6"/>
      <x:c r="E592" s="6"/>
      <x:c r="F592" s="17"/>
      <x:c r="G592" s="13"/>
      <x:c r="H592" s="14" t="str">
        <x:f>IF(B592="","",IF(OR(A592="",C592="",NOT(ISNUMBER(F592)),NOT(ISNUMBER(G592))),"Eksik efor",F592*G592))</x:f>
      </x:c>
      <x:c r="I592" s="2" t="n">
        <x:f>IF(OR(B592="",C592="",A592="",A592&gt;'Panel'!$N$5),0,IF(COUNTIFS($B$7:B592,B592,$C$7:C592,C592,$A$7:A592,"&lt;="&amp;'Panel'!$N$5)=1,1,0))</x:f>
        <x:v>0</x:v>
      </x:c>
      <x:c r="J592" s="2" t="n">
        <x:f>IF(OR(B592="",C592="",A592="",A592&gt;'Panel'!$N$5,A592&lt;'Panel'!$N$5-WEEKDAY('Panel'!$N$5,2)+1),0,IF(COUNTIFS($B$7:B592,B592,$C$7:C592,C592,$A$7:A592,"&gt;="&amp;('Panel'!$N$5-WEEKDAY('Panel'!$N$5,2)+1),$A$7:A592,"&lt;="&amp;'Panel'!$N$5)=1,1,0))</x:f>
        <x:v>0</x:v>
      </x:c>
    </x:row>
    <x:row r="593" ht="22" customHeight="1">
      <x:c r="A593" s="7"/>
      <x:c r="B593" s="6"/>
      <x:c r="C593" s="6"/>
      <x:c r="D593" s="6"/>
      <x:c r="E593" s="6"/>
      <x:c r="F593" s="17"/>
      <x:c r="G593" s="13"/>
      <x:c r="H593" s="14" t="str">
        <x:f>IF(B593="","",IF(OR(A593="",C593="",NOT(ISNUMBER(F593)),NOT(ISNUMBER(G593))),"Eksik efor",F593*G593))</x:f>
      </x:c>
      <x:c r="I593" s="2" t="n">
        <x:f>IF(OR(B593="",C593="",A593="",A593&gt;'Panel'!$N$5),0,IF(COUNTIFS($B$7:B593,B593,$C$7:C593,C593,$A$7:A593,"&lt;="&amp;'Panel'!$N$5)=1,1,0))</x:f>
        <x:v>0</x:v>
      </x:c>
      <x:c r="J593" s="2" t="n">
        <x:f>IF(OR(B593="",C593="",A593="",A593&gt;'Panel'!$N$5,A593&lt;'Panel'!$N$5-WEEKDAY('Panel'!$N$5,2)+1),0,IF(COUNTIFS($B$7:B593,B593,$C$7:C593,C593,$A$7:A593,"&gt;="&amp;('Panel'!$N$5-WEEKDAY('Panel'!$N$5,2)+1),$A$7:A593,"&lt;="&amp;'Panel'!$N$5)=1,1,0))</x:f>
        <x:v>0</x:v>
      </x:c>
    </x:row>
    <x:row r="594" ht="22" customHeight="1">
      <x:c r="A594" s="7"/>
      <x:c r="B594" s="6"/>
      <x:c r="C594" s="6"/>
      <x:c r="D594" s="6"/>
      <x:c r="E594" s="6"/>
      <x:c r="F594" s="17"/>
      <x:c r="G594" s="13"/>
      <x:c r="H594" s="14" t="str">
        <x:f>IF(B594="","",IF(OR(A594="",C594="",NOT(ISNUMBER(F594)),NOT(ISNUMBER(G594))),"Eksik efor",F594*G594))</x:f>
      </x:c>
      <x:c r="I594" s="2" t="n">
        <x:f>IF(OR(B594="",C594="",A594="",A594&gt;'Panel'!$N$5),0,IF(COUNTIFS($B$7:B594,B594,$C$7:C594,C594,$A$7:A594,"&lt;="&amp;'Panel'!$N$5)=1,1,0))</x:f>
        <x:v>0</x:v>
      </x:c>
      <x:c r="J594" s="2" t="n">
        <x:f>IF(OR(B594="",C594="",A594="",A594&gt;'Panel'!$N$5,A594&lt;'Panel'!$N$5-WEEKDAY('Panel'!$N$5,2)+1),0,IF(COUNTIFS($B$7:B594,B594,$C$7:C594,C594,$A$7:A594,"&gt;="&amp;('Panel'!$N$5-WEEKDAY('Panel'!$N$5,2)+1),$A$7:A594,"&lt;="&amp;'Panel'!$N$5)=1,1,0))</x:f>
        <x:v>0</x:v>
      </x:c>
    </x:row>
    <x:row r="595" ht="22" customHeight="1">
      <x:c r="A595" s="7"/>
      <x:c r="B595" s="6"/>
      <x:c r="C595" s="6"/>
      <x:c r="D595" s="6"/>
      <x:c r="E595" s="6"/>
      <x:c r="F595" s="17"/>
      <x:c r="G595" s="13"/>
      <x:c r="H595" s="14" t="str">
        <x:f>IF(B595="","",IF(OR(A595="",C595="",NOT(ISNUMBER(F595)),NOT(ISNUMBER(G595))),"Eksik efor",F595*G595))</x:f>
      </x:c>
      <x:c r="I595" s="2" t="n">
        <x:f>IF(OR(B595="",C595="",A595="",A595&gt;'Panel'!$N$5),0,IF(COUNTIFS($B$7:B595,B595,$C$7:C595,C595,$A$7:A595,"&lt;="&amp;'Panel'!$N$5)=1,1,0))</x:f>
        <x:v>0</x:v>
      </x:c>
      <x:c r="J595" s="2" t="n">
        <x:f>IF(OR(B595="",C595="",A595="",A595&gt;'Panel'!$N$5,A595&lt;'Panel'!$N$5-WEEKDAY('Panel'!$N$5,2)+1),0,IF(COUNTIFS($B$7:B595,B595,$C$7:C595,C595,$A$7:A595,"&gt;="&amp;('Panel'!$N$5-WEEKDAY('Panel'!$N$5,2)+1),$A$7:A595,"&lt;="&amp;'Panel'!$N$5)=1,1,0))</x:f>
        <x:v>0</x:v>
      </x:c>
    </x:row>
    <x:row r="596" ht="22" customHeight="1">
      <x:c r="A596" s="7"/>
      <x:c r="B596" s="6"/>
      <x:c r="C596" s="6"/>
      <x:c r="D596" s="6"/>
      <x:c r="E596" s="6"/>
      <x:c r="F596" s="17"/>
      <x:c r="G596" s="13"/>
      <x:c r="H596" s="14" t="str">
        <x:f>IF(B596="","",IF(OR(A596="",C596="",NOT(ISNUMBER(F596)),NOT(ISNUMBER(G596))),"Eksik efor",F596*G596))</x:f>
      </x:c>
      <x:c r="I596" s="2" t="n">
        <x:f>IF(OR(B596="",C596="",A596="",A596&gt;'Panel'!$N$5),0,IF(COUNTIFS($B$7:B596,B596,$C$7:C596,C596,$A$7:A596,"&lt;="&amp;'Panel'!$N$5)=1,1,0))</x:f>
        <x:v>0</x:v>
      </x:c>
      <x:c r="J596" s="2" t="n">
        <x:f>IF(OR(B596="",C596="",A596="",A596&gt;'Panel'!$N$5,A596&lt;'Panel'!$N$5-WEEKDAY('Panel'!$N$5,2)+1),0,IF(COUNTIFS($B$7:B596,B596,$C$7:C596,C596,$A$7:A596,"&gt;="&amp;('Panel'!$N$5-WEEKDAY('Panel'!$N$5,2)+1),$A$7:A596,"&lt;="&amp;'Panel'!$N$5)=1,1,0))</x:f>
        <x:v>0</x:v>
      </x:c>
    </x:row>
    <x:row r="597" ht="22" customHeight="1">
      <x:c r="A597" s="7"/>
      <x:c r="B597" s="6"/>
      <x:c r="C597" s="6"/>
      <x:c r="D597" s="6"/>
      <x:c r="E597" s="6"/>
      <x:c r="F597" s="17"/>
      <x:c r="G597" s="13"/>
      <x:c r="H597" s="14" t="str">
        <x:f>IF(B597="","",IF(OR(A597="",C597="",NOT(ISNUMBER(F597)),NOT(ISNUMBER(G597))),"Eksik efor",F597*G597))</x:f>
      </x:c>
      <x:c r="I597" s="2" t="n">
        <x:f>IF(OR(B597="",C597="",A597="",A597&gt;'Panel'!$N$5),0,IF(COUNTIFS($B$7:B597,B597,$C$7:C597,C597,$A$7:A597,"&lt;="&amp;'Panel'!$N$5)=1,1,0))</x:f>
        <x:v>0</x:v>
      </x:c>
      <x:c r="J597" s="2" t="n">
        <x:f>IF(OR(B597="",C597="",A597="",A597&gt;'Panel'!$N$5,A597&lt;'Panel'!$N$5-WEEKDAY('Panel'!$N$5,2)+1),0,IF(COUNTIFS($B$7:B597,B597,$C$7:C597,C597,$A$7:A597,"&gt;="&amp;('Panel'!$N$5-WEEKDAY('Panel'!$N$5,2)+1),$A$7:A597,"&lt;="&amp;'Panel'!$N$5)=1,1,0))</x:f>
        <x:v>0</x:v>
      </x:c>
    </x:row>
    <x:row r="598" ht="22" customHeight="1">
      <x:c r="A598" s="7"/>
      <x:c r="B598" s="6"/>
      <x:c r="C598" s="6"/>
      <x:c r="D598" s="6"/>
      <x:c r="E598" s="6"/>
      <x:c r="F598" s="17"/>
      <x:c r="G598" s="13"/>
      <x:c r="H598" s="14" t="str">
        <x:f>IF(B598="","",IF(OR(A598="",C598="",NOT(ISNUMBER(F598)),NOT(ISNUMBER(G598))),"Eksik efor",F598*G598))</x:f>
      </x:c>
      <x:c r="I598" s="2" t="n">
        <x:f>IF(OR(B598="",C598="",A598="",A598&gt;'Panel'!$N$5),0,IF(COUNTIFS($B$7:B598,B598,$C$7:C598,C598,$A$7:A598,"&lt;="&amp;'Panel'!$N$5)=1,1,0))</x:f>
        <x:v>0</x:v>
      </x:c>
      <x:c r="J598" s="2" t="n">
        <x:f>IF(OR(B598="",C598="",A598="",A598&gt;'Panel'!$N$5,A598&lt;'Panel'!$N$5-WEEKDAY('Panel'!$N$5,2)+1),0,IF(COUNTIFS($B$7:B598,B598,$C$7:C598,C598,$A$7:A598,"&gt;="&amp;('Panel'!$N$5-WEEKDAY('Panel'!$N$5,2)+1),$A$7:A598,"&lt;="&amp;'Panel'!$N$5)=1,1,0))</x:f>
        <x:v>0</x:v>
      </x:c>
    </x:row>
    <x:row r="599" ht="22" customHeight="1">
      <x:c r="A599" s="7"/>
      <x:c r="B599" s="6"/>
      <x:c r="C599" s="6"/>
      <x:c r="D599" s="6"/>
      <x:c r="E599" s="6"/>
      <x:c r="F599" s="17"/>
      <x:c r="G599" s="13"/>
      <x:c r="H599" s="14" t="str">
        <x:f>IF(B599="","",IF(OR(A599="",C599="",NOT(ISNUMBER(F599)),NOT(ISNUMBER(G599))),"Eksik efor",F599*G599))</x:f>
      </x:c>
      <x:c r="I599" s="2" t="n">
        <x:f>IF(OR(B599="",C599="",A599="",A599&gt;'Panel'!$N$5),0,IF(COUNTIFS($B$7:B599,B599,$C$7:C599,C599,$A$7:A599,"&lt;="&amp;'Panel'!$N$5)=1,1,0))</x:f>
        <x:v>0</x:v>
      </x:c>
      <x:c r="J599" s="2" t="n">
        <x:f>IF(OR(B599="",C599="",A599="",A599&gt;'Panel'!$N$5,A599&lt;'Panel'!$N$5-WEEKDAY('Panel'!$N$5,2)+1),0,IF(COUNTIFS($B$7:B599,B599,$C$7:C599,C599,$A$7:A599,"&gt;="&amp;('Panel'!$N$5-WEEKDAY('Panel'!$N$5,2)+1),$A$7:A599,"&lt;="&amp;'Panel'!$N$5)=1,1,0))</x:f>
        <x:v>0</x:v>
      </x:c>
    </x:row>
    <x:row r="600" ht="22" customHeight="1">
      <x:c r="A600" s="7"/>
      <x:c r="B600" s="6"/>
      <x:c r="C600" s="6"/>
      <x:c r="D600" s="6"/>
      <x:c r="E600" s="6"/>
      <x:c r="F600" s="17"/>
      <x:c r="G600" s="13"/>
      <x:c r="H600" s="14" t="str">
        <x:f>IF(B600="","",IF(OR(A600="",C600="",NOT(ISNUMBER(F600)),NOT(ISNUMBER(G600))),"Eksik efor",F600*G600))</x:f>
      </x:c>
      <x:c r="I600" s="2" t="n">
        <x:f>IF(OR(B600="",C600="",A600="",A600&gt;'Panel'!$N$5),0,IF(COUNTIFS($B$7:B600,B600,$C$7:C600,C600,$A$7:A600,"&lt;="&amp;'Panel'!$N$5)=1,1,0))</x:f>
        <x:v>0</x:v>
      </x:c>
      <x:c r="J600" s="2" t="n">
        <x:f>IF(OR(B600="",C600="",A600="",A600&gt;'Panel'!$N$5,A600&lt;'Panel'!$N$5-WEEKDAY('Panel'!$N$5,2)+1),0,IF(COUNTIFS($B$7:B600,B600,$C$7:C600,C600,$A$7:A600,"&gt;="&amp;('Panel'!$N$5-WEEKDAY('Panel'!$N$5,2)+1),$A$7:A600,"&lt;="&amp;'Panel'!$N$5)=1,1,0))</x:f>
        <x:v>0</x:v>
      </x:c>
    </x:row>
    <x:row r="601" ht="22" customHeight="1">
      <x:c r="A601" s="7"/>
      <x:c r="B601" s="6"/>
      <x:c r="C601" s="6"/>
      <x:c r="D601" s="6"/>
      <x:c r="E601" s="6"/>
      <x:c r="F601" s="17"/>
      <x:c r="G601" s="13"/>
      <x:c r="H601" s="14" t="str">
        <x:f>IF(B601="","",IF(OR(A601="",C601="",NOT(ISNUMBER(F601)),NOT(ISNUMBER(G601))),"Eksik efor",F601*G601))</x:f>
      </x:c>
      <x:c r="I601" s="2" t="n">
        <x:f>IF(OR(B601="",C601="",A601="",A601&gt;'Panel'!$N$5),0,IF(COUNTIFS($B$7:B601,B601,$C$7:C601,C601,$A$7:A601,"&lt;="&amp;'Panel'!$N$5)=1,1,0))</x:f>
        <x:v>0</x:v>
      </x:c>
      <x:c r="J601" s="2" t="n">
        <x:f>IF(OR(B601="",C601="",A601="",A601&gt;'Panel'!$N$5,A601&lt;'Panel'!$N$5-WEEKDAY('Panel'!$N$5,2)+1),0,IF(COUNTIFS($B$7:B601,B601,$C$7:C601,C601,$A$7:A601,"&gt;="&amp;('Panel'!$N$5-WEEKDAY('Panel'!$N$5,2)+1),$A$7:A601,"&lt;="&amp;'Panel'!$N$5)=1,1,0))</x:f>
        <x:v>0</x:v>
      </x:c>
    </x:row>
    <x:row r="602" ht="22" customHeight="1">
      <x:c r="A602" s="7"/>
      <x:c r="B602" s="6"/>
      <x:c r="C602" s="6"/>
      <x:c r="D602" s="6"/>
      <x:c r="E602" s="6"/>
      <x:c r="F602" s="17"/>
      <x:c r="G602" s="13"/>
      <x:c r="H602" s="14" t="str">
        <x:f>IF(B602="","",IF(OR(A602="",C602="",NOT(ISNUMBER(F602)),NOT(ISNUMBER(G602))),"Eksik efor",F602*G602))</x:f>
      </x:c>
      <x:c r="I602" s="2" t="n">
        <x:f>IF(OR(B602="",C602="",A602="",A602&gt;'Panel'!$N$5),0,IF(COUNTIFS($B$7:B602,B602,$C$7:C602,C602,$A$7:A602,"&lt;="&amp;'Panel'!$N$5)=1,1,0))</x:f>
        <x:v>0</x:v>
      </x:c>
      <x:c r="J602" s="2" t="n">
        <x:f>IF(OR(B602="",C602="",A602="",A602&gt;'Panel'!$N$5,A602&lt;'Panel'!$N$5-WEEKDAY('Panel'!$N$5,2)+1),0,IF(COUNTIFS($B$7:B602,B602,$C$7:C602,C602,$A$7:A602,"&gt;="&amp;('Panel'!$N$5-WEEKDAY('Panel'!$N$5,2)+1),$A$7:A602,"&lt;="&amp;'Panel'!$N$5)=1,1,0))</x:f>
        <x:v>0</x:v>
      </x:c>
    </x:row>
    <x:row r="603" ht="22" customHeight="1">
      <x:c r="A603" s="7"/>
      <x:c r="B603" s="6"/>
      <x:c r="C603" s="6"/>
      <x:c r="D603" s="6"/>
      <x:c r="E603" s="6"/>
      <x:c r="F603" s="17"/>
      <x:c r="G603" s="13"/>
      <x:c r="H603" s="14" t="str">
        <x:f>IF(B603="","",IF(OR(A603="",C603="",NOT(ISNUMBER(F603)),NOT(ISNUMBER(G603))),"Eksik efor",F603*G603))</x:f>
      </x:c>
      <x:c r="I603" s="2" t="n">
        <x:f>IF(OR(B603="",C603="",A603="",A603&gt;'Panel'!$N$5),0,IF(COUNTIFS($B$7:B603,B603,$C$7:C603,C603,$A$7:A603,"&lt;="&amp;'Panel'!$N$5)=1,1,0))</x:f>
        <x:v>0</x:v>
      </x:c>
      <x:c r="J603" s="2" t="n">
        <x:f>IF(OR(B603="",C603="",A603="",A603&gt;'Panel'!$N$5,A603&lt;'Panel'!$N$5-WEEKDAY('Panel'!$N$5,2)+1),0,IF(COUNTIFS($B$7:B603,B603,$C$7:C603,C603,$A$7:A603,"&gt;="&amp;('Panel'!$N$5-WEEKDAY('Panel'!$N$5,2)+1),$A$7:A603,"&lt;="&amp;'Panel'!$N$5)=1,1,0))</x:f>
        <x:v>0</x:v>
      </x:c>
    </x:row>
    <x:row r="604" ht="22" customHeight="1">
      <x:c r="A604" s="7"/>
      <x:c r="B604" s="6"/>
      <x:c r="C604" s="6"/>
      <x:c r="D604" s="6"/>
      <x:c r="E604" s="6"/>
      <x:c r="F604" s="17"/>
      <x:c r="G604" s="13"/>
      <x:c r="H604" s="14" t="str">
        <x:f>IF(B604="","",IF(OR(A604="",C604="",NOT(ISNUMBER(F604)),NOT(ISNUMBER(G604))),"Eksik efor",F604*G604))</x:f>
      </x:c>
      <x:c r="I604" s="2" t="n">
        <x:f>IF(OR(B604="",C604="",A604="",A604&gt;'Panel'!$N$5),0,IF(COUNTIFS($B$7:B604,B604,$C$7:C604,C604,$A$7:A604,"&lt;="&amp;'Panel'!$N$5)=1,1,0))</x:f>
        <x:v>0</x:v>
      </x:c>
      <x:c r="J604" s="2" t="n">
        <x:f>IF(OR(B604="",C604="",A604="",A604&gt;'Panel'!$N$5,A604&lt;'Panel'!$N$5-WEEKDAY('Panel'!$N$5,2)+1),0,IF(COUNTIFS($B$7:B604,B604,$C$7:C604,C604,$A$7:A604,"&gt;="&amp;('Panel'!$N$5-WEEKDAY('Panel'!$N$5,2)+1),$A$7:A604,"&lt;="&amp;'Panel'!$N$5)=1,1,0))</x:f>
        <x:v>0</x:v>
      </x:c>
    </x:row>
    <x:row r="605" ht="22" customHeight="1">
      <x:c r="A605" s="7"/>
      <x:c r="B605" s="6"/>
      <x:c r="C605" s="6"/>
      <x:c r="D605" s="6"/>
      <x:c r="E605" s="6"/>
      <x:c r="F605" s="17"/>
      <x:c r="G605" s="13"/>
      <x:c r="H605" s="14" t="str">
        <x:f>IF(B605="","",IF(OR(A605="",C605="",NOT(ISNUMBER(F605)),NOT(ISNUMBER(G605))),"Eksik efor",F605*G605))</x:f>
      </x:c>
      <x:c r="I605" s="2" t="n">
        <x:f>IF(OR(B605="",C605="",A605="",A605&gt;'Panel'!$N$5),0,IF(COUNTIFS($B$7:B605,B605,$C$7:C605,C605,$A$7:A605,"&lt;="&amp;'Panel'!$N$5)=1,1,0))</x:f>
        <x:v>0</x:v>
      </x:c>
      <x:c r="J605" s="2" t="n">
        <x:f>IF(OR(B605="",C605="",A605="",A605&gt;'Panel'!$N$5,A605&lt;'Panel'!$N$5-WEEKDAY('Panel'!$N$5,2)+1),0,IF(COUNTIFS($B$7:B605,B605,$C$7:C605,C605,$A$7:A605,"&gt;="&amp;('Panel'!$N$5-WEEKDAY('Panel'!$N$5,2)+1),$A$7:A605,"&lt;="&amp;'Panel'!$N$5)=1,1,0))</x:f>
        <x:v>0</x:v>
      </x:c>
    </x:row>
    <x:row r="606" ht="22" customHeight="1">
      <x:c r="A606" s="7"/>
      <x:c r="B606" s="6"/>
      <x:c r="C606" s="6"/>
      <x:c r="D606" s="6"/>
      <x:c r="E606" s="6"/>
      <x:c r="F606" s="17"/>
      <x:c r="G606" s="13"/>
      <x:c r="H606" s="14" t="str">
        <x:f>IF(B606="","",IF(OR(A606="",C606="",NOT(ISNUMBER(F606)),NOT(ISNUMBER(G606))),"Eksik efor",F606*G606))</x:f>
      </x:c>
      <x:c r="I606" s="2" t="n">
        <x:f>IF(OR(B606="",C606="",A606="",A606&gt;'Panel'!$N$5),0,IF(COUNTIFS($B$7:B606,B606,$C$7:C606,C606,$A$7:A606,"&lt;="&amp;'Panel'!$N$5)=1,1,0))</x:f>
        <x:v>0</x:v>
      </x:c>
      <x:c r="J606" s="2" t="n">
        <x:f>IF(OR(B606="",C606="",A606="",A606&gt;'Panel'!$N$5,A606&lt;'Panel'!$N$5-WEEKDAY('Panel'!$N$5,2)+1),0,IF(COUNTIFS($B$7:B606,B606,$C$7:C606,C606,$A$7:A606,"&gt;="&amp;('Panel'!$N$5-WEEKDAY('Panel'!$N$5,2)+1),$A$7:A606,"&lt;="&amp;'Panel'!$N$5)=1,1,0))</x:f>
        <x:v>0</x:v>
      </x:c>
    </x:row>
  </x:sheetData>
  <x:dataValidations count="3">
    <x:dataValidation type="list" sqref="B7:B606">
      <x:formula1>'Projeler'!$A$7:$A$26</x:formula1>
    </x:dataValidation>
    <x:dataValidation type="decimal" operator="between" sqref="F7:F606">
      <x:formula1>0</x:formula1>
      <x:formula2>24</x:formula2>
    </x:dataValidation>
    <x:dataValidation type="decimal" operator="between" sqref="G7:G60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cabfee793cb4df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31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2" customHeight="1">
      <x:c r="A2" s="3" t="str">
        <x:v>Malzeme ve diğer maliyetler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4" customHeight="1">
      <x:c r="A6" s="12" t="str">
        <x:v>Kayıt ID</x:v>
      </x:c>
      <x:c r="B6" s="12" t="str">
        <x:v>Proje ID</x:v>
      </x:c>
      <x:c r="C6" s="12" t="str">
        <x:v>Malzeme / hizmet</x:v>
      </x:c>
      <x:c r="D6" s="12" t="str">
        <x:v>Kategori</x:v>
      </x:c>
      <x:c r="E6" s="12" t="str">
        <x:v>Durum</x:v>
      </x:c>
      <x:c r="F6" s="12" t="str">
        <x:v>İşlem / tahmin tarihi</x:v>
      </x:c>
      <x:c r="G6" s="12" t="str">
        <x:v>Miktar</x:v>
      </x:c>
      <x:c r="H6" s="12" t="str">
        <x:v>Birim maliyet (TL)</x:v>
      </x:c>
      <x:c r="I6" s="12" t="str">
        <x:v>Tutar (TL)</x:v>
      </x:c>
      <x:c r="J6" s="12" t="str">
        <x:v>Tedarikçi</x:v>
      </x:c>
      <x:c r="K6" s="12" t="str">
        <x:v>Sorumlu</x:v>
      </x:c>
      <x:c r="L6" s="12" t="str">
        <x:v>Açıklama</x:v>
      </x:c>
    </x:row>
    <x:row r="7" ht="22" customHeight="1">
      <x:c r="A7" s="6" t="str">
        <x:v>M001</x:v>
      </x:c>
      <x:c r="B7" s="6" t="str">
        <x:v>PRJ-001</x:v>
      </x:c>
      <x:c r="C7" s="6" t="str">
        <x:v>Kontrol panosu</x:v>
      </x:c>
      <x:c r="D7" s="6" t="str">
        <x:v>Malzeme</x:v>
      </x:c>
      <x:c r="E7" s="6" t="str">
        <x:v>Gerçekleşen</x:v>
      </x:c>
      <x:c r="F7" s="7" t="n">
        <x:v>46290</x:v>
      </x:c>
      <x:c r="G7" s="6" t="n">
        <x:v>1</x:v>
      </x:c>
      <x:c r="H7" s="13" t="n">
        <x:v>280000</x:v>
      </x:c>
      <x:c r="I7" s="14" t="n">
        <x:f>IF(A7="","",IF(OR(NOT(ISNUMBER(G7)),NOT(ISNUMBER(H7))),"Eksik maliyet",G7*H7))</x:f>
        <x:v>280000</x:v>
      </x:c>
      <x:c r="J7" s="6" t="str">
        <x:v>Örnek Tedarik A</x:v>
      </x:c>
      <x:c r="K7" s="6" t="str">
        <x:v>Can Akın</x:v>
      </x:c>
      <x:c r="L7" s="6" t="str"/>
    </x:row>
    <x:row r="8" ht="22" customHeight="1">
      <x:c r="A8" s="6" t="str">
        <x:v>M002</x:v>
      </x:c>
      <x:c r="B8" s="6" t="str">
        <x:v>PRJ-001</x:v>
      </x:c>
      <x:c r="C8" s="6" t="str">
        <x:v>Sensör paketi</x:v>
      </x:c>
      <x:c r="D8" s="6" t="str">
        <x:v>Malzeme</x:v>
      </x:c>
      <x:c r="E8" s="6" t="str">
        <x:v>Gerçekleşen</x:v>
      </x:c>
      <x:c r="F8" s="7" t="n">
        <x:v>46303</x:v>
      </x:c>
      <x:c r="G8" s="6" t="n">
        <x:v>1</x:v>
      </x:c>
      <x:c r="H8" s="13" t="n">
        <x:v>120000</x:v>
      </x:c>
      <x:c r="I8" s="14" t="n">
        <x:f>IF(A8="","",IF(OR(NOT(ISNUMBER(G8)),NOT(ISNUMBER(H8))),"Eksik maliyet",G8*H8))</x:f>
        <x:v>120000</x:v>
      </x:c>
      <x:c r="J8" s="6" t="str">
        <x:v>Örnek Tedarik B</x:v>
      </x:c>
      <x:c r="K8" s="6" t="str">
        <x:v>Can Akın</x:v>
      </x:c>
      <x:c r="L8" s="6" t="str"/>
    </x:row>
    <x:row r="9" ht="22" customHeight="1">
      <x:c r="A9" s="6" t="str">
        <x:v>M003</x:v>
      </x:c>
      <x:c r="B9" s="6" t="str">
        <x:v>PRJ-001</x:v>
      </x:c>
      <x:c r="C9" s="6" t="str">
        <x:v>Servo motorlar</x:v>
      </x:c>
      <x:c r="D9" s="6" t="str">
        <x:v>Malzeme</x:v>
      </x:c>
      <x:c r="E9" s="6" t="str">
        <x:v>Kalan tahmin</x:v>
      </x:c>
      <x:c r="F9" s="7" t="n">
        <x:v>46325</x:v>
      </x:c>
      <x:c r="G9" s="6" t="n">
        <x:v>4</x:v>
      </x:c>
      <x:c r="H9" s="13" t="n">
        <x:v>100000</x:v>
      </x:c>
      <x:c r="I9" s="14" t="n">
        <x:f>IF(A9="","",IF(OR(NOT(ISNUMBER(G9)),NOT(ISNUMBER(H9))),"Eksik maliyet",G9*H9))</x:f>
        <x:v>400000</x:v>
      </x:c>
      <x:c r="J9" s="6" t="str">
        <x:v>Örnek Tedarik C</x:v>
      </x:c>
      <x:c r="K9" s="6" t="str">
        <x:v>Can Akın</x:v>
      </x:c>
      <x:c r="L9" s="6" t="str">
        <x:v>Sipariş bekleniyor</x:v>
      </x:c>
    </x:row>
    <x:row r="10" ht="22" customHeight="1">
      <x:c r="A10" s="6" t="str">
        <x:v>M004</x:v>
      </x:c>
      <x:c r="B10" s="6" t="str">
        <x:v>PRJ-001</x:v>
      </x:c>
      <x:c r="C10" s="6" t="str">
        <x:v>Saha montaj hizmeti</x:v>
      </x:c>
      <x:c r="D10" s="6" t="str">
        <x:v>Hizmet</x:v>
      </x:c>
      <x:c r="E10" s="6" t="str">
        <x:v>Kalan tahmin</x:v>
      </x:c>
      <x:c r="F10" s="7" t="n">
        <x:v>46332</x:v>
      </x:c>
      <x:c r="G10" s="6" t="n">
        <x:v>1</x:v>
      </x:c>
      <x:c r="H10" s="13" t="n">
        <x:v>140000</x:v>
      </x:c>
      <x:c r="I10" s="14" t="n">
        <x:f>IF(A10="","",IF(OR(NOT(ISNUMBER(G10)),NOT(ISNUMBER(H10))),"Eksik maliyet",G10*H10))</x:f>
        <x:v>140000</x:v>
      </x:c>
      <x:c r="J10" s="6" t="str">
        <x:v>Örnek Tedarik D</x:v>
      </x:c>
      <x:c r="K10" s="6" t="str">
        <x:v>Ayşe Yılmaz</x:v>
      </x:c>
      <x:c r="L10" s="6" t="str"/>
    </x:row>
    <x:row r="11" ht="22" customHeight="1">
      <x:c r="A11" s="6" t="str">
        <x:v>M005</x:v>
      </x:c>
      <x:c r="B11" s="6" t="str">
        <x:v>PRJ-002</x:v>
      </x:c>
      <x:c r="C11" s="6" t="str">
        <x:v>Tasarım hizmeti</x:v>
      </x:c>
      <x:c r="D11" s="6" t="str">
        <x:v>Hizmet</x:v>
      </x:c>
      <x:c r="E11" s="6" t="str">
        <x:v>Gerçekleşen</x:v>
      </x:c>
      <x:c r="F11" s="7" t="n">
        <x:v>46290</x:v>
      </x:c>
      <x:c r="G11" s="6" t="n">
        <x:v>1</x:v>
      </x:c>
      <x:c r="H11" s="13" t="n">
        <x:v>70000</x:v>
      </x:c>
      <x:c r="I11" s="14" t="n">
        <x:f>IF(A11="","",IF(OR(NOT(ISNUMBER(G11)),NOT(ISNUMBER(H11))),"Eksik maliyet",G11*H11))</x:f>
        <x:v>70000</x:v>
      </x:c>
      <x:c r="J11" s="6" t="str">
        <x:v>Örnek Ajans</x:v>
      </x:c>
      <x:c r="K11" s="6" t="str">
        <x:v>Mehmet Demir</x:v>
      </x:c>
      <x:c r="L11" s="6" t="str"/>
    </x:row>
    <x:row r="12" ht="22" customHeight="1">
      <x:c r="A12" s="6" t="str">
        <x:v>M006</x:v>
      </x:c>
      <x:c r="B12" s="6" t="str">
        <x:v>PRJ-002</x:v>
      </x:c>
      <x:c r="C12" s="6" t="str">
        <x:v>Sunucu lisansı</x:v>
      </x:c>
      <x:c r="D12" s="6" t="str">
        <x:v>Malzeme</x:v>
      </x:c>
      <x:c r="E12" s="6" t="str">
        <x:v>Gerçekleşen</x:v>
      </x:c>
      <x:c r="F12" s="7" t="n">
        <x:v>46303</x:v>
      </x:c>
      <x:c r="G12" s="6" t="n">
        <x:v>1</x:v>
      </x:c>
      <x:c r="H12" s="13" t="n">
        <x:v>55000</x:v>
      </x:c>
      <x:c r="I12" s="14" t="n">
        <x:f>IF(A12="","",IF(OR(NOT(ISNUMBER(G12)),NOT(ISNUMBER(H12))),"Eksik maliyet",G12*H12))</x:f>
        <x:v>55000</x:v>
      </x:c>
      <x:c r="J12" s="6" t="str">
        <x:v>Örnek Yazılım</x:v>
      </x:c>
      <x:c r="K12" s="6" t="str">
        <x:v>Mehmet Demir</x:v>
      </x:c>
      <x:c r="L12" s="6" t="str"/>
    </x:row>
    <x:row r="13" ht="22" customHeight="1">
      <x:c r="A13" s="6" t="str">
        <x:v>M007</x:v>
      </x:c>
      <x:c r="B13" s="6" t="str">
        <x:v>PRJ-002</x:v>
      </x:c>
      <x:c r="C13" s="6" t="str">
        <x:v>Güvenlik testi</x:v>
      </x:c>
      <x:c r="D13" s="6" t="str">
        <x:v>Hizmet</x:v>
      </x:c>
      <x:c r="E13" s="6" t="str">
        <x:v>Kalan tahmin</x:v>
      </x:c>
      <x:c r="F13" s="7" t="n">
        <x:v>46339</x:v>
      </x:c>
      <x:c r="G13" s="6" t="n">
        <x:v>1</x:v>
      </x:c>
      <x:c r="H13" s="13" t="n">
        <x:v>65000</x:v>
      </x:c>
      <x:c r="I13" s="14" t="n">
        <x:f>IF(A13="","",IF(OR(NOT(ISNUMBER(G13)),NOT(ISNUMBER(H13))),"Eksik maliyet",G13*H13))</x:f>
        <x:v>65000</x:v>
      </x:c>
      <x:c r="J13" s="6" t="str">
        <x:v>Örnek Test</x:v>
      </x:c>
      <x:c r="K13" s="6" t="str">
        <x:v>Mehmet Demir</x:v>
      </x:c>
      <x:c r="L13" s="6" t="str"/>
    </x:row>
    <x:row r="14" ht="22" customHeight="1">
      <x:c r="A14" s="6" t="str">
        <x:v>M008</x:v>
      </x:c>
      <x:c r="B14" s="6" t="str">
        <x:v>PRJ-003</x:v>
      </x:c>
      <x:c r="C14" s="6" t="str">
        <x:v>El terminalleri</x:v>
      </x:c>
      <x:c r="D14" s="6" t="str">
        <x:v>Malzeme</x:v>
      </x:c>
      <x:c r="E14" s="6" t="str">
        <x:v>Gerçekleşen</x:v>
      </x:c>
      <x:c r="F14" s="7" t="n">
        <x:v>46296</x:v>
      </x:c>
      <x:c r="G14" s="6" t="n">
        <x:v>10</x:v>
      </x:c>
      <x:c r="H14" s="13" t="n">
        <x:v>26000</x:v>
      </x:c>
      <x:c r="I14" s="14" t="n">
        <x:f>IF(A14="","",IF(OR(NOT(ISNUMBER(G14)),NOT(ISNUMBER(H14))),"Eksik maliyet",G14*H14))</x:f>
        <x:v>260000</x:v>
      </x:c>
      <x:c r="J14" s="6" t="str">
        <x:v>Örnek Donanım</x:v>
      </x:c>
      <x:c r="K14" s="6" t="str">
        <x:v>Selin Kaya</x:v>
      </x:c>
      <x:c r="L14" s="6" t="str"/>
    </x:row>
    <x:row r="15" ht="22" customHeight="1">
      <x:c r="A15" s="6" t="str">
        <x:v>M009</x:v>
      </x:c>
      <x:c r="B15" s="6" t="str">
        <x:v>PRJ-003</x:v>
      </x:c>
      <x:c r="C15" s="6" t="str">
        <x:v>Raf etiketleri</x:v>
      </x:c>
      <x:c r="D15" s="6" t="str">
        <x:v>Malzeme</x:v>
      </x:c>
      <x:c r="E15" s="6" t="str">
        <x:v>Kalan tahmin</x:v>
      </x:c>
      <x:c r="F15" s="7" t="n">
        <x:v>46318</x:v>
      </x:c>
      <x:c r="G15" s="6" t="n">
        <x:v>1</x:v>
      </x:c>
      <x:c r="H15" s="13" t="n">
        <x:v>85000</x:v>
      </x:c>
      <x:c r="I15" s="14" t="n">
        <x:f>IF(A15="","",IF(OR(NOT(ISNUMBER(G15)),NOT(ISNUMBER(H15))),"Eksik maliyet",G15*H15))</x:f>
        <x:v>85000</x:v>
      </x:c>
      <x:c r="J15" s="6" t="str">
        <x:v>Örnek Donanım</x:v>
      </x:c>
      <x:c r="K15" s="6" t="str">
        <x:v>Selin Kaya</x:v>
      </x:c>
      <x:c r="L15" s="6" t="str"/>
    </x:row>
    <x:row r="16" ht="22" customHeight="1">
      <x:c r="A16" s="6" t="str">
        <x:v>M010</x:v>
      </x:c>
      <x:c r="B16" s="6" t="str">
        <x:v>PRJ-003</x:v>
      </x:c>
      <x:c r="C16" s="6" t="str">
        <x:v>Kurulum hizmeti</x:v>
      </x:c>
      <x:c r="D16" s="6" t="str">
        <x:v>Hizmet</x:v>
      </x:c>
      <x:c r="E16" s="6" t="str">
        <x:v>Kalan tahmin</x:v>
      </x:c>
      <x:c r="F16" s="7" t="n">
        <x:v>46339</x:v>
      </x:c>
      <x:c r="G16" s="6" t="n">
        <x:v>1</x:v>
      </x:c>
      <x:c r="H16" s="13" t="n">
        <x:v>100000</x:v>
      </x:c>
      <x:c r="I16" s="14" t="n">
        <x:f>IF(A16="","",IF(OR(NOT(ISNUMBER(G16)),NOT(ISNUMBER(H16))),"Eksik maliyet",G16*H16))</x:f>
        <x:v>100000</x:v>
      </x:c>
      <x:c r="J16" s="6" t="str">
        <x:v>Örnek Servis</x:v>
      </x:c>
      <x:c r="K16" s="6" t="str">
        <x:v>Selin Kaya</x:v>
      </x:c>
      <x:c r="L16" s="6" t="str"/>
    </x:row>
    <x:row r="17" ht="22" customHeight="1">
      <x:c r="A17" s="6"/>
      <x:c r="B17" s="6"/>
      <x:c r="C17" s="6"/>
      <x:c r="D17" s="6"/>
      <x:c r="E17" s="6"/>
      <x:c r="F17" s="7"/>
      <x:c r="G17" s="6"/>
      <x:c r="H17" s="13"/>
      <x:c r="I17" s="14" t="str">
        <x:f>IF(A17="","",IF(OR(NOT(ISNUMBER(G17)),NOT(ISNUMBER(H17))),"Eksik maliyet",G17*H17))</x:f>
      </x:c>
      <x:c r="J17" s="6"/>
      <x:c r="K17" s="6"/>
      <x:c r="L17" s="6"/>
    </x:row>
    <x:row r="18" ht="22" customHeight="1">
      <x:c r="A18" s="6"/>
      <x:c r="B18" s="6"/>
      <x:c r="C18" s="6"/>
      <x:c r="D18" s="6"/>
      <x:c r="E18" s="6"/>
      <x:c r="F18" s="7"/>
      <x:c r="G18" s="6"/>
      <x:c r="H18" s="13"/>
      <x:c r="I18" s="14" t="str">
        <x:f>IF(A18="","",IF(OR(NOT(ISNUMBER(G18)),NOT(ISNUMBER(H18))),"Eksik maliyet",G18*H18))</x:f>
      </x:c>
      <x:c r="J18" s="6"/>
      <x:c r="K18" s="6"/>
      <x:c r="L18" s="6"/>
    </x:row>
    <x:row r="19" ht="22" customHeight="1">
      <x:c r="A19" s="6"/>
      <x:c r="B19" s="6"/>
      <x:c r="C19" s="6"/>
      <x:c r="D19" s="6"/>
      <x:c r="E19" s="6"/>
      <x:c r="F19" s="7"/>
      <x:c r="G19" s="6"/>
      <x:c r="H19" s="13"/>
      <x:c r="I19" s="14" t="str">
        <x:f>IF(A19="","",IF(OR(NOT(ISNUMBER(G19)),NOT(ISNUMBER(H19))),"Eksik maliyet",G19*H19))</x:f>
      </x:c>
      <x:c r="J19" s="6"/>
      <x:c r="K19" s="6"/>
      <x:c r="L19" s="6"/>
    </x:row>
    <x:row r="20" ht="22" customHeight="1">
      <x:c r="A20" s="6"/>
      <x:c r="B20" s="6"/>
      <x:c r="C20" s="6"/>
      <x:c r="D20" s="6"/>
      <x:c r="E20" s="6"/>
      <x:c r="F20" s="7"/>
      <x:c r="G20" s="6"/>
      <x:c r="H20" s="13"/>
      <x:c r="I20" s="14" t="str">
        <x:f>IF(A20="","",IF(OR(NOT(ISNUMBER(G20)),NOT(ISNUMBER(H20))),"Eksik maliyet",G20*H20))</x:f>
      </x:c>
      <x:c r="J20" s="6"/>
      <x:c r="K20" s="6"/>
      <x:c r="L20" s="6"/>
    </x:row>
    <x:row r="21" ht="22" customHeight="1">
      <x:c r="A21" s="6"/>
      <x:c r="B21" s="6"/>
      <x:c r="C21" s="6"/>
      <x:c r="D21" s="6"/>
      <x:c r="E21" s="6"/>
      <x:c r="F21" s="7"/>
      <x:c r="G21" s="6"/>
      <x:c r="H21" s="13"/>
      <x:c r="I21" s="14" t="str">
        <x:f>IF(A21="","",IF(OR(NOT(ISNUMBER(G21)),NOT(ISNUMBER(H21))),"Eksik maliyet",G21*H21))</x:f>
      </x:c>
      <x:c r="J21" s="6"/>
      <x:c r="K21" s="6"/>
      <x:c r="L21" s="6"/>
    </x:row>
    <x:row r="22" ht="22" customHeight="1">
      <x:c r="A22" s="6"/>
      <x:c r="B22" s="6"/>
      <x:c r="C22" s="6"/>
      <x:c r="D22" s="6"/>
      <x:c r="E22" s="6"/>
      <x:c r="F22" s="7"/>
      <x:c r="G22" s="6"/>
      <x:c r="H22" s="13"/>
      <x:c r="I22" s="14" t="str">
        <x:f>IF(A22="","",IF(OR(NOT(ISNUMBER(G22)),NOT(ISNUMBER(H22))),"Eksik maliyet",G22*H22))</x:f>
      </x:c>
      <x:c r="J22" s="6"/>
      <x:c r="K22" s="6"/>
      <x:c r="L22" s="6"/>
    </x:row>
    <x:row r="23" ht="22" customHeight="1">
      <x:c r="A23" s="6"/>
      <x:c r="B23" s="6"/>
      <x:c r="C23" s="6"/>
      <x:c r="D23" s="6"/>
      <x:c r="E23" s="6"/>
      <x:c r="F23" s="7"/>
      <x:c r="G23" s="6"/>
      <x:c r="H23" s="13"/>
      <x:c r="I23" s="14" t="str">
        <x:f>IF(A23="","",IF(OR(NOT(ISNUMBER(G23)),NOT(ISNUMBER(H23))),"Eksik maliyet",G23*H23))</x:f>
      </x:c>
      <x:c r="J23" s="6"/>
      <x:c r="K23" s="6"/>
      <x:c r="L23" s="6"/>
    </x:row>
    <x:row r="24" ht="22" customHeight="1">
      <x:c r="A24" s="6"/>
      <x:c r="B24" s="6"/>
      <x:c r="C24" s="6"/>
      <x:c r="D24" s="6"/>
      <x:c r="E24" s="6"/>
      <x:c r="F24" s="7"/>
      <x:c r="G24" s="6"/>
      <x:c r="H24" s="13"/>
      <x:c r="I24" s="14" t="str">
        <x:f>IF(A24="","",IF(OR(NOT(ISNUMBER(G24)),NOT(ISNUMBER(H24))),"Eksik maliyet",G24*H24))</x:f>
      </x:c>
      <x:c r="J24" s="6"/>
      <x:c r="K24" s="6"/>
      <x:c r="L24" s="6"/>
    </x:row>
    <x:row r="25" ht="22" customHeight="1">
      <x:c r="A25" s="6"/>
      <x:c r="B25" s="6"/>
      <x:c r="C25" s="6"/>
      <x:c r="D25" s="6"/>
      <x:c r="E25" s="6"/>
      <x:c r="F25" s="7"/>
      <x:c r="G25" s="6"/>
      <x:c r="H25" s="13"/>
      <x:c r="I25" s="14" t="str">
        <x:f>IF(A25="","",IF(OR(NOT(ISNUMBER(G25)),NOT(ISNUMBER(H25))),"Eksik maliyet",G25*H25))</x:f>
      </x:c>
      <x:c r="J25" s="6"/>
      <x:c r="K25" s="6"/>
      <x:c r="L25" s="6"/>
    </x:row>
    <x:row r="26" ht="22" customHeight="1">
      <x:c r="A26" s="6"/>
      <x:c r="B26" s="6"/>
      <x:c r="C26" s="6"/>
      <x:c r="D26" s="6"/>
      <x:c r="E26" s="6"/>
      <x:c r="F26" s="7"/>
      <x:c r="G26" s="6"/>
      <x:c r="H26" s="13"/>
      <x:c r="I26" s="14" t="str">
        <x:f>IF(A26="","",IF(OR(NOT(ISNUMBER(G26)),NOT(ISNUMBER(H26))),"Eksik maliyet",G26*H26))</x:f>
      </x:c>
      <x:c r="J26" s="6"/>
      <x:c r="K26" s="6"/>
      <x:c r="L26" s="6"/>
    </x:row>
    <x:row r="27" ht="22" customHeight="1">
      <x:c r="A27" s="6"/>
      <x:c r="B27" s="6"/>
      <x:c r="C27" s="6"/>
      <x:c r="D27" s="6"/>
      <x:c r="E27" s="6"/>
      <x:c r="F27" s="7"/>
      <x:c r="G27" s="6"/>
      <x:c r="H27" s="13"/>
      <x:c r="I27" s="14" t="str">
        <x:f>IF(A27="","",IF(OR(NOT(ISNUMBER(G27)),NOT(ISNUMBER(H27))),"Eksik maliyet",G27*H27))</x:f>
      </x:c>
      <x:c r="J27" s="6"/>
      <x:c r="K27" s="6"/>
      <x:c r="L27" s="6"/>
    </x:row>
    <x:row r="28" ht="22" customHeight="1">
      <x:c r="A28" s="6"/>
      <x:c r="B28" s="6"/>
      <x:c r="C28" s="6"/>
      <x:c r="D28" s="6"/>
      <x:c r="E28" s="6"/>
      <x:c r="F28" s="7"/>
      <x:c r="G28" s="6"/>
      <x:c r="H28" s="13"/>
      <x:c r="I28" s="14" t="str">
        <x:f>IF(A28="","",IF(OR(NOT(ISNUMBER(G28)),NOT(ISNUMBER(H28))),"Eksik maliyet",G28*H28))</x:f>
      </x:c>
      <x:c r="J28" s="6"/>
      <x:c r="K28" s="6"/>
      <x:c r="L28" s="6"/>
    </x:row>
    <x:row r="29" ht="22" customHeight="1">
      <x:c r="A29" s="6"/>
      <x:c r="B29" s="6"/>
      <x:c r="C29" s="6"/>
      <x:c r="D29" s="6"/>
      <x:c r="E29" s="6"/>
      <x:c r="F29" s="7"/>
      <x:c r="G29" s="6"/>
      <x:c r="H29" s="13"/>
      <x:c r="I29" s="14" t="str">
        <x:f>IF(A29="","",IF(OR(NOT(ISNUMBER(G29)),NOT(ISNUMBER(H29))),"Eksik maliyet",G29*H29))</x:f>
      </x:c>
      <x:c r="J29" s="6"/>
      <x:c r="K29" s="6"/>
      <x:c r="L29" s="6"/>
    </x:row>
    <x:row r="30" ht="22" customHeight="1">
      <x:c r="A30" s="6"/>
      <x:c r="B30" s="6"/>
      <x:c r="C30" s="6"/>
      <x:c r="D30" s="6"/>
      <x:c r="E30" s="6"/>
      <x:c r="F30" s="7"/>
      <x:c r="G30" s="6"/>
      <x:c r="H30" s="13"/>
      <x:c r="I30" s="14" t="str">
        <x:f>IF(A30="","",IF(OR(NOT(ISNUMBER(G30)),NOT(ISNUMBER(H30))),"Eksik maliyet",G30*H30))</x:f>
      </x:c>
      <x:c r="J30" s="6"/>
      <x:c r="K30" s="6"/>
      <x:c r="L30" s="6"/>
    </x:row>
    <x:row r="31" ht="22" customHeight="1">
      <x:c r="A31" s="6"/>
      <x:c r="B31" s="6"/>
      <x:c r="C31" s="6"/>
      <x:c r="D31" s="6"/>
      <x:c r="E31" s="6"/>
      <x:c r="F31" s="7"/>
      <x:c r="G31" s="6"/>
      <x:c r="H31" s="13"/>
      <x:c r="I31" s="14" t="str">
        <x:f>IF(A31="","",IF(OR(NOT(ISNUMBER(G31)),NOT(ISNUMBER(H31))),"Eksik maliyet",G31*H31))</x:f>
      </x:c>
      <x:c r="J31" s="6"/>
      <x:c r="K31" s="6"/>
      <x:c r="L31" s="6"/>
    </x:row>
    <x:row r="32" ht="22" customHeight="1">
      <x:c r="A32" s="6"/>
      <x:c r="B32" s="6"/>
      <x:c r="C32" s="6"/>
      <x:c r="D32" s="6"/>
      <x:c r="E32" s="6"/>
      <x:c r="F32" s="7"/>
      <x:c r="G32" s="6"/>
      <x:c r="H32" s="13"/>
      <x:c r="I32" s="14" t="str">
        <x:f>IF(A32="","",IF(OR(NOT(ISNUMBER(G32)),NOT(ISNUMBER(H32))),"Eksik maliyet",G32*H32))</x:f>
      </x:c>
      <x:c r="J32" s="6"/>
      <x:c r="K32" s="6"/>
      <x:c r="L32" s="6"/>
    </x:row>
    <x:row r="33" ht="22" customHeight="1">
      <x:c r="A33" s="6"/>
      <x:c r="B33" s="6"/>
      <x:c r="C33" s="6"/>
      <x:c r="D33" s="6"/>
      <x:c r="E33" s="6"/>
      <x:c r="F33" s="7"/>
      <x:c r="G33" s="6"/>
      <x:c r="H33" s="13"/>
      <x:c r="I33" s="14" t="str">
        <x:f>IF(A33="","",IF(OR(NOT(ISNUMBER(G33)),NOT(ISNUMBER(H33))),"Eksik maliyet",G33*H33))</x:f>
      </x:c>
      <x:c r="J33" s="6"/>
      <x:c r="K33" s="6"/>
      <x:c r="L33" s="6"/>
    </x:row>
    <x:row r="34" ht="22" customHeight="1">
      <x:c r="A34" s="6"/>
      <x:c r="B34" s="6"/>
      <x:c r="C34" s="6"/>
      <x:c r="D34" s="6"/>
      <x:c r="E34" s="6"/>
      <x:c r="F34" s="7"/>
      <x:c r="G34" s="6"/>
      <x:c r="H34" s="13"/>
      <x:c r="I34" s="14" t="str">
        <x:f>IF(A34="","",IF(OR(NOT(ISNUMBER(G34)),NOT(ISNUMBER(H34))),"Eksik maliyet",G34*H34))</x:f>
      </x:c>
      <x:c r="J34" s="6"/>
      <x:c r="K34" s="6"/>
      <x:c r="L34" s="6"/>
    </x:row>
    <x:row r="35" ht="22" customHeight="1">
      <x:c r="A35" s="6"/>
      <x:c r="B35" s="6"/>
      <x:c r="C35" s="6"/>
      <x:c r="D35" s="6"/>
      <x:c r="E35" s="6"/>
      <x:c r="F35" s="7"/>
      <x:c r="G35" s="6"/>
      <x:c r="H35" s="13"/>
      <x:c r="I35" s="14" t="str">
        <x:f>IF(A35="","",IF(OR(NOT(ISNUMBER(G35)),NOT(ISNUMBER(H35))),"Eksik maliyet",G35*H35))</x:f>
      </x:c>
      <x:c r="J35" s="6"/>
      <x:c r="K35" s="6"/>
      <x:c r="L35" s="6"/>
    </x:row>
    <x:row r="36" ht="22" customHeight="1">
      <x:c r="A36" s="6"/>
      <x:c r="B36" s="6"/>
      <x:c r="C36" s="6"/>
      <x:c r="D36" s="6"/>
      <x:c r="E36" s="6"/>
      <x:c r="F36" s="7"/>
      <x:c r="G36" s="6"/>
      <x:c r="H36" s="13"/>
      <x:c r="I36" s="14" t="str">
        <x:f>IF(A36="","",IF(OR(NOT(ISNUMBER(G36)),NOT(ISNUMBER(H36))),"Eksik maliyet",G36*H36))</x:f>
      </x:c>
      <x:c r="J36" s="6"/>
      <x:c r="K36" s="6"/>
      <x:c r="L36" s="6"/>
    </x:row>
    <x:row r="37" ht="22" customHeight="1">
      <x:c r="A37" s="6"/>
      <x:c r="B37" s="6"/>
      <x:c r="C37" s="6"/>
      <x:c r="D37" s="6"/>
      <x:c r="E37" s="6"/>
      <x:c r="F37" s="7"/>
      <x:c r="G37" s="6"/>
      <x:c r="H37" s="13"/>
      <x:c r="I37" s="14" t="str">
        <x:f>IF(A37="","",IF(OR(NOT(ISNUMBER(G37)),NOT(ISNUMBER(H37))),"Eksik maliyet",G37*H37))</x:f>
      </x:c>
      <x:c r="J37" s="6"/>
      <x:c r="K37" s="6"/>
      <x:c r="L37" s="6"/>
    </x:row>
    <x:row r="38" ht="22" customHeight="1">
      <x:c r="A38" s="6"/>
      <x:c r="B38" s="6"/>
      <x:c r="C38" s="6"/>
      <x:c r="D38" s="6"/>
      <x:c r="E38" s="6"/>
      <x:c r="F38" s="7"/>
      <x:c r="G38" s="6"/>
      <x:c r="H38" s="13"/>
      <x:c r="I38" s="14" t="str">
        <x:f>IF(A38="","",IF(OR(NOT(ISNUMBER(G38)),NOT(ISNUMBER(H38))),"Eksik maliyet",G38*H38))</x:f>
      </x:c>
      <x:c r="J38" s="6"/>
      <x:c r="K38" s="6"/>
      <x:c r="L38" s="6"/>
    </x:row>
    <x:row r="39" ht="22" customHeight="1">
      <x:c r="A39" s="6"/>
      <x:c r="B39" s="6"/>
      <x:c r="C39" s="6"/>
      <x:c r="D39" s="6"/>
      <x:c r="E39" s="6"/>
      <x:c r="F39" s="7"/>
      <x:c r="G39" s="6"/>
      <x:c r="H39" s="13"/>
      <x:c r="I39" s="14" t="str">
        <x:f>IF(A39="","",IF(OR(NOT(ISNUMBER(G39)),NOT(ISNUMBER(H39))),"Eksik maliyet",G39*H39))</x:f>
      </x:c>
      <x:c r="J39" s="6"/>
      <x:c r="K39" s="6"/>
      <x:c r="L39" s="6"/>
    </x:row>
    <x:row r="40" ht="22" customHeight="1">
      <x:c r="A40" s="6"/>
      <x:c r="B40" s="6"/>
      <x:c r="C40" s="6"/>
      <x:c r="D40" s="6"/>
      <x:c r="E40" s="6"/>
      <x:c r="F40" s="7"/>
      <x:c r="G40" s="6"/>
      <x:c r="H40" s="13"/>
      <x:c r="I40" s="14" t="str">
        <x:f>IF(A40="","",IF(OR(NOT(ISNUMBER(G40)),NOT(ISNUMBER(H40))),"Eksik maliyet",G40*H40))</x:f>
      </x:c>
      <x:c r="J40" s="6"/>
      <x:c r="K40" s="6"/>
      <x:c r="L40" s="6"/>
    </x:row>
    <x:row r="41" ht="22" customHeight="1">
      <x:c r="A41" s="6"/>
      <x:c r="B41" s="6"/>
      <x:c r="C41" s="6"/>
      <x:c r="D41" s="6"/>
      <x:c r="E41" s="6"/>
      <x:c r="F41" s="7"/>
      <x:c r="G41" s="6"/>
      <x:c r="H41" s="13"/>
      <x:c r="I41" s="14" t="str">
        <x:f>IF(A41="","",IF(OR(NOT(ISNUMBER(G41)),NOT(ISNUMBER(H41))),"Eksik maliyet",G41*H41))</x:f>
      </x:c>
      <x:c r="J41" s="6"/>
      <x:c r="K41" s="6"/>
      <x:c r="L41" s="6"/>
    </x:row>
    <x:row r="42" ht="22" customHeight="1">
      <x:c r="A42" s="6"/>
      <x:c r="B42" s="6"/>
      <x:c r="C42" s="6"/>
      <x:c r="D42" s="6"/>
      <x:c r="E42" s="6"/>
      <x:c r="F42" s="7"/>
      <x:c r="G42" s="6"/>
      <x:c r="H42" s="13"/>
      <x:c r="I42" s="14" t="str">
        <x:f>IF(A42="","",IF(OR(NOT(ISNUMBER(G42)),NOT(ISNUMBER(H42))),"Eksik maliyet",G42*H42))</x:f>
      </x:c>
      <x:c r="J42" s="6"/>
      <x:c r="K42" s="6"/>
      <x:c r="L42" s="6"/>
    </x:row>
    <x:row r="43" ht="22" customHeight="1">
      <x:c r="A43" s="6"/>
      <x:c r="B43" s="6"/>
      <x:c r="C43" s="6"/>
      <x:c r="D43" s="6"/>
      <x:c r="E43" s="6"/>
      <x:c r="F43" s="7"/>
      <x:c r="G43" s="6"/>
      <x:c r="H43" s="13"/>
      <x:c r="I43" s="14" t="str">
        <x:f>IF(A43="","",IF(OR(NOT(ISNUMBER(G43)),NOT(ISNUMBER(H43))),"Eksik maliyet",G43*H43))</x:f>
      </x:c>
      <x:c r="J43" s="6"/>
      <x:c r="K43" s="6"/>
      <x:c r="L43" s="6"/>
    </x:row>
    <x:row r="44" ht="22" customHeight="1">
      <x:c r="A44" s="6"/>
      <x:c r="B44" s="6"/>
      <x:c r="C44" s="6"/>
      <x:c r="D44" s="6"/>
      <x:c r="E44" s="6"/>
      <x:c r="F44" s="7"/>
      <x:c r="G44" s="6"/>
      <x:c r="H44" s="13"/>
      <x:c r="I44" s="14" t="str">
        <x:f>IF(A44="","",IF(OR(NOT(ISNUMBER(G44)),NOT(ISNUMBER(H44))),"Eksik maliyet",G44*H44))</x:f>
      </x:c>
      <x:c r="J44" s="6"/>
      <x:c r="K44" s="6"/>
      <x:c r="L44" s="6"/>
    </x:row>
    <x:row r="45" ht="22" customHeight="1">
      <x:c r="A45" s="6"/>
      <x:c r="B45" s="6"/>
      <x:c r="C45" s="6"/>
      <x:c r="D45" s="6"/>
      <x:c r="E45" s="6"/>
      <x:c r="F45" s="7"/>
      <x:c r="G45" s="6"/>
      <x:c r="H45" s="13"/>
      <x:c r="I45" s="14" t="str">
        <x:f>IF(A45="","",IF(OR(NOT(ISNUMBER(G45)),NOT(ISNUMBER(H45))),"Eksik maliyet",G45*H45))</x:f>
      </x:c>
      <x:c r="J45" s="6"/>
      <x:c r="K45" s="6"/>
      <x:c r="L45" s="6"/>
    </x:row>
    <x:row r="46" ht="22" customHeight="1">
      <x:c r="A46" s="6"/>
      <x:c r="B46" s="6"/>
      <x:c r="C46" s="6"/>
      <x:c r="D46" s="6"/>
      <x:c r="E46" s="6"/>
      <x:c r="F46" s="7"/>
      <x:c r="G46" s="6"/>
      <x:c r="H46" s="13"/>
      <x:c r="I46" s="14" t="str">
        <x:f>IF(A46="","",IF(OR(NOT(ISNUMBER(G46)),NOT(ISNUMBER(H46))),"Eksik maliyet",G46*H46))</x:f>
      </x:c>
      <x:c r="J46" s="6"/>
      <x:c r="K46" s="6"/>
      <x:c r="L46" s="6"/>
    </x:row>
    <x:row r="47" ht="22" customHeight="1">
      <x:c r="A47" s="6"/>
      <x:c r="B47" s="6"/>
      <x:c r="C47" s="6"/>
      <x:c r="D47" s="6"/>
      <x:c r="E47" s="6"/>
      <x:c r="F47" s="7"/>
      <x:c r="G47" s="6"/>
      <x:c r="H47" s="13"/>
      <x:c r="I47" s="14" t="str">
        <x:f>IF(A47="","",IF(OR(NOT(ISNUMBER(G47)),NOT(ISNUMBER(H47))),"Eksik maliyet",G47*H47))</x:f>
      </x:c>
      <x:c r="J47" s="6"/>
      <x:c r="K47" s="6"/>
      <x:c r="L47" s="6"/>
    </x:row>
    <x:row r="48" ht="22" customHeight="1">
      <x:c r="A48" s="6"/>
      <x:c r="B48" s="6"/>
      <x:c r="C48" s="6"/>
      <x:c r="D48" s="6"/>
      <x:c r="E48" s="6"/>
      <x:c r="F48" s="7"/>
      <x:c r="G48" s="6"/>
      <x:c r="H48" s="13"/>
      <x:c r="I48" s="14" t="str">
        <x:f>IF(A48="","",IF(OR(NOT(ISNUMBER(G48)),NOT(ISNUMBER(H48))),"Eksik maliyet",G48*H48))</x:f>
      </x:c>
      <x:c r="J48" s="6"/>
      <x:c r="K48" s="6"/>
      <x:c r="L48" s="6"/>
    </x:row>
    <x:row r="49" ht="22" customHeight="1">
      <x:c r="A49" s="6"/>
      <x:c r="B49" s="6"/>
      <x:c r="C49" s="6"/>
      <x:c r="D49" s="6"/>
      <x:c r="E49" s="6"/>
      <x:c r="F49" s="7"/>
      <x:c r="G49" s="6"/>
      <x:c r="H49" s="13"/>
      <x:c r="I49" s="14" t="str">
        <x:f>IF(A49="","",IF(OR(NOT(ISNUMBER(G49)),NOT(ISNUMBER(H49))),"Eksik maliyet",G49*H49))</x:f>
      </x:c>
      <x:c r="J49" s="6"/>
      <x:c r="K49" s="6"/>
      <x:c r="L49" s="6"/>
    </x:row>
    <x:row r="50" ht="22" customHeight="1">
      <x:c r="A50" s="6"/>
      <x:c r="B50" s="6"/>
      <x:c r="C50" s="6"/>
      <x:c r="D50" s="6"/>
      <x:c r="E50" s="6"/>
      <x:c r="F50" s="7"/>
      <x:c r="G50" s="6"/>
      <x:c r="H50" s="13"/>
      <x:c r="I50" s="14" t="str">
        <x:f>IF(A50="","",IF(OR(NOT(ISNUMBER(G50)),NOT(ISNUMBER(H50))),"Eksik maliyet",G50*H50))</x:f>
      </x:c>
      <x:c r="J50" s="6"/>
      <x:c r="K50" s="6"/>
      <x:c r="L50" s="6"/>
    </x:row>
    <x:row r="51" ht="22" customHeight="1">
      <x:c r="A51" s="6"/>
      <x:c r="B51" s="6"/>
      <x:c r="C51" s="6"/>
      <x:c r="D51" s="6"/>
      <x:c r="E51" s="6"/>
      <x:c r="F51" s="7"/>
      <x:c r="G51" s="6"/>
      <x:c r="H51" s="13"/>
      <x:c r="I51" s="14" t="str">
        <x:f>IF(A51="","",IF(OR(NOT(ISNUMBER(G51)),NOT(ISNUMBER(H51))),"Eksik maliyet",G51*H51))</x:f>
      </x:c>
      <x:c r="J51" s="6"/>
      <x:c r="K51" s="6"/>
      <x:c r="L51" s="6"/>
    </x:row>
    <x:row r="52" ht="22" customHeight="1">
      <x:c r="A52" s="6"/>
      <x:c r="B52" s="6"/>
      <x:c r="C52" s="6"/>
      <x:c r="D52" s="6"/>
      <x:c r="E52" s="6"/>
      <x:c r="F52" s="7"/>
      <x:c r="G52" s="6"/>
      <x:c r="H52" s="13"/>
      <x:c r="I52" s="14" t="str">
        <x:f>IF(A52="","",IF(OR(NOT(ISNUMBER(G52)),NOT(ISNUMBER(H52))),"Eksik maliyet",G52*H52))</x:f>
      </x:c>
      <x:c r="J52" s="6"/>
      <x:c r="K52" s="6"/>
      <x:c r="L52" s="6"/>
    </x:row>
    <x:row r="53" ht="22" customHeight="1">
      <x:c r="A53" s="6"/>
      <x:c r="B53" s="6"/>
      <x:c r="C53" s="6"/>
      <x:c r="D53" s="6"/>
      <x:c r="E53" s="6"/>
      <x:c r="F53" s="7"/>
      <x:c r="G53" s="6"/>
      <x:c r="H53" s="13"/>
      <x:c r="I53" s="14" t="str">
        <x:f>IF(A53="","",IF(OR(NOT(ISNUMBER(G53)),NOT(ISNUMBER(H53))),"Eksik maliyet",G53*H53))</x:f>
      </x:c>
      <x:c r="J53" s="6"/>
      <x:c r="K53" s="6"/>
      <x:c r="L53" s="6"/>
    </x:row>
    <x:row r="54" ht="22" customHeight="1">
      <x:c r="A54" s="6"/>
      <x:c r="B54" s="6"/>
      <x:c r="C54" s="6"/>
      <x:c r="D54" s="6"/>
      <x:c r="E54" s="6"/>
      <x:c r="F54" s="7"/>
      <x:c r="G54" s="6"/>
      <x:c r="H54" s="13"/>
      <x:c r="I54" s="14" t="str">
        <x:f>IF(A54="","",IF(OR(NOT(ISNUMBER(G54)),NOT(ISNUMBER(H54))),"Eksik maliyet",G54*H54))</x:f>
      </x:c>
      <x:c r="J54" s="6"/>
      <x:c r="K54" s="6"/>
      <x:c r="L54" s="6"/>
    </x:row>
    <x:row r="55" ht="22" customHeight="1">
      <x:c r="A55" s="6"/>
      <x:c r="B55" s="6"/>
      <x:c r="C55" s="6"/>
      <x:c r="D55" s="6"/>
      <x:c r="E55" s="6"/>
      <x:c r="F55" s="7"/>
      <x:c r="G55" s="6"/>
      <x:c r="H55" s="13"/>
      <x:c r="I55" s="14" t="str">
        <x:f>IF(A55="","",IF(OR(NOT(ISNUMBER(G55)),NOT(ISNUMBER(H55))),"Eksik maliyet",G55*H55))</x:f>
      </x:c>
      <x:c r="J55" s="6"/>
      <x:c r="K55" s="6"/>
      <x:c r="L55" s="6"/>
    </x:row>
    <x:row r="56" ht="22" customHeight="1">
      <x:c r="A56" s="6"/>
      <x:c r="B56" s="6"/>
      <x:c r="C56" s="6"/>
      <x:c r="D56" s="6"/>
      <x:c r="E56" s="6"/>
      <x:c r="F56" s="7"/>
      <x:c r="G56" s="6"/>
      <x:c r="H56" s="13"/>
      <x:c r="I56" s="14" t="str">
        <x:f>IF(A56="","",IF(OR(NOT(ISNUMBER(G56)),NOT(ISNUMBER(H56))),"Eksik maliyet",G56*H56))</x:f>
      </x:c>
      <x:c r="J56" s="6"/>
      <x:c r="K56" s="6"/>
      <x:c r="L56" s="6"/>
    </x:row>
    <x:row r="57" ht="22" customHeight="1">
      <x:c r="A57" s="6"/>
      <x:c r="B57" s="6"/>
      <x:c r="C57" s="6"/>
      <x:c r="D57" s="6"/>
      <x:c r="E57" s="6"/>
      <x:c r="F57" s="7"/>
      <x:c r="G57" s="6"/>
      <x:c r="H57" s="13"/>
      <x:c r="I57" s="14" t="str">
        <x:f>IF(A57="","",IF(OR(NOT(ISNUMBER(G57)),NOT(ISNUMBER(H57))),"Eksik maliyet",G57*H57))</x:f>
      </x:c>
      <x:c r="J57" s="6"/>
      <x:c r="K57" s="6"/>
      <x:c r="L57" s="6"/>
    </x:row>
    <x:row r="58" ht="22" customHeight="1">
      <x:c r="A58" s="6"/>
      <x:c r="B58" s="6"/>
      <x:c r="C58" s="6"/>
      <x:c r="D58" s="6"/>
      <x:c r="E58" s="6"/>
      <x:c r="F58" s="7"/>
      <x:c r="G58" s="6"/>
      <x:c r="H58" s="13"/>
      <x:c r="I58" s="14" t="str">
        <x:f>IF(A58="","",IF(OR(NOT(ISNUMBER(G58)),NOT(ISNUMBER(H58))),"Eksik maliyet",G58*H58))</x:f>
      </x:c>
      <x:c r="J58" s="6"/>
      <x:c r="K58" s="6"/>
      <x:c r="L58" s="6"/>
    </x:row>
    <x:row r="59" ht="22" customHeight="1">
      <x:c r="A59" s="6"/>
      <x:c r="B59" s="6"/>
      <x:c r="C59" s="6"/>
      <x:c r="D59" s="6"/>
      <x:c r="E59" s="6"/>
      <x:c r="F59" s="7"/>
      <x:c r="G59" s="6"/>
      <x:c r="H59" s="13"/>
      <x:c r="I59" s="14" t="str">
        <x:f>IF(A59="","",IF(OR(NOT(ISNUMBER(G59)),NOT(ISNUMBER(H59))),"Eksik maliyet",G59*H59))</x:f>
      </x:c>
      <x:c r="J59" s="6"/>
      <x:c r="K59" s="6"/>
      <x:c r="L59" s="6"/>
    </x:row>
    <x:row r="60" ht="22" customHeight="1">
      <x:c r="A60" s="6"/>
      <x:c r="B60" s="6"/>
      <x:c r="C60" s="6"/>
      <x:c r="D60" s="6"/>
      <x:c r="E60" s="6"/>
      <x:c r="F60" s="7"/>
      <x:c r="G60" s="6"/>
      <x:c r="H60" s="13"/>
      <x:c r="I60" s="14" t="str">
        <x:f>IF(A60="","",IF(OR(NOT(ISNUMBER(G60)),NOT(ISNUMBER(H60))),"Eksik maliyet",G60*H60))</x:f>
      </x:c>
      <x:c r="J60" s="6"/>
      <x:c r="K60" s="6"/>
      <x:c r="L60" s="6"/>
    </x:row>
    <x:row r="61" ht="22" customHeight="1">
      <x:c r="A61" s="6"/>
      <x:c r="B61" s="6"/>
      <x:c r="C61" s="6"/>
      <x:c r="D61" s="6"/>
      <x:c r="E61" s="6"/>
      <x:c r="F61" s="7"/>
      <x:c r="G61" s="6"/>
      <x:c r="H61" s="13"/>
      <x:c r="I61" s="14" t="str">
        <x:f>IF(A61="","",IF(OR(NOT(ISNUMBER(G61)),NOT(ISNUMBER(H61))),"Eksik maliyet",G61*H61))</x:f>
      </x:c>
      <x:c r="J61" s="6"/>
      <x:c r="K61" s="6"/>
      <x:c r="L61" s="6"/>
    </x:row>
    <x:row r="62" ht="22" customHeight="1">
      <x:c r="A62" s="6"/>
      <x:c r="B62" s="6"/>
      <x:c r="C62" s="6"/>
      <x:c r="D62" s="6"/>
      <x:c r="E62" s="6"/>
      <x:c r="F62" s="7"/>
      <x:c r="G62" s="6"/>
      <x:c r="H62" s="13"/>
      <x:c r="I62" s="14" t="str">
        <x:f>IF(A62="","",IF(OR(NOT(ISNUMBER(G62)),NOT(ISNUMBER(H62))),"Eksik maliyet",G62*H62))</x:f>
      </x:c>
      <x:c r="J62" s="6"/>
      <x:c r="K62" s="6"/>
      <x:c r="L62" s="6"/>
    </x:row>
    <x:row r="63" ht="22" customHeight="1">
      <x:c r="A63" s="6"/>
      <x:c r="B63" s="6"/>
      <x:c r="C63" s="6"/>
      <x:c r="D63" s="6"/>
      <x:c r="E63" s="6"/>
      <x:c r="F63" s="7"/>
      <x:c r="G63" s="6"/>
      <x:c r="H63" s="13"/>
      <x:c r="I63" s="14" t="str">
        <x:f>IF(A63="","",IF(OR(NOT(ISNUMBER(G63)),NOT(ISNUMBER(H63))),"Eksik maliyet",G63*H63))</x:f>
      </x:c>
      <x:c r="J63" s="6"/>
      <x:c r="K63" s="6"/>
      <x:c r="L63" s="6"/>
    </x:row>
    <x:row r="64" ht="22" customHeight="1">
      <x:c r="A64" s="6"/>
      <x:c r="B64" s="6"/>
      <x:c r="C64" s="6"/>
      <x:c r="D64" s="6"/>
      <x:c r="E64" s="6"/>
      <x:c r="F64" s="7"/>
      <x:c r="G64" s="6"/>
      <x:c r="H64" s="13"/>
      <x:c r="I64" s="14" t="str">
        <x:f>IF(A64="","",IF(OR(NOT(ISNUMBER(G64)),NOT(ISNUMBER(H64))),"Eksik maliyet",G64*H64))</x:f>
      </x:c>
      <x:c r="J64" s="6"/>
      <x:c r="K64" s="6"/>
      <x:c r="L64" s="6"/>
    </x:row>
    <x:row r="65" ht="22" customHeight="1">
      <x:c r="A65" s="6"/>
      <x:c r="B65" s="6"/>
      <x:c r="C65" s="6"/>
      <x:c r="D65" s="6"/>
      <x:c r="E65" s="6"/>
      <x:c r="F65" s="7"/>
      <x:c r="G65" s="6"/>
      <x:c r="H65" s="13"/>
      <x:c r="I65" s="14" t="str">
        <x:f>IF(A65="","",IF(OR(NOT(ISNUMBER(G65)),NOT(ISNUMBER(H65))),"Eksik maliyet",G65*H65))</x:f>
      </x:c>
      <x:c r="J65" s="6"/>
      <x:c r="K65" s="6"/>
      <x:c r="L65" s="6"/>
    </x:row>
    <x:row r="66" ht="22" customHeight="1">
      <x:c r="A66" s="6"/>
      <x:c r="B66" s="6"/>
      <x:c r="C66" s="6"/>
      <x:c r="D66" s="6"/>
      <x:c r="E66" s="6"/>
      <x:c r="F66" s="7"/>
      <x:c r="G66" s="6"/>
      <x:c r="H66" s="13"/>
      <x:c r="I66" s="14" t="str">
        <x:f>IF(A66="","",IF(OR(NOT(ISNUMBER(G66)),NOT(ISNUMBER(H66))),"Eksik maliyet",G66*H66))</x:f>
      </x:c>
      <x:c r="J66" s="6"/>
      <x:c r="K66" s="6"/>
      <x:c r="L66" s="6"/>
    </x:row>
    <x:row r="67" ht="22" customHeight="1">
      <x:c r="A67" s="6"/>
      <x:c r="B67" s="6"/>
      <x:c r="C67" s="6"/>
      <x:c r="D67" s="6"/>
      <x:c r="E67" s="6"/>
      <x:c r="F67" s="7"/>
      <x:c r="G67" s="6"/>
      <x:c r="H67" s="13"/>
      <x:c r="I67" s="14" t="str">
        <x:f>IF(A67="","",IF(OR(NOT(ISNUMBER(G67)),NOT(ISNUMBER(H67))),"Eksik maliyet",G67*H67))</x:f>
      </x:c>
      <x:c r="J67" s="6"/>
      <x:c r="K67" s="6"/>
      <x:c r="L67" s="6"/>
    </x:row>
    <x:row r="68" ht="22" customHeight="1">
      <x:c r="A68" s="6"/>
      <x:c r="B68" s="6"/>
      <x:c r="C68" s="6"/>
      <x:c r="D68" s="6"/>
      <x:c r="E68" s="6"/>
      <x:c r="F68" s="7"/>
      <x:c r="G68" s="6"/>
      <x:c r="H68" s="13"/>
      <x:c r="I68" s="14" t="str">
        <x:f>IF(A68="","",IF(OR(NOT(ISNUMBER(G68)),NOT(ISNUMBER(H68))),"Eksik maliyet",G68*H68))</x:f>
      </x:c>
      <x:c r="J68" s="6"/>
      <x:c r="K68" s="6"/>
      <x:c r="L68" s="6"/>
    </x:row>
    <x:row r="69" ht="22" customHeight="1">
      <x:c r="A69" s="6"/>
      <x:c r="B69" s="6"/>
      <x:c r="C69" s="6"/>
      <x:c r="D69" s="6"/>
      <x:c r="E69" s="6"/>
      <x:c r="F69" s="7"/>
      <x:c r="G69" s="6"/>
      <x:c r="H69" s="13"/>
      <x:c r="I69" s="14" t="str">
        <x:f>IF(A69="","",IF(OR(NOT(ISNUMBER(G69)),NOT(ISNUMBER(H69))),"Eksik maliyet",G69*H69))</x:f>
      </x:c>
      <x:c r="J69" s="6"/>
      <x:c r="K69" s="6"/>
      <x:c r="L69" s="6"/>
    </x:row>
    <x:row r="70" ht="22" customHeight="1">
      <x:c r="A70" s="6"/>
      <x:c r="B70" s="6"/>
      <x:c r="C70" s="6"/>
      <x:c r="D70" s="6"/>
      <x:c r="E70" s="6"/>
      <x:c r="F70" s="7"/>
      <x:c r="G70" s="6"/>
      <x:c r="H70" s="13"/>
      <x:c r="I70" s="14" t="str">
        <x:f>IF(A70="","",IF(OR(NOT(ISNUMBER(G70)),NOT(ISNUMBER(H70))),"Eksik maliyet",G70*H70))</x:f>
      </x:c>
      <x:c r="J70" s="6"/>
      <x:c r="K70" s="6"/>
      <x:c r="L70" s="6"/>
    </x:row>
    <x:row r="71" ht="22" customHeight="1">
      <x:c r="A71" s="6"/>
      <x:c r="B71" s="6"/>
      <x:c r="C71" s="6"/>
      <x:c r="D71" s="6"/>
      <x:c r="E71" s="6"/>
      <x:c r="F71" s="7"/>
      <x:c r="G71" s="6"/>
      <x:c r="H71" s="13"/>
      <x:c r="I71" s="14" t="str">
        <x:f>IF(A71="","",IF(OR(NOT(ISNUMBER(G71)),NOT(ISNUMBER(H71))),"Eksik maliyet",G71*H71))</x:f>
      </x:c>
      <x:c r="J71" s="6"/>
      <x:c r="K71" s="6"/>
      <x:c r="L71" s="6"/>
    </x:row>
    <x:row r="72" ht="22" customHeight="1">
      <x:c r="A72" s="6"/>
      <x:c r="B72" s="6"/>
      <x:c r="C72" s="6"/>
      <x:c r="D72" s="6"/>
      <x:c r="E72" s="6"/>
      <x:c r="F72" s="7"/>
      <x:c r="G72" s="6"/>
      <x:c r="H72" s="13"/>
      <x:c r="I72" s="14" t="str">
        <x:f>IF(A72="","",IF(OR(NOT(ISNUMBER(G72)),NOT(ISNUMBER(H72))),"Eksik maliyet",G72*H72))</x:f>
      </x:c>
      <x:c r="J72" s="6"/>
      <x:c r="K72" s="6"/>
      <x:c r="L72" s="6"/>
    </x:row>
    <x:row r="73" ht="22" customHeight="1">
      <x:c r="A73" s="6"/>
      <x:c r="B73" s="6"/>
      <x:c r="C73" s="6"/>
      <x:c r="D73" s="6"/>
      <x:c r="E73" s="6"/>
      <x:c r="F73" s="7"/>
      <x:c r="G73" s="6"/>
      <x:c r="H73" s="13"/>
      <x:c r="I73" s="14" t="str">
        <x:f>IF(A73="","",IF(OR(NOT(ISNUMBER(G73)),NOT(ISNUMBER(H73))),"Eksik maliyet",G73*H73))</x:f>
      </x:c>
      <x:c r="J73" s="6"/>
      <x:c r="K73" s="6"/>
      <x:c r="L73" s="6"/>
    </x:row>
    <x:row r="74" ht="22" customHeight="1">
      <x:c r="A74" s="6"/>
      <x:c r="B74" s="6"/>
      <x:c r="C74" s="6"/>
      <x:c r="D74" s="6"/>
      <x:c r="E74" s="6"/>
      <x:c r="F74" s="7"/>
      <x:c r="G74" s="6"/>
      <x:c r="H74" s="13"/>
      <x:c r="I74" s="14" t="str">
        <x:f>IF(A74="","",IF(OR(NOT(ISNUMBER(G74)),NOT(ISNUMBER(H74))),"Eksik maliyet",G74*H74))</x:f>
      </x:c>
      <x:c r="J74" s="6"/>
      <x:c r="K74" s="6"/>
      <x:c r="L74" s="6"/>
    </x:row>
    <x:row r="75" ht="22" customHeight="1">
      <x:c r="A75" s="6"/>
      <x:c r="B75" s="6"/>
      <x:c r="C75" s="6"/>
      <x:c r="D75" s="6"/>
      <x:c r="E75" s="6"/>
      <x:c r="F75" s="7"/>
      <x:c r="G75" s="6"/>
      <x:c r="H75" s="13"/>
      <x:c r="I75" s="14" t="str">
        <x:f>IF(A75="","",IF(OR(NOT(ISNUMBER(G75)),NOT(ISNUMBER(H75))),"Eksik maliyet",G75*H75))</x:f>
      </x:c>
      <x:c r="J75" s="6"/>
      <x:c r="K75" s="6"/>
      <x:c r="L75" s="6"/>
    </x:row>
    <x:row r="76" ht="22" customHeight="1">
      <x:c r="A76" s="6"/>
      <x:c r="B76" s="6"/>
      <x:c r="C76" s="6"/>
      <x:c r="D76" s="6"/>
      <x:c r="E76" s="6"/>
      <x:c r="F76" s="7"/>
      <x:c r="G76" s="6"/>
      <x:c r="H76" s="13"/>
      <x:c r="I76" s="14" t="str">
        <x:f>IF(A76="","",IF(OR(NOT(ISNUMBER(G76)),NOT(ISNUMBER(H76))),"Eksik maliyet",G76*H76))</x:f>
      </x:c>
      <x:c r="J76" s="6"/>
      <x:c r="K76" s="6"/>
      <x:c r="L76" s="6"/>
    </x:row>
    <x:row r="77" ht="22" customHeight="1">
      <x:c r="A77" s="6"/>
      <x:c r="B77" s="6"/>
      <x:c r="C77" s="6"/>
      <x:c r="D77" s="6"/>
      <x:c r="E77" s="6"/>
      <x:c r="F77" s="7"/>
      <x:c r="G77" s="6"/>
      <x:c r="H77" s="13"/>
      <x:c r="I77" s="14" t="str">
        <x:f>IF(A77="","",IF(OR(NOT(ISNUMBER(G77)),NOT(ISNUMBER(H77))),"Eksik maliyet",G77*H77))</x:f>
      </x:c>
      <x:c r="J77" s="6"/>
      <x:c r="K77" s="6"/>
      <x:c r="L77" s="6"/>
    </x:row>
    <x:row r="78" ht="22" customHeight="1">
      <x:c r="A78" s="6"/>
      <x:c r="B78" s="6"/>
      <x:c r="C78" s="6"/>
      <x:c r="D78" s="6"/>
      <x:c r="E78" s="6"/>
      <x:c r="F78" s="7"/>
      <x:c r="G78" s="6"/>
      <x:c r="H78" s="13"/>
      <x:c r="I78" s="14" t="str">
        <x:f>IF(A78="","",IF(OR(NOT(ISNUMBER(G78)),NOT(ISNUMBER(H78))),"Eksik maliyet",G78*H78))</x:f>
      </x:c>
      <x:c r="J78" s="6"/>
      <x:c r="K78" s="6"/>
      <x:c r="L78" s="6"/>
    </x:row>
    <x:row r="79" ht="22" customHeight="1">
      <x:c r="A79" s="6"/>
      <x:c r="B79" s="6"/>
      <x:c r="C79" s="6"/>
      <x:c r="D79" s="6"/>
      <x:c r="E79" s="6"/>
      <x:c r="F79" s="7"/>
      <x:c r="G79" s="6"/>
      <x:c r="H79" s="13"/>
      <x:c r="I79" s="14" t="str">
        <x:f>IF(A79="","",IF(OR(NOT(ISNUMBER(G79)),NOT(ISNUMBER(H79))),"Eksik maliyet",G79*H79))</x:f>
      </x:c>
      <x:c r="J79" s="6"/>
      <x:c r="K79" s="6"/>
      <x:c r="L79" s="6"/>
    </x:row>
    <x:row r="80" ht="22" customHeight="1">
      <x:c r="A80" s="6"/>
      <x:c r="B80" s="6"/>
      <x:c r="C80" s="6"/>
      <x:c r="D80" s="6"/>
      <x:c r="E80" s="6"/>
      <x:c r="F80" s="7"/>
      <x:c r="G80" s="6"/>
      <x:c r="H80" s="13"/>
      <x:c r="I80" s="14" t="str">
        <x:f>IF(A80="","",IF(OR(NOT(ISNUMBER(G80)),NOT(ISNUMBER(H80))),"Eksik maliyet",G80*H80))</x:f>
      </x:c>
      <x:c r="J80" s="6"/>
      <x:c r="K80" s="6"/>
      <x:c r="L80" s="6"/>
    </x:row>
    <x:row r="81" ht="22" customHeight="1">
      <x:c r="A81" s="6"/>
      <x:c r="B81" s="6"/>
      <x:c r="C81" s="6"/>
      <x:c r="D81" s="6"/>
      <x:c r="E81" s="6"/>
      <x:c r="F81" s="7"/>
      <x:c r="G81" s="6"/>
      <x:c r="H81" s="13"/>
      <x:c r="I81" s="14" t="str">
        <x:f>IF(A81="","",IF(OR(NOT(ISNUMBER(G81)),NOT(ISNUMBER(H81))),"Eksik maliyet",G81*H81))</x:f>
      </x:c>
      <x:c r="J81" s="6"/>
      <x:c r="K81" s="6"/>
      <x:c r="L81" s="6"/>
    </x:row>
    <x:row r="82" ht="22" customHeight="1">
      <x:c r="A82" s="6"/>
      <x:c r="B82" s="6"/>
      <x:c r="C82" s="6"/>
      <x:c r="D82" s="6"/>
      <x:c r="E82" s="6"/>
      <x:c r="F82" s="7"/>
      <x:c r="G82" s="6"/>
      <x:c r="H82" s="13"/>
      <x:c r="I82" s="14" t="str">
        <x:f>IF(A82="","",IF(OR(NOT(ISNUMBER(G82)),NOT(ISNUMBER(H82))),"Eksik maliyet",G82*H82))</x:f>
      </x:c>
      <x:c r="J82" s="6"/>
      <x:c r="K82" s="6"/>
      <x:c r="L82" s="6"/>
    </x:row>
    <x:row r="83" ht="22" customHeight="1">
      <x:c r="A83" s="6"/>
      <x:c r="B83" s="6"/>
      <x:c r="C83" s="6"/>
      <x:c r="D83" s="6"/>
      <x:c r="E83" s="6"/>
      <x:c r="F83" s="7"/>
      <x:c r="G83" s="6"/>
      <x:c r="H83" s="13"/>
      <x:c r="I83" s="14" t="str">
        <x:f>IF(A83="","",IF(OR(NOT(ISNUMBER(G83)),NOT(ISNUMBER(H83))),"Eksik maliyet",G83*H83))</x:f>
      </x:c>
      <x:c r="J83" s="6"/>
      <x:c r="K83" s="6"/>
      <x:c r="L83" s="6"/>
    </x:row>
    <x:row r="84" ht="22" customHeight="1">
      <x:c r="A84" s="6"/>
      <x:c r="B84" s="6"/>
      <x:c r="C84" s="6"/>
      <x:c r="D84" s="6"/>
      <x:c r="E84" s="6"/>
      <x:c r="F84" s="7"/>
      <x:c r="G84" s="6"/>
      <x:c r="H84" s="13"/>
      <x:c r="I84" s="14" t="str">
        <x:f>IF(A84="","",IF(OR(NOT(ISNUMBER(G84)),NOT(ISNUMBER(H84))),"Eksik maliyet",G84*H84))</x:f>
      </x:c>
      <x:c r="J84" s="6"/>
      <x:c r="K84" s="6"/>
      <x:c r="L84" s="6"/>
    </x:row>
    <x:row r="85" ht="22" customHeight="1">
      <x:c r="A85" s="6"/>
      <x:c r="B85" s="6"/>
      <x:c r="C85" s="6"/>
      <x:c r="D85" s="6"/>
      <x:c r="E85" s="6"/>
      <x:c r="F85" s="7"/>
      <x:c r="G85" s="6"/>
      <x:c r="H85" s="13"/>
      <x:c r="I85" s="14" t="str">
        <x:f>IF(A85="","",IF(OR(NOT(ISNUMBER(G85)),NOT(ISNUMBER(H85))),"Eksik maliyet",G85*H85))</x:f>
      </x:c>
      <x:c r="J85" s="6"/>
      <x:c r="K85" s="6"/>
      <x:c r="L85" s="6"/>
    </x:row>
    <x:row r="86" ht="22" customHeight="1">
      <x:c r="A86" s="6"/>
      <x:c r="B86" s="6"/>
      <x:c r="C86" s="6"/>
      <x:c r="D86" s="6"/>
      <x:c r="E86" s="6"/>
      <x:c r="F86" s="7"/>
      <x:c r="G86" s="6"/>
      <x:c r="H86" s="13"/>
      <x:c r="I86" s="14" t="str">
        <x:f>IF(A86="","",IF(OR(NOT(ISNUMBER(G86)),NOT(ISNUMBER(H86))),"Eksik maliyet",G86*H86))</x:f>
      </x:c>
      <x:c r="J86" s="6"/>
      <x:c r="K86" s="6"/>
      <x:c r="L86" s="6"/>
    </x:row>
    <x:row r="87" ht="22" customHeight="1">
      <x:c r="A87" s="6"/>
      <x:c r="B87" s="6"/>
      <x:c r="C87" s="6"/>
      <x:c r="D87" s="6"/>
      <x:c r="E87" s="6"/>
      <x:c r="F87" s="7"/>
      <x:c r="G87" s="6"/>
      <x:c r="H87" s="13"/>
      <x:c r="I87" s="14" t="str">
        <x:f>IF(A87="","",IF(OR(NOT(ISNUMBER(G87)),NOT(ISNUMBER(H87))),"Eksik maliyet",G87*H87))</x:f>
      </x:c>
      <x:c r="J87" s="6"/>
      <x:c r="K87" s="6"/>
      <x:c r="L87" s="6"/>
    </x:row>
    <x:row r="88" ht="22" customHeight="1">
      <x:c r="A88" s="6"/>
      <x:c r="B88" s="6"/>
      <x:c r="C88" s="6"/>
      <x:c r="D88" s="6"/>
      <x:c r="E88" s="6"/>
      <x:c r="F88" s="7"/>
      <x:c r="G88" s="6"/>
      <x:c r="H88" s="13"/>
      <x:c r="I88" s="14" t="str">
        <x:f>IF(A88="","",IF(OR(NOT(ISNUMBER(G88)),NOT(ISNUMBER(H88))),"Eksik maliyet",G88*H88))</x:f>
      </x:c>
      <x:c r="J88" s="6"/>
      <x:c r="K88" s="6"/>
      <x:c r="L88" s="6"/>
    </x:row>
    <x:row r="89" ht="22" customHeight="1">
      <x:c r="A89" s="6"/>
      <x:c r="B89" s="6"/>
      <x:c r="C89" s="6"/>
      <x:c r="D89" s="6"/>
      <x:c r="E89" s="6"/>
      <x:c r="F89" s="7"/>
      <x:c r="G89" s="6"/>
      <x:c r="H89" s="13"/>
      <x:c r="I89" s="14" t="str">
        <x:f>IF(A89="","",IF(OR(NOT(ISNUMBER(G89)),NOT(ISNUMBER(H89))),"Eksik maliyet",G89*H89))</x:f>
      </x:c>
      <x:c r="J89" s="6"/>
      <x:c r="K89" s="6"/>
      <x:c r="L89" s="6"/>
    </x:row>
    <x:row r="90" ht="22" customHeight="1">
      <x:c r="A90" s="6"/>
      <x:c r="B90" s="6"/>
      <x:c r="C90" s="6"/>
      <x:c r="D90" s="6"/>
      <x:c r="E90" s="6"/>
      <x:c r="F90" s="7"/>
      <x:c r="G90" s="6"/>
      <x:c r="H90" s="13"/>
      <x:c r="I90" s="14" t="str">
        <x:f>IF(A90="","",IF(OR(NOT(ISNUMBER(G90)),NOT(ISNUMBER(H90))),"Eksik maliyet",G90*H90))</x:f>
      </x:c>
      <x:c r="J90" s="6"/>
      <x:c r="K90" s="6"/>
      <x:c r="L90" s="6"/>
    </x:row>
    <x:row r="91" ht="22" customHeight="1">
      <x:c r="A91" s="6"/>
      <x:c r="B91" s="6"/>
      <x:c r="C91" s="6"/>
      <x:c r="D91" s="6"/>
      <x:c r="E91" s="6"/>
      <x:c r="F91" s="7"/>
      <x:c r="G91" s="6"/>
      <x:c r="H91" s="13"/>
      <x:c r="I91" s="14" t="str">
        <x:f>IF(A91="","",IF(OR(NOT(ISNUMBER(G91)),NOT(ISNUMBER(H91))),"Eksik maliyet",G91*H91))</x:f>
      </x:c>
      <x:c r="J91" s="6"/>
      <x:c r="K91" s="6"/>
      <x:c r="L91" s="6"/>
    </x:row>
    <x:row r="92" ht="22" customHeight="1">
      <x:c r="A92" s="6"/>
      <x:c r="B92" s="6"/>
      <x:c r="C92" s="6"/>
      <x:c r="D92" s="6"/>
      <x:c r="E92" s="6"/>
      <x:c r="F92" s="7"/>
      <x:c r="G92" s="6"/>
      <x:c r="H92" s="13"/>
      <x:c r="I92" s="14" t="str">
        <x:f>IF(A92="","",IF(OR(NOT(ISNUMBER(G92)),NOT(ISNUMBER(H92))),"Eksik maliyet",G92*H92))</x:f>
      </x:c>
      <x:c r="J92" s="6"/>
      <x:c r="K92" s="6"/>
      <x:c r="L92" s="6"/>
    </x:row>
    <x:row r="93" ht="22" customHeight="1">
      <x:c r="A93" s="6"/>
      <x:c r="B93" s="6"/>
      <x:c r="C93" s="6"/>
      <x:c r="D93" s="6"/>
      <x:c r="E93" s="6"/>
      <x:c r="F93" s="7"/>
      <x:c r="G93" s="6"/>
      <x:c r="H93" s="13"/>
      <x:c r="I93" s="14" t="str">
        <x:f>IF(A93="","",IF(OR(NOT(ISNUMBER(G93)),NOT(ISNUMBER(H93))),"Eksik maliyet",G93*H93))</x:f>
      </x:c>
      <x:c r="J93" s="6"/>
      <x:c r="K93" s="6"/>
      <x:c r="L93" s="6"/>
    </x:row>
    <x:row r="94" ht="22" customHeight="1">
      <x:c r="A94" s="6"/>
      <x:c r="B94" s="6"/>
      <x:c r="C94" s="6"/>
      <x:c r="D94" s="6"/>
      <x:c r="E94" s="6"/>
      <x:c r="F94" s="7"/>
      <x:c r="G94" s="6"/>
      <x:c r="H94" s="13"/>
      <x:c r="I94" s="14" t="str">
        <x:f>IF(A94="","",IF(OR(NOT(ISNUMBER(G94)),NOT(ISNUMBER(H94))),"Eksik maliyet",G94*H94))</x:f>
      </x:c>
      <x:c r="J94" s="6"/>
      <x:c r="K94" s="6"/>
      <x:c r="L94" s="6"/>
    </x:row>
    <x:row r="95" ht="22" customHeight="1">
      <x:c r="A95" s="6"/>
      <x:c r="B95" s="6"/>
      <x:c r="C95" s="6"/>
      <x:c r="D95" s="6"/>
      <x:c r="E95" s="6"/>
      <x:c r="F95" s="7"/>
      <x:c r="G95" s="6"/>
      <x:c r="H95" s="13"/>
      <x:c r="I95" s="14" t="str">
        <x:f>IF(A95="","",IF(OR(NOT(ISNUMBER(G95)),NOT(ISNUMBER(H95))),"Eksik maliyet",G95*H95))</x:f>
      </x:c>
      <x:c r="J95" s="6"/>
      <x:c r="K95" s="6"/>
      <x:c r="L95" s="6"/>
    </x:row>
    <x:row r="96" ht="22" customHeight="1">
      <x:c r="A96" s="6"/>
      <x:c r="B96" s="6"/>
      <x:c r="C96" s="6"/>
      <x:c r="D96" s="6"/>
      <x:c r="E96" s="6"/>
      <x:c r="F96" s="7"/>
      <x:c r="G96" s="6"/>
      <x:c r="H96" s="13"/>
      <x:c r="I96" s="14" t="str">
        <x:f>IF(A96="","",IF(OR(NOT(ISNUMBER(G96)),NOT(ISNUMBER(H96))),"Eksik maliyet",G96*H96))</x:f>
      </x:c>
      <x:c r="J96" s="6"/>
      <x:c r="K96" s="6"/>
      <x:c r="L96" s="6"/>
    </x:row>
    <x:row r="97" ht="22" customHeight="1">
      <x:c r="A97" s="6"/>
      <x:c r="B97" s="6"/>
      <x:c r="C97" s="6"/>
      <x:c r="D97" s="6"/>
      <x:c r="E97" s="6"/>
      <x:c r="F97" s="7"/>
      <x:c r="G97" s="6"/>
      <x:c r="H97" s="13"/>
      <x:c r="I97" s="14" t="str">
        <x:f>IF(A97="","",IF(OR(NOT(ISNUMBER(G97)),NOT(ISNUMBER(H97))),"Eksik maliyet",G97*H97))</x:f>
      </x:c>
      <x:c r="J97" s="6"/>
      <x:c r="K97" s="6"/>
      <x:c r="L97" s="6"/>
    </x:row>
    <x:row r="98" ht="22" customHeight="1">
      <x:c r="A98" s="6"/>
      <x:c r="B98" s="6"/>
      <x:c r="C98" s="6"/>
      <x:c r="D98" s="6"/>
      <x:c r="E98" s="6"/>
      <x:c r="F98" s="7"/>
      <x:c r="G98" s="6"/>
      <x:c r="H98" s="13"/>
      <x:c r="I98" s="14" t="str">
        <x:f>IF(A98="","",IF(OR(NOT(ISNUMBER(G98)),NOT(ISNUMBER(H98))),"Eksik maliyet",G98*H98))</x:f>
      </x:c>
      <x:c r="J98" s="6"/>
      <x:c r="K98" s="6"/>
      <x:c r="L98" s="6"/>
    </x:row>
    <x:row r="99" ht="22" customHeight="1">
      <x:c r="A99" s="6"/>
      <x:c r="B99" s="6"/>
      <x:c r="C99" s="6"/>
      <x:c r="D99" s="6"/>
      <x:c r="E99" s="6"/>
      <x:c r="F99" s="7"/>
      <x:c r="G99" s="6"/>
      <x:c r="H99" s="13"/>
      <x:c r="I99" s="14" t="str">
        <x:f>IF(A99="","",IF(OR(NOT(ISNUMBER(G99)),NOT(ISNUMBER(H99))),"Eksik maliyet",G99*H99))</x:f>
      </x:c>
      <x:c r="J99" s="6"/>
      <x:c r="K99" s="6"/>
      <x:c r="L99" s="6"/>
    </x:row>
    <x:row r="100" ht="22" customHeight="1">
      <x:c r="A100" s="6"/>
      <x:c r="B100" s="6"/>
      <x:c r="C100" s="6"/>
      <x:c r="D100" s="6"/>
      <x:c r="E100" s="6"/>
      <x:c r="F100" s="7"/>
      <x:c r="G100" s="6"/>
      <x:c r="H100" s="13"/>
      <x:c r="I100" s="14" t="str">
        <x:f>IF(A100="","",IF(OR(NOT(ISNUMBER(G100)),NOT(ISNUMBER(H100))),"Eksik maliyet",G100*H100))</x:f>
      </x:c>
      <x:c r="J100" s="6"/>
      <x:c r="K100" s="6"/>
      <x:c r="L100" s="6"/>
    </x:row>
    <x:row r="101" ht="22" customHeight="1">
      <x:c r="A101" s="6"/>
      <x:c r="B101" s="6"/>
      <x:c r="C101" s="6"/>
      <x:c r="D101" s="6"/>
      <x:c r="E101" s="6"/>
      <x:c r="F101" s="7"/>
      <x:c r="G101" s="6"/>
      <x:c r="H101" s="13"/>
      <x:c r="I101" s="14" t="str">
        <x:f>IF(A101="","",IF(OR(NOT(ISNUMBER(G101)),NOT(ISNUMBER(H101))),"Eksik maliyet",G101*H101))</x:f>
      </x:c>
      <x:c r="J101" s="6"/>
      <x:c r="K101" s="6"/>
      <x:c r="L101" s="6"/>
    </x:row>
    <x:row r="102" ht="22" customHeight="1">
      <x:c r="A102" s="6"/>
      <x:c r="B102" s="6"/>
      <x:c r="C102" s="6"/>
      <x:c r="D102" s="6"/>
      <x:c r="E102" s="6"/>
      <x:c r="F102" s="7"/>
      <x:c r="G102" s="6"/>
      <x:c r="H102" s="13"/>
      <x:c r="I102" s="14" t="str">
        <x:f>IF(A102="","",IF(OR(NOT(ISNUMBER(G102)),NOT(ISNUMBER(H102))),"Eksik maliyet",G102*H102))</x:f>
      </x:c>
      <x:c r="J102" s="6"/>
      <x:c r="K102" s="6"/>
      <x:c r="L102" s="6"/>
    </x:row>
    <x:row r="103" ht="22" customHeight="1">
      <x:c r="A103" s="6"/>
      <x:c r="B103" s="6"/>
      <x:c r="C103" s="6"/>
      <x:c r="D103" s="6"/>
      <x:c r="E103" s="6"/>
      <x:c r="F103" s="7"/>
      <x:c r="G103" s="6"/>
      <x:c r="H103" s="13"/>
      <x:c r="I103" s="14" t="str">
        <x:f>IF(A103="","",IF(OR(NOT(ISNUMBER(G103)),NOT(ISNUMBER(H103))),"Eksik maliyet",G103*H103))</x:f>
      </x:c>
      <x:c r="J103" s="6"/>
      <x:c r="K103" s="6"/>
      <x:c r="L103" s="6"/>
    </x:row>
    <x:row r="104" ht="22" customHeight="1">
      <x:c r="A104" s="6"/>
      <x:c r="B104" s="6"/>
      <x:c r="C104" s="6"/>
      <x:c r="D104" s="6"/>
      <x:c r="E104" s="6"/>
      <x:c r="F104" s="7"/>
      <x:c r="G104" s="6"/>
      <x:c r="H104" s="13"/>
      <x:c r="I104" s="14" t="str">
        <x:f>IF(A104="","",IF(OR(NOT(ISNUMBER(G104)),NOT(ISNUMBER(H104))),"Eksik maliyet",G104*H104))</x:f>
      </x:c>
      <x:c r="J104" s="6"/>
      <x:c r="K104" s="6"/>
      <x:c r="L104" s="6"/>
    </x:row>
    <x:row r="105" ht="22" customHeight="1">
      <x:c r="A105" s="6"/>
      <x:c r="B105" s="6"/>
      <x:c r="C105" s="6"/>
      <x:c r="D105" s="6"/>
      <x:c r="E105" s="6"/>
      <x:c r="F105" s="7"/>
      <x:c r="G105" s="6"/>
      <x:c r="H105" s="13"/>
      <x:c r="I105" s="14" t="str">
        <x:f>IF(A105="","",IF(OR(NOT(ISNUMBER(G105)),NOT(ISNUMBER(H105))),"Eksik maliyet",G105*H105))</x:f>
      </x:c>
      <x:c r="J105" s="6"/>
      <x:c r="K105" s="6"/>
      <x:c r="L105" s="6"/>
    </x:row>
    <x:row r="106" ht="22" customHeight="1">
      <x:c r="A106" s="6"/>
      <x:c r="B106" s="6"/>
      <x:c r="C106" s="6"/>
      <x:c r="D106" s="6"/>
      <x:c r="E106" s="6"/>
      <x:c r="F106" s="7"/>
      <x:c r="G106" s="6"/>
      <x:c r="H106" s="13"/>
      <x:c r="I106" s="14" t="str">
        <x:f>IF(A106="","",IF(OR(NOT(ISNUMBER(G106)),NOT(ISNUMBER(H106))),"Eksik maliyet",G106*H106))</x:f>
      </x:c>
      <x:c r="J106" s="6"/>
      <x:c r="K106" s="6"/>
      <x:c r="L106" s="6"/>
    </x:row>
    <x:row r="107" ht="22" customHeight="1">
      <x:c r="A107" s="6"/>
      <x:c r="B107" s="6"/>
      <x:c r="C107" s="6"/>
      <x:c r="D107" s="6"/>
      <x:c r="E107" s="6"/>
      <x:c r="F107" s="7"/>
      <x:c r="G107" s="6"/>
      <x:c r="H107" s="13"/>
      <x:c r="I107" s="14" t="str">
        <x:f>IF(A107="","",IF(OR(NOT(ISNUMBER(G107)),NOT(ISNUMBER(H107))),"Eksik maliyet",G107*H107))</x:f>
      </x:c>
      <x:c r="J107" s="6"/>
      <x:c r="K107" s="6"/>
      <x:c r="L107" s="6"/>
    </x:row>
    <x:row r="108" ht="22" customHeight="1">
      <x:c r="A108" s="6"/>
      <x:c r="B108" s="6"/>
      <x:c r="C108" s="6"/>
      <x:c r="D108" s="6"/>
      <x:c r="E108" s="6"/>
      <x:c r="F108" s="7"/>
      <x:c r="G108" s="6"/>
      <x:c r="H108" s="13"/>
      <x:c r="I108" s="14" t="str">
        <x:f>IF(A108="","",IF(OR(NOT(ISNUMBER(G108)),NOT(ISNUMBER(H108))),"Eksik maliyet",G108*H108))</x:f>
      </x:c>
      <x:c r="J108" s="6"/>
      <x:c r="K108" s="6"/>
      <x:c r="L108" s="6"/>
    </x:row>
    <x:row r="109" ht="22" customHeight="1">
      <x:c r="A109" s="6"/>
      <x:c r="B109" s="6"/>
      <x:c r="C109" s="6"/>
      <x:c r="D109" s="6"/>
      <x:c r="E109" s="6"/>
      <x:c r="F109" s="7"/>
      <x:c r="G109" s="6"/>
      <x:c r="H109" s="13"/>
      <x:c r="I109" s="14" t="str">
        <x:f>IF(A109="","",IF(OR(NOT(ISNUMBER(G109)),NOT(ISNUMBER(H109))),"Eksik maliyet",G109*H109))</x:f>
      </x:c>
      <x:c r="J109" s="6"/>
      <x:c r="K109" s="6"/>
      <x:c r="L109" s="6"/>
    </x:row>
    <x:row r="110" ht="22" customHeight="1">
      <x:c r="A110" s="6"/>
      <x:c r="B110" s="6"/>
      <x:c r="C110" s="6"/>
      <x:c r="D110" s="6"/>
      <x:c r="E110" s="6"/>
      <x:c r="F110" s="7"/>
      <x:c r="G110" s="6"/>
      <x:c r="H110" s="13"/>
      <x:c r="I110" s="14" t="str">
        <x:f>IF(A110="","",IF(OR(NOT(ISNUMBER(G110)),NOT(ISNUMBER(H110))),"Eksik maliyet",G110*H110))</x:f>
      </x:c>
      <x:c r="J110" s="6"/>
      <x:c r="K110" s="6"/>
      <x:c r="L110" s="6"/>
    </x:row>
    <x:row r="111" ht="22" customHeight="1">
      <x:c r="A111" s="6"/>
      <x:c r="B111" s="6"/>
      <x:c r="C111" s="6"/>
      <x:c r="D111" s="6"/>
      <x:c r="E111" s="6"/>
      <x:c r="F111" s="7"/>
      <x:c r="G111" s="6"/>
      <x:c r="H111" s="13"/>
      <x:c r="I111" s="14" t="str">
        <x:f>IF(A111="","",IF(OR(NOT(ISNUMBER(G111)),NOT(ISNUMBER(H111))),"Eksik maliyet",G111*H111))</x:f>
      </x:c>
      <x:c r="J111" s="6"/>
      <x:c r="K111" s="6"/>
      <x:c r="L111" s="6"/>
    </x:row>
    <x:row r="112" ht="22" customHeight="1">
      <x:c r="A112" s="6"/>
      <x:c r="B112" s="6"/>
      <x:c r="C112" s="6"/>
      <x:c r="D112" s="6"/>
      <x:c r="E112" s="6"/>
      <x:c r="F112" s="7"/>
      <x:c r="G112" s="6"/>
      <x:c r="H112" s="13"/>
      <x:c r="I112" s="14" t="str">
        <x:f>IF(A112="","",IF(OR(NOT(ISNUMBER(G112)),NOT(ISNUMBER(H112))),"Eksik maliyet",G112*H112))</x:f>
      </x:c>
      <x:c r="J112" s="6"/>
      <x:c r="K112" s="6"/>
      <x:c r="L112" s="6"/>
    </x:row>
    <x:row r="113" ht="22" customHeight="1">
      <x:c r="A113" s="6"/>
      <x:c r="B113" s="6"/>
      <x:c r="C113" s="6"/>
      <x:c r="D113" s="6"/>
      <x:c r="E113" s="6"/>
      <x:c r="F113" s="7"/>
      <x:c r="G113" s="6"/>
      <x:c r="H113" s="13"/>
      <x:c r="I113" s="14" t="str">
        <x:f>IF(A113="","",IF(OR(NOT(ISNUMBER(G113)),NOT(ISNUMBER(H113))),"Eksik maliyet",G113*H113))</x:f>
      </x:c>
      <x:c r="J113" s="6"/>
      <x:c r="K113" s="6"/>
      <x:c r="L113" s="6"/>
    </x:row>
    <x:row r="114" ht="22" customHeight="1">
      <x:c r="A114" s="6"/>
      <x:c r="B114" s="6"/>
      <x:c r="C114" s="6"/>
      <x:c r="D114" s="6"/>
      <x:c r="E114" s="6"/>
      <x:c r="F114" s="7"/>
      <x:c r="G114" s="6"/>
      <x:c r="H114" s="13"/>
      <x:c r="I114" s="14" t="str">
        <x:f>IF(A114="","",IF(OR(NOT(ISNUMBER(G114)),NOT(ISNUMBER(H114))),"Eksik maliyet",G114*H114))</x:f>
      </x:c>
      <x:c r="J114" s="6"/>
      <x:c r="K114" s="6"/>
      <x:c r="L114" s="6"/>
    </x:row>
    <x:row r="115" ht="22" customHeight="1">
      <x:c r="A115" s="6"/>
      <x:c r="B115" s="6"/>
      <x:c r="C115" s="6"/>
      <x:c r="D115" s="6"/>
      <x:c r="E115" s="6"/>
      <x:c r="F115" s="7"/>
      <x:c r="G115" s="6"/>
      <x:c r="H115" s="13"/>
      <x:c r="I115" s="14" t="str">
        <x:f>IF(A115="","",IF(OR(NOT(ISNUMBER(G115)),NOT(ISNUMBER(H115))),"Eksik maliyet",G115*H115))</x:f>
      </x:c>
      <x:c r="J115" s="6"/>
      <x:c r="K115" s="6"/>
      <x:c r="L115" s="6"/>
    </x:row>
    <x:row r="116" ht="22" customHeight="1">
      <x:c r="A116" s="6"/>
      <x:c r="B116" s="6"/>
      <x:c r="C116" s="6"/>
      <x:c r="D116" s="6"/>
      <x:c r="E116" s="6"/>
      <x:c r="F116" s="7"/>
      <x:c r="G116" s="6"/>
      <x:c r="H116" s="13"/>
      <x:c r="I116" s="14" t="str">
        <x:f>IF(A116="","",IF(OR(NOT(ISNUMBER(G116)),NOT(ISNUMBER(H116))),"Eksik maliyet",G116*H116))</x:f>
      </x:c>
      <x:c r="J116" s="6"/>
      <x:c r="K116" s="6"/>
      <x:c r="L116" s="6"/>
    </x:row>
    <x:row r="117" ht="22" customHeight="1">
      <x:c r="A117" s="6"/>
      <x:c r="B117" s="6"/>
      <x:c r="C117" s="6"/>
      <x:c r="D117" s="6"/>
      <x:c r="E117" s="6"/>
      <x:c r="F117" s="7"/>
      <x:c r="G117" s="6"/>
      <x:c r="H117" s="13"/>
      <x:c r="I117" s="14" t="str">
        <x:f>IF(A117="","",IF(OR(NOT(ISNUMBER(G117)),NOT(ISNUMBER(H117))),"Eksik maliyet",G117*H117))</x:f>
      </x:c>
      <x:c r="J117" s="6"/>
      <x:c r="K117" s="6"/>
      <x:c r="L117" s="6"/>
    </x:row>
    <x:row r="118" ht="22" customHeight="1">
      <x:c r="A118" s="6"/>
      <x:c r="B118" s="6"/>
      <x:c r="C118" s="6"/>
      <x:c r="D118" s="6"/>
      <x:c r="E118" s="6"/>
      <x:c r="F118" s="7"/>
      <x:c r="G118" s="6"/>
      <x:c r="H118" s="13"/>
      <x:c r="I118" s="14" t="str">
        <x:f>IF(A118="","",IF(OR(NOT(ISNUMBER(G118)),NOT(ISNUMBER(H118))),"Eksik maliyet",G118*H118))</x:f>
      </x:c>
      <x:c r="J118" s="6"/>
      <x:c r="K118" s="6"/>
      <x:c r="L118" s="6"/>
    </x:row>
    <x:row r="119" ht="22" customHeight="1">
      <x:c r="A119" s="6"/>
      <x:c r="B119" s="6"/>
      <x:c r="C119" s="6"/>
      <x:c r="D119" s="6"/>
      <x:c r="E119" s="6"/>
      <x:c r="F119" s="7"/>
      <x:c r="G119" s="6"/>
      <x:c r="H119" s="13"/>
      <x:c r="I119" s="14" t="str">
        <x:f>IF(A119="","",IF(OR(NOT(ISNUMBER(G119)),NOT(ISNUMBER(H119))),"Eksik maliyet",G119*H119))</x:f>
      </x:c>
      <x:c r="J119" s="6"/>
      <x:c r="K119" s="6"/>
      <x:c r="L119" s="6"/>
    </x:row>
    <x:row r="120" ht="22" customHeight="1">
      <x:c r="A120" s="6"/>
      <x:c r="B120" s="6"/>
      <x:c r="C120" s="6"/>
      <x:c r="D120" s="6"/>
      <x:c r="E120" s="6"/>
      <x:c r="F120" s="7"/>
      <x:c r="G120" s="6"/>
      <x:c r="H120" s="13"/>
      <x:c r="I120" s="14" t="str">
        <x:f>IF(A120="","",IF(OR(NOT(ISNUMBER(G120)),NOT(ISNUMBER(H120))),"Eksik maliyet",G120*H120))</x:f>
      </x:c>
      <x:c r="J120" s="6"/>
      <x:c r="K120" s="6"/>
      <x:c r="L120" s="6"/>
    </x:row>
    <x:row r="121" ht="22" customHeight="1">
      <x:c r="A121" s="6"/>
      <x:c r="B121" s="6"/>
      <x:c r="C121" s="6"/>
      <x:c r="D121" s="6"/>
      <x:c r="E121" s="6"/>
      <x:c r="F121" s="7"/>
      <x:c r="G121" s="6"/>
      <x:c r="H121" s="13"/>
      <x:c r="I121" s="14" t="str">
        <x:f>IF(A121="","",IF(OR(NOT(ISNUMBER(G121)),NOT(ISNUMBER(H121))),"Eksik maliyet",G121*H121))</x:f>
      </x:c>
      <x:c r="J121" s="6"/>
      <x:c r="K121" s="6"/>
      <x:c r="L121" s="6"/>
    </x:row>
    <x:row r="122" ht="22" customHeight="1">
      <x:c r="A122" s="6"/>
      <x:c r="B122" s="6"/>
      <x:c r="C122" s="6"/>
      <x:c r="D122" s="6"/>
      <x:c r="E122" s="6"/>
      <x:c r="F122" s="7"/>
      <x:c r="G122" s="6"/>
      <x:c r="H122" s="13"/>
      <x:c r="I122" s="14" t="str">
        <x:f>IF(A122="","",IF(OR(NOT(ISNUMBER(G122)),NOT(ISNUMBER(H122))),"Eksik maliyet",G122*H122))</x:f>
      </x:c>
      <x:c r="J122" s="6"/>
      <x:c r="K122" s="6"/>
      <x:c r="L122" s="6"/>
    </x:row>
    <x:row r="123" ht="22" customHeight="1">
      <x:c r="A123" s="6"/>
      <x:c r="B123" s="6"/>
      <x:c r="C123" s="6"/>
      <x:c r="D123" s="6"/>
      <x:c r="E123" s="6"/>
      <x:c r="F123" s="7"/>
      <x:c r="G123" s="6"/>
      <x:c r="H123" s="13"/>
      <x:c r="I123" s="14" t="str">
        <x:f>IF(A123="","",IF(OR(NOT(ISNUMBER(G123)),NOT(ISNUMBER(H123))),"Eksik maliyet",G123*H123))</x:f>
      </x:c>
      <x:c r="J123" s="6"/>
      <x:c r="K123" s="6"/>
      <x:c r="L123" s="6"/>
    </x:row>
    <x:row r="124" ht="22" customHeight="1">
      <x:c r="A124" s="6"/>
      <x:c r="B124" s="6"/>
      <x:c r="C124" s="6"/>
      <x:c r="D124" s="6"/>
      <x:c r="E124" s="6"/>
      <x:c r="F124" s="7"/>
      <x:c r="G124" s="6"/>
      <x:c r="H124" s="13"/>
      <x:c r="I124" s="14" t="str">
        <x:f>IF(A124="","",IF(OR(NOT(ISNUMBER(G124)),NOT(ISNUMBER(H124))),"Eksik maliyet",G124*H124))</x:f>
      </x:c>
      <x:c r="J124" s="6"/>
      <x:c r="K124" s="6"/>
      <x:c r="L124" s="6"/>
    </x:row>
    <x:row r="125" ht="22" customHeight="1">
      <x:c r="A125" s="6"/>
      <x:c r="B125" s="6"/>
      <x:c r="C125" s="6"/>
      <x:c r="D125" s="6"/>
      <x:c r="E125" s="6"/>
      <x:c r="F125" s="7"/>
      <x:c r="G125" s="6"/>
      <x:c r="H125" s="13"/>
      <x:c r="I125" s="14" t="str">
        <x:f>IF(A125="","",IF(OR(NOT(ISNUMBER(G125)),NOT(ISNUMBER(H125))),"Eksik maliyet",G125*H125))</x:f>
      </x:c>
      <x:c r="J125" s="6"/>
      <x:c r="K125" s="6"/>
      <x:c r="L125" s="6"/>
    </x:row>
    <x:row r="126" ht="22" customHeight="1">
      <x:c r="A126" s="6"/>
      <x:c r="B126" s="6"/>
      <x:c r="C126" s="6"/>
      <x:c r="D126" s="6"/>
      <x:c r="E126" s="6"/>
      <x:c r="F126" s="7"/>
      <x:c r="G126" s="6"/>
      <x:c r="H126" s="13"/>
      <x:c r="I126" s="14" t="str">
        <x:f>IF(A126="","",IF(OR(NOT(ISNUMBER(G126)),NOT(ISNUMBER(H126))),"Eksik maliyet",G126*H126))</x:f>
      </x:c>
      <x:c r="J126" s="6"/>
      <x:c r="K126" s="6"/>
      <x:c r="L126" s="6"/>
    </x:row>
    <x:row r="127" ht="22" customHeight="1">
      <x:c r="A127" s="6"/>
      <x:c r="B127" s="6"/>
      <x:c r="C127" s="6"/>
      <x:c r="D127" s="6"/>
      <x:c r="E127" s="6"/>
      <x:c r="F127" s="7"/>
      <x:c r="G127" s="6"/>
      <x:c r="H127" s="13"/>
      <x:c r="I127" s="14" t="str">
        <x:f>IF(A127="","",IF(OR(NOT(ISNUMBER(G127)),NOT(ISNUMBER(H127))),"Eksik maliyet",G127*H127))</x:f>
      </x:c>
      <x:c r="J127" s="6"/>
      <x:c r="K127" s="6"/>
      <x:c r="L127" s="6"/>
    </x:row>
    <x:row r="128" ht="22" customHeight="1">
      <x:c r="A128" s="6"/>
      <x:c r="B128" s="6"/>
      <x:c r="C128" s="6"/>
      <x:c r="D128" s="6"/>
      <x:c r="E128" s="6"/>
      <x:c r="F128" s="7"/>
      <x:c r="G128" s="6"/>
      <x:c r="H128" s="13"/>
      <x:c r="I128" s="14" t="str">
        <x:f>IF(A128="","",IF(OR(NOT(ISNUMBER(G128)),NOT(ISNUMBER(H128))),"Eksik maliyet",G128*H128))</x:f>
      </x:c>
      <x:c r="J128" s="6"/>
      <x:c r="K128" s="6"/>
      <x:c r="L128" s="6"/>
    </x:row>
    <x:row r="129" ht="22" customHeight="1">
      <x:c r="A129" s="6"/>
      <x:c r="B129" s="6"/>
      <x:c r="C129" s="6"/>
      <x:c r="D129" s="6"/>
      <x:c r="E129" s="6"/>
      <x:c r="F129" s="7"/>
      <x:c r="G129" s="6"/>
      <x:c r="H129" s="13"/>
      <x:c r="I129" s="14" t="str">
        <x:f>IF(A129="","",IF(OR(NOT(ISNUMBER(G129)),NOT(ISNUMBER(H129))),"Eksik maliyet",G129*H129))</x:f>
      </x:c>
      <x:c r="J129" s="6"/>
      <x:c r="K129" s="6"/>
      <x:c r="L129" s="6"/>
    </x:row>
    <x:row r="130" ht="22" customHeight="1">
      <x:c r="A130" s="6"/>
      <x:c r="B130" s="6"/>
      <x:c r="C130" s="6"/>
      <x:c r="D130" s="6"/>
      <x:c r="E130" s="6"/>
      <x:c r="F130" s="7"/>
      <x:c r="G130" s="6"/>
      <x:c r="H130" s="13"/>
      <x:c r="I130" s="14" t="str">
        <x:f>IF(A130="","",IF(OR(NOT(ISNUMBER(G130)),NOT(ISNUMBER(H130))),"Eksik maliyet",G130*H130))</x:f>
      </x:c>
      <x:c r="J130" s="6"/>
      <x:c r="K130" s="6"/>
      <x:c r="L130" s="6"/>
    </x:row>
    <x:row r="131" ht="22" customHeight="1">
      <x:c r="A131" s="6"/>
      <x:c r="B131" s="6"/>
      <x:c r="C131" s="6"/>
      <x:c r="D131" s="6"/>
      <x:c r="E131" s="6"/>
      <x:c r="F131" s="7"/>
      <x:c r="G131" s="6"/>
      <x:c r="H131" s="13"/>
      <x:c r="I131" s="14" t="str">
        <x:f>IF(A131="","",IF(OR(NOT(ISNUMBER(G131)),NOT(ISNUMBER(H131))),"Eksik maliyet",G131*H131))</x:f>
      </x:c>
      <x:c r="J131" s="6"/>
      <x:c r="K131" s="6"/>
      <x:c r="L131" s="6"/>
    </x:row>
    <x:row r="132" ht="22" customHeight="1">
      <x:c r="A132" s="6"/>
      <x:c r="B132" s="6"/>
      <x:c r="C132" s="6"/>
      <x:c r="D132" s="6"/>
      <x:c r="E132" s="6"/>
      <x:c r="F132" s="7"/>
      <x:c r="G132" s="6"/>
      <x:c r="H132" s="13"/>
      <x:c r="I132" s="14" t="str">
        <x:f>IF(A132="","",IF(OR(NOT(ISNUMBER(G132)),NOT(ISNUMBER(H132))),"Eksik maliyet",G132*H132))</x:f>
      </x:c>
      <x:c r="J132" s="6"/>
      <x:c r="K132" s="6"/>
      <x:c r="L132" s="6"/>
    </x:row>
    <x:row r="133" ht="22" customHeight="1">
      <x:c r="A133" s="6"/>
      <x:c r="B133" s="6"/>
      <x:c r="C133" s="6"/>
      <x:c r="D133" s="6"/>
      <x:c r="E133" s="6"/>
      <x:c r="F133" s="7"/>
      <x:c r="G133" s="6"/>
      <x:c r="H133" s="13"/>
      <x:c r="I133" s="14" t="str">
        <x:f>IF(A133="","",IF(OR(NOT(ISNUMBER(G133)),NOT(ISNUMBER(H133))),"Eksik maliyet",G133*H133))</x:f>
      </x:c>
      <x:c r="J133" s="6"/>
      <x:c r="K133" s="6"/>
      <x:c r="L133" s="6"/>
    </x:row>
    <x:row r="134" ht="22" customHeight="1">
      <x:c r="A134" s="6"/>
      <x:c r="B134" s="6"/>
      <x:c r="C134" s="6"/>
      <x:c r="D134" s="6"/>
      <x:c r="E134" s="6"/>
      <x:c r="F134" s="7"/>
      <x:c r="G134" s="6"/>
      <x:c r="H134" s="13"/>
      <x:c r="I134" s="14" t="str">
        <x:f>IF(A134="","",IF(OR(NOT(ISNUMBER(G134)),NOT(ISNUMBER(H134))),"Eksik maliyet",G134*H134))</x:f>
      </x:c>
      <x:c r="J134" s="6"/>
      <x:c r="K134" s="6"/>
      <x:c r="L134" s="6"/>
    </x:row>
    <x:row r="135" ht="22" customHeight="1">
      <x:c r="A135" s="6"/>
      <x:c r="B135" s="6"/>
      <x:c r="C135" s="6"/>
      <x:c r="D135" s="6"/>
      <x:c r="E135" s="6"/>
      <x:c r="F135" s="7"/>
      <x:c r="G135" s="6"/>
      <x:c r="H135" s="13"/>
      <x:c r="I135" s="14" t="str">
        <x:f>IF(A135="","",IF(OR(NOT(ISNUMBER(G135)),NOT(ISNUMBER(H135))),"Eksik maliyet",G135*H135))</x:f>
      </x:c>
      <x:c r="J135" s="6"/>
      <x:c r="K135" s="6"/>
      <x:c r="L135" s="6"/>
    </x:row>
    <x:row r="136" ht="22" customHeight="1">
      <x:c r="A136" s="6"/>
      <x:c r="B136" s="6"/>
      <x:c r="C136" s="6"/>
      <x:c r="D136" s="6"/>
      <x:c r="E136" s="6"/>
      <x:c r="F136" s="7"/>
      <x:c r="G136" s="6"/>
      <x:c r="H136" s="13"/>
      <x:c r="I136" s="14" t="str">
        <x:f>IF(A136="","",IF(OR(NOT(ISNUMBER(G136)),NOT(ISNUMBER(H136))),"Eksik maliyet",G136*H136))</x:f>
      </x:c>
      <x:c r="J136" s="6"/>
      <x:c r="K136" s="6"/>
      <x:c r="L136" s="6"/>
    </x:row>
    <x:row r="137" ht="22" customHeight="1">
      <x:c r="A137" s="6"/>
      <x:c r="B137" s="6"/>
      <x:c r="C137" s="6"/>
      <x:c r="D137" s="6"/>
      <x:c r="E137" s="6"/>
      <x:c r="F137" s="7"/>
      <x:c r="G137" s="6"/>
      <x:c r="H137" s="13"/>
      <x:c r="I137" s="14" t="str">
        <x:f>IF(A137="","",IF(OR(NOT(ISNUMBER(G137)),NOT(ISNUMBER(H137))),"Eksik maliyet",G137*H137))</x:f>
      </x:c>
      <x:c r="J137" s="6"/>
      <x:c r="K137" s="6"/>
      <x:c r="L137" s="6"/>
    </x:row>
    <x:row r="138" ht="22" customHeight="1">
      <x:c r="A138" s="6"/>
      <x:c r="B138" s="6"/>
      <x:c r="C138" s="6"/>
      <x:c r="D138" s="6"/>
      <x:c r="E138" s="6"/>
      <x:c r="F138" s="7"/>
      <x:c r="G138" s="6"/>
      <x:c r="H138" s="13"/>
      <x:c r="I138" s="14" t="str">
        <x:f>IF(A138="","",IF(OR(NOT(ISNUMBER(G138)),NOT(ISNUMBER(H138))),"Eksik maliyet",G138*H138))</x:f>
      </x:c>
      <x:c r="J138" s="6"/>
      <x:c r="K138" s="6"/>
      <x:c r="L138" s="6"/>
    </x:row>
    <x:row r="139" ht="22" customHeight="1">
      <x:c r="A139" s="6"/>
      <x:c r="B139" s="6"/>
      <x:c r="C139" s="6"/>
      <x:c r="D139" s="6"/>
      <x:c r="E139" s="6"/>
      <x:c r="F139" s="7"/>
      <x:c r="G139" s="6"/>
      <x:c r="H139" s="13"/>
      <x:c r="I139" s="14" t="str">
        <x:f>IF(A139="","",IF(OR(NOT(ISNUMBER(G139)),NOT(ISNUMBER(H139))),"Eksik maliyet",G139*H139))</x:f>
      </x:c>
      <x:c r="J139" s="6"/>
      <x:c r="K139" s="6"/>
      <x:c r="L139" s="6"/>
    </x:row>
    <x:row r="140" ht="22" customHeight="1">
      <x:c r="A140" s="6"/>
      <x:c r="B140" s="6"/>
      <x:c r="C140" s="6"/>
      <x:c r="D140" s="6"/>
      <x:c r="E140" s="6"/>
      <x:c r="F140" s="7"/>
      <x:c r="G140" s="6"/>
      <x:c r="H140" s="13"/>
      <x:c r="I140" s="14" t="str">
        <x:f>IF(A140="","",IF(OR(NOT(ISNUMBER(G140)),NOT(ISNUMBER(H140))),"Eksik maliyet",G140*H140))</x:f>
      </x:c>
      <x:c r="J140" s="6"/>
      <x:c r="K140" s="6"/>
      <x:c r="L140" s="6"/>
    </x:row>
    <x:row r="141" ht="22" customHeight="1">
      <x:c r="A141" s="6"/>
      <x:c r="B141" s="6"/>
      <x:c r="C141" s="6"/>
      <x:c r="D141" s="6"/>
      <x:c r="E141" s="6"/>
      <x:c r="F141" s="7"/>
      <x:c r="G141" s="6"/>
      <x:c r="H141" s="13"/>
      <x:c r="I141" s="14" t="str">
        <x:f>IF(A141="","",IF(OR(NOT(ISNUMBER(G141)),NOT(ISNUMBER(H141))),"Eksik maliyet",G141*H141))</x:f>
      </x:c>
      <x:c r="J141" s="6"/>
      <x:c r="K141" s="6"/>
      <x:c r="L141" s="6"/>
    </x:row>
    <x:row r="142" ht="22" customHeight="1">
      <x:c r="A142" s="6"/>
      <x:c r="B142" s="6"/>
      <x:c r="C142" s="6"/>
      <x:c r="D142" s="6"/>
      <x:c r="E142" s="6"/>
      <x:c r="F142" s="7"/>
      <x:c r="G142" s="6"/>
      <x:c r="H142" s="13"/>
      <x:c r="I142" s="14" t="str">
        <x:f>IF(A142="","",IF(OR(NOT(ISNUMBER(G142)),NOT(ISNUMBER(H142))),"Eksik maliyet",G142*H142))</x:f>
      </x:c>
      <x:c r="J142" s="6"/>
      <x:c r="K142" s="6"/>
      <x:c r="L142" s="6"/>
    </x:row>
    <x:row r="143" ht="22" customHeight="1">
      <x:c r="A143" s="6"/>
      <x:c r="B143" s="6"/>
      <x:c r="C143" s="6"/>
      <x:c r="D143" s="6"/>
      <x:c r="E143" s="6"/>
      <x:c r="F143" s="7"/>
      <x:c r="G143" s="6"/>
      <x:c r="H143" s="13"/>
      <x:c r="I143" s="14" t="str">
        <x:f>IF(A143="","",IF(OR(NOT(ISNUMBER(G143)),NOT(ISNUMBER(H143))),"Eksik maliyet",G143*H143))</x:f>
      </x:c>
      <x:c r="J143" s="6"/>
      <x:c r="K143" s="6"/>
      <x:c r="L143" s="6"/>
    </x:row>
    <x:row r="144" ht="22" customHeight="1">
      <x:c r="A144" s="6"/>
      <x:c r="B144" s="6"/>
      <x:c r="C144" s="6"/>
      <x:c r="D144" s="6"/>
      <x:c r="E144" s="6"/>
      <x:c r="F144" s="7"/>
      <x:c r="G144" s="6"/>
      <x:c r="H144" s="13"/>
      <x:c r="I144" s="14" t="str">
        <x:f>IF(A144="","",IF(OR(NOT(ISNUMBER(G144)),NOT(ISNUMBER(H144))),"Eksik maliyet",G144*H144))</x:f>
      </x:c>
      <x:c r="J144" s="6"/>
      <x:c r="K144" s="6"/>
      <x:c r="L144" s="6"/>
    </x:row>
    <x:row r="145" ht="22" customHeight="1">
      <x:c r="A145" s="6"/>
      <x:c r="B145" s="6"/>
      <x:c r="C145" s="6"/>
      <x:c r="D145" s="6"/>
      <x:c r="E145" s="6"/>
      <x:c r="F145" s="7"/>
      <x:c r="G145" s="6"/>
      <x:c r="H145" s="13"/>
      <x:c r="I145" s="14" t="str">
        <x:f>IF(A145="","",IF(OR(NOT(ISNUMBER(G145)),NOT(ISNUMBER(H145))),"Eksik maliyet",G145*H145))</x:f>
      </x:c>
      <x:c r="J145" s="6"/>
      <x:c r="K145" s="6"/>
      <x:c r="L145" s="6"/>
    </x:row>
    <x:row r="146" ht="22" customHeight="1">
      <x:c r="A146" s="6"/>
      <x:c r="B146" s="6"/>
      <x:c r="C146" s="6"/>
      <x:c r="D146" s="6"/>
      <x:c r="E146" s="6"/>
      <x:c r="F146" s="7"/>
      <x:c r="G146" s="6"/>
      <x:c r="H146" s="13"/>
      <x:c r="I146" s="14" t="str">
        <x:f>IF(A146="","",IF(OR(NOT(ISNUMBER(G146)),NOT(ISNUMBER(H146))),"Eksik maliyet",G146*H146))</x:f>
      </x:c>
      <x:c r="J146" s="6"/>
      <x:c r="K146" s="6"/>
      <x:c r="L146" s="6"/>
    </x:row>
    <x:row r="147" ht="22" customHeight="1">
      <x:c r="A147" s="6"/>
      <x:c r="B147" s="6"/>
      <x:c r="C147" s="6"/>
      <x:c r="D147" s="6"/>
      <x:c r="E147" s="6"/>
      <x:c r="F147" s="7"/>
      <x:c r="G147" s="6"/>
      <x:c r="H147" s="13"/>
      <x:c r="I147" s="14" t="str">
        <x:f>IF(A147="","",IF(OR(NOT(ISNUMBER(G147)),NOT(ISNUMBER(H147))),"Eksik maliyet",G147*H147))</x:f>
      </x:c>
      <x:c r="J147" s="6"/>
      <x:c r="K147" s="6"/>
      <x:c r="L147" s="6"/>
    </x:row>
    <x:row r="148" ht="22" customHeight="1">
      <x:c r="A148" s="6"/>
      <x:c r="B148" s="6"/>
      <x:c r="C148" s="6"/>
      <x:c r="D148" s="6"/>
      <x:c r="E148" s="6"/>
      <x:c r="F148" s="7"/>
      <x:c r="G148" s="6"/>
      <x:c r="H148" s="13"/>
      <x:c r="I148" s="14" t="str">
        <x:f>IF(A148="","",IF(OR(NOT(ISNUMBER(G148)),NOT(ISNUMBER(H148))),"Eksik maliyet",G148*H148))</x:f>
      </x:c>
      <x:c r="J148" s="6"/>
      <x:c r="K148" s="6"/>
      <x:c r="L148" s="6"/>
    </x:row>
    <x:row r="149" ht="22" customHeight="1">
      <x:c r="A149" s="6"/>
      <x:c r="B149" s="6"/>
      <x:c r="C149" s="6"/>
      <x:c r="D149" s="6"/>
      <x:c r="E149" s="6"/>
      <x:c r="F149" s="7"/>
      <x:c r="G149" s="6"/>
      <x:c r="H149" s="13"/>
      <x:c r="I149" s="14" t="str">
        <x:f>IF(A149="","",IF(OR(NOT(ISNUMBER(G149)),NOT(ISNUMBER(H149))),"Eksik maliyet",G149*H149))</x:f>
      </x:c>
      <x:c r="J149" s="6"/>
      <x:c r="K149" s="6"/>
      <x:c r="L149" s="6"/>
    </x:row>
    <x:row r="150" ht="22" customHeight="1">
      <x:c r="A150" s="6"/>
      <x:c r="B150" s="6"/>
      <x:c r="C150" s="6"/>
      <x:c r="D150" s="6"/>
      <x:c r="E150" s="6"/>
      <x:c r="F150" s="7"/>
      <x:c r="G150" s="6"/>
      <x:c r="H150" s="13"/>
      <x:c r="I150" s="14" t="str">
        <x:f>IF(A150="","",IF(OR(NOT(ISNUMBER(G150)),NOT(ISNUMBER(H150))),"Eksik maliyet",G150*H150))</x:f>
      </x:c>
      <x:c r="J150" s="6"/>
      <x:c r="K150" s="6"/>
      <x:c r="L150" s="6"/>
    </x:row>
    <x:row r="151" ht="22" customHeight="1">
      <x:c r="A151" s="6"/>
      <x:c r="B151" s="6"/>
      <x:c r="C151" s="6"/>
      <x:c r="D151" s="6"/>
      <x:c r="E151" s="6"/>
      <x:c r="F151" s="7"/>
      <x:c r="G151" s="6"/>
      <x:c r="H151" s="13"/>
      <x:c r="I151" s="14" t="str">
        <x:f>IF(A151="","",IF(OR(NOT(ISNUMBER(G151)),NOT(ISNUMBER(H151))),"Eksik maliyet",G151*H151))</x:f>
      </x:c>
      <x:c r="J151" s="6"/>
      <x:c r="K151" s="6"/>
      <x:c r="L151" s="6"/>
    </x:row>
    <x:row r="152" ht="22" customHeight="1">
      <x:c r="A152" s="6"/>
      <x:c r="B152" s="6"/>
      <x:c r="C152" s="6"/>
      <x:c r="D152" s="6"/>
      <x:c r="E152" s="6"/>
      <x:c r="F152" s="7"/>
      <x:c r="G152" s="6"/>
      <x:c r="H152" s="13"/>
      <x:c r="I152" s="14" t="str">
        <x:f>IF(A152="","",IF(OR(NOT(ISNUMBER(G152)),NOT(ISNUMBER(H152))),"Eksik maliyet",G152*H152))</x:f>
      </x:c>
      <x:c r="J152" s="6"/>
      <x:c r="K152" s="6"/>
      <x:c r="L152" s="6"/>
    </x:row>
    <x:row r="153" ht="22" customHeight="1">
      <x:c r="A153" s="6"/>
      <x:c r="B153" s="6"/>
      <x:c r="C153" s="6"/>
      <x:c r="D153" s="6"/>
      <x:c r="E153" s="6"/>
      <x:c r="F153" s="7"/>
      <x:c r="G153" s="6"/>
      <x:c r="H153" s="13"/>
      <x:c r="I153" s="14" t="str">
        <x:f>IF(A153="","",IF(OR(NOT(ISNUMBER(G153)),NOT(ISNUMBER(H153))),"Eksik maliyet",G153*H153))</x:f>
      </x:c>
      <x:c r="J153" s="6"/>
      <x:c r="K153" s="6"/>
      <x:c r="L153" s="6"/>
    </x:row>
    <x:row r="154" ht="22" customHeight="1">
      <x:c r="A154" s="6"/>
      <x:c r="B154" s="6"/>
      <x:c r="C154" s="6"/>
      <x:c r="D154" s="6"/>
      <x:c r="E154" s="6"/>
      <x:c r="F154" s="7"/>
      <x:c r="G154" s="6"/>
      <x:c r="H154" s="13"/>
      <x:c r="I154" s="14" t="str">
        <x:f>IF(A154="","",IF(OR(NOT(ISNUMBER(G154)),NOT(ISNUMBER(H154))),"Eksik maliyet",G154*H154))</x:f>
      </x:c>
      <x:c r="J154" s="6"/>
      <x:c r="K154" s="6"/>
      <x:c r="L154" s="6"/>
    </x:row>
    <x:row r="155" ht="22" customHeight="1">
      <x:c r="A155" s="6"/>
      <x:c r="B155" s="6"/>
      <x:c r="C155" s="6"/>
      <x:c r="D155" s="6"/>
      <x:c r="E155" s="6"/>
      <x:c r="F155" s="7"/>
      <x:c r="G155" s="6"/>
      <x:c r="H155" s="13"/>
      <x:c r="I155" s="14" t="str">
        <x:f>IF(A155="","",IF(OR(NOT(ISNUMBER(G155)),NOT(ISNUMBER(H155))),"Eksik maliyet",G155*H155))</x:f>
      </x:c>
      <x:c r="J155" s="6"/>
      <x:c r="K155" s="6"/>
      <x:c r="L155" s="6"/>
    </x:row>
    <x:row r="156" ht="22" customHeight="1">
      <x:c r="A156" s="6"/>
      <x:c r="B156" s="6"/>
      <x:c r="C156" s="6"/>
      <x:c r="D156" s="6"/>
      <x:c r="E156" s="6"/>
      <x:c r="F156" s="7"/>
      <x:c r="G156" s="6"/>
      <x:c r="H156" s="13"/>
      <x:c r="I156" s="14" t="str">
        <x:f>IF(A156="","",IF(OR(NOT(ISNUMBER(G156)),NOT(ISNUMBER(H156))),"Eksik maliyet",G156*H156))</x:f>
      </x:c>
      <x:c r="J156" s="6"/>
      <x:c r="K156" s="6"/>
      <x:c r="L156" s="6"/>
    </x:row>
    <x:row r="157" ht="22" customHeight="1">
      <x:c r="A157" s="6"/>
      <x:c r="B157" s="6"/>
      <x:c r="C157" s="6"/>
      <x:c r="D157" s="6"/>
      <x:c r="E157" s="6"/>
      <x:c r="F157" s="7"/>
      <x:c r="G157" s="6"/>
      <x:c r="H157" s="13"/>
      <x:c r="I157" s="14" t="str">
        <x:f>IF(A157="","",IF(OR(NOT(ISNUMBER(G157)),NOT(ISNUMBER(H157))),"Eksik maliyet",G157*H157))</x:f>
      </x:c>
      <x:c r="J157" s="6"/>
      <x:c r="K157" s="6"/>
      <x:c r="L157" s="6"/>
    </x:row>
    <x:row r="158" ht="22" customHeight="1">
      <x:c r="A158" s="6"/>
      <x:c r="B158" s="6"/>
      <x:c r="C158" s="6"/>
      <x:c r="D158" s="6"/>
      <x:c r="E158" s="6"/>
      <x:c r="F158" s="7"/>
      <x:c r="G158" s="6"/>
      <x:c r="H158" s="13"/>
      <x:c r="I158" s="14" t="str">
        <x:f>IF(A158="","",IF(OR(NOT(ISNUMBER(G158)),NOT(ISNUMBER(H158))),"Eksik maliyet",G158*H158))</x:f>
      </x:c>
      <x:c r="J158" s="6"/>
      <x:c r="K158" s="6"/>
      <x:c r="L158" s="6"/>
    </x:row>
    <x:row r="159" ht="22" customHeight="1">
      <x:c r="A159" s="6"/>
      <x:c r="B159" s="6"/>
      <x:c r="C159" s="6"/>
      <x:c r="D159" s="6"/>
      <x:c r="E159" s="6"/>
      <x:c r="F159" s="7"/>
      <x:c r="G159" s="6"/>
      <x:c r="H159" s="13"/>
      <x:c r="I159" s="14" t="str">
        <x:f>IF(A159="","",IF(OR(NOT(ISNUMBER(G159)),NOT(ISNUMBER(H159))),"Eksik maliyet",G159*H159))</x:f>
      </x:c>
      <x:c r="J159" s="6"/>
      <x:c r="K159" s="6"/>
      <x:c r="L159" s="6"/>
    </x:row>
    <x:row r="160" ht="22" customHeight="1">
      <x:c r="A160" s="6"/>
      <x:c r="B160" s="6"/>
      <x:c r="C160" s="6"/>
      <x:c r="D160" s="6"/>
      <x:c r="E160" s="6"/>
      <x:c r="F160" s="7"/>
      <x:c r="G160" s="6"/>
      <x:c r="H160" s="13"/>
      <x:c r="I160" s="14" t="str">
        <x:f>IF(A160="","",IF(OR(NOT(ISNUMBER(G160)),NOT(ISNUMBER(H160))),"Eksik maliyet",G160*H160))</x:f>
      </x:c>
      <x:c r="J160" s="6"/>
      <x:c r="K160" s="6"/>
      <x:c r="L160" s="6"/>
    </x:row>
    <x:row r="161" ht="22" customHeight="1">
      <x:c r="A161" s="6"/>
      <x:c r="B161" s="6"/>
      <x:c r="C161" s="6"/>
      <x:c r="D161" s="6"/>
      <x:c r="E161" s="6"/>
      <x:c r="F161" s="7"/>
      <x:c r="G161" s="6"/>
      <x:c r="H161" s="13"/>
      <x:c r="I161" s="14" t="str">
        <x:f>IF(A161="","",IF(OR(NOT(ISNUMBER(G161)),NOT(ISNUMBER(H161))),"Eksik maliyet",G161*H161))</x:f>
      </x:c>
      <x:c r="J161" s="6"/>
      <x:c r="K161" s="6"/>
      <x:c r="L161" s="6"/>
    </x:row>
    <x:row r="162" ht="22" customHeight="1">
      <x:c r="A162" s="6"/>
      <x:c r="B162" s="6"/>
      <x:c r="C162" s="6"/>
      <x:c r="D162" s="6"/>
      <x:c r="E162" s="6"/>
      <x:c r="F162" s="7"/>
      <x:c r="G162" s="6"/>
      <x:c r="H162" s="13"/>
      <x:c r="I162" s="14" t="str">
        <x:f>IF(A162="","",IF(OR(NOT(ISNUMBER(G162)),NOT(ISNUMBER(H162))),"Eksik maliyet",G162*H162))</x:f>
      </x:c>
      <x:c r="J162" s="6"/>
      <x:c r="K162" s="6"/>
      <x:c r="L162" s="6"/>
    </x:row>
    <x:row r="163" ht="22" customHeight="1">
      <x:c r="A163" s="6"/>
      <x:c r="B163" s="6"/>
      <x:c r="C163" s="6"/>
      <x:c r="D163" s="6"/>
      <x:c r="E163" s="6"/>
      <x:c r="F163" s="7"/>
      <x:c r="G163" s="6"/>
      <x:c r="H163" s="13"/>
      <x:c r="I163" s="14" t="str">
        <x:f>IF(A163="","",IF(OR(NOT(ISNUMBER(G163)),NOT(ISNUMBER(H163))),"Eksik maliyet",G163*H163))</x:f>
      </x:c>
      <x:c r="J163" s="6"/>
      <x:c r="K163" s="6"/>
      <x:c r="L163" s="6"/>
    </x:row>
    <x:row r="164" ht="22" customHeight="1">
      <x:c r="A164" s="6"/>
      <x:c r="B164" s="6"/>
      <x:c r="C164" s="6"/>
      <x:c r="D164" s="6"/>
      <x:c r="E164" s="6"/>
      <x:c r="F164" s="7"/>
      <x:c r="G164" s="6"/>
      <x:c r="H164" s="13"/>
      <x:c r="I164" s="14" t="str">
        <x:f>IF(A164="","",IF(OR(NOT(ISNUMBER(G164)),NOT(ISNUMBER(H164))),"Eksik maliyet",G164*H164))</x:f>
      </x:c>
      <x:c r="J164" s="6"/>
      <x:c r="K164" s="6"/>
      <x:c r="L164" s="6"/>
    </x:row>
    <x:row r="165" ht="22" customHeight="1">
      <x:c r="A165" s="6"/>
      <x:c r="B165" s="6"/>
      <x:c r="C165" s="6"/>
      <x:c r="D165" s="6"/>
      <x:c r="E165" s="6"/>
      <x:c r="F165" s="7"/>
      <x:c r="G165" s="6"/>
      <x:c r="H165" s="13"/>
      <x:c r="I165" s="14" t="str">
        <x:f>IF(A165="","",IF(OR(NOT(ISNUMBER(G165)),NOT(ISNUMBER(H165))),"Eksik maliyet",G165*H165))</x:f>
      </x:c>
      <x:c r="J165" s="6"/>
      <x:c r="K165" s="6"/>
      <x:c r="L165" s="6"/>
    </x:row>
    <x:row r="166" ht="22" customHeight="1">
      <x:c r="A166" s="6"/>
      <x:c r="B166" s="6"/>
      <x:c r="C166" s="6"/>
      <x:c r="D166" s="6"/>
      <x:c r="E166" s="6"/>
      <x:c r="F166" s="7"/>
      <x:c r="G166" s="6"/>
      <x:c r="H166" s="13"/>
      <x:c r="I166" s="14" t="str">
        <x:f>IF(A166="","",IF(OR(NOT(ISNUMBER(G166)),NOT(ISNUMBER(H166))),"Eksik maliyet",G166*H166))</x:f>
      </x:c>
      <x:c r="J166" s="6"/>
      <x:c r="K166" s="6"/>
      <x:c r="L166" s="6"/>
    </x:row>
    <x:row r="167" ht="22" customHeight="1">
      <x:c r="A167" s="6"/>
      <x:c r="B167" s="6"/>
      <x:c r="C167" s="6"/>
      <x:c r="D167" s="6"/>
      <x:c r="E167" s="6"/>
      <x:c r="F167" s="7"/>
      <x:c r="G167" s="6"/>
      <x:c r="H167" s="13"/>
      <x:c r="I167" s="14" t="str">
        <x:f>IF(A167="","",IF(OR(NOT(ISNUMBER(G167)),NOT(ISNUMBER(H167))),"Eksik maliyet",G167*H167))</x:f>
      </x:c>
      <x:c r="J167" s="6"/>
      <x:c r="K167" s="6"/>
      <x:c r="L167" s="6"/>
    </x:row>
    <x:row r="168" ht="22" customHeight="1">
      <x:c r="A168" s="6"/>
      <x:c r="B168" s="6"/>
      <x:c r="C168" s="6"/>
      <x:c r="D168" s="6"/>
      <x:c r="E168" s="6"/>
      <x:c r="F168" s="7"/>
      <x:c r="G168" s="6"/>
      <x:c r="H168" s="13"/>
      <x:c r="I168" s="14" t="str">
        <x:f>IF(A168="","",IF(OR(NOT(ISNUMBER(G168)),NOT(ISNUMBER(H168))),"Eksik maliyet",G168*H168))</x:f>
      </x:c>
      <x:c r="J168" s="6"/>
      <x:c r="K168" s="6"/>
      <x:c r="L168" s="6"/>
    </x:row>
    <x:row r="169" ht="22" customHeight="1">
      <x:c r="A169" s="6"/>
      <x:c r="B169" s="6"/>
      <x:c r="C169" s="6"/>
      <x:c r="D169" s="6"/>
      <x:c r="E169" s="6"/>
      <x:c r="F169" s="7"/>
      <x:c r="G169" s="6"/>
      <x:c r="H169" s="13"/>
      <x:c r="I169" s="14" t="str">
        <x:f>IF(A169="","",IF(OR(NOT(ISNUMBER(G169)),NOT(ISNUMBER(H169))),"Eksik maliyet",G169*H169))</x:f>
      </x:c>
      <x:c r="J169" s="6"/>
      <x:c r="K169" s="6"/>
      <x:c r="L169" s="6"/>
    </x:row>
    <x:row r="170" ht="22" customHeight="1">
      <x:c r="A170" s="6"/>
      <x:c r="B170" s="6"/>
      <x:c r="C170" s="6"/>
      <x:c r="D170" s="6"/>
      <x:c r="E170" s="6"/>
      <x:c r="F170" s="7"/>
      <x:c r="G170" s="6"/>
      <x:c r="H170" s="13"/>
      <x:c r="I170" s="14" t="str">
        <x:f>IF(A170="","",IF(OR(NOT(ISNUMBER(G170)),NOT(ISNUMBER(H170))),"Eksik maliyet",G170*H170))</x:f>
      </x:c>
      <x:c r="J170" s="6"/>
      <x:c r="K170" s="6"/>
      <x:c r="L170" s="6"/>
    </x:row>
    <x:row r="171" ht="22" customHeight="1">
      <x:c r="A171" s="6"/>
      <x:c r="B171" s="6"/>
      <x:c r="C171" s="6"/>
      <x:c r="D171" s="6"/>
      <x:c r="E171" s="6"/>
      <x:c r="F171" s="7"/>
      <x:c r="G171" s="6"/>
      <x:c r="H171" s="13"/>
      <x:c r="I171" s="14" t="str">
        <x:f>IF(A171="","",IF(OR(NOT(ISNUMBER(G171)),NOT(ISNUMBER(H171))),"Eksik maliyet",G171*H171))</x:f>
      </x:c>
      <x:c r="J171" s="6"/>
      <x:c r="K171" s="6"/>
      <x:c r="L171" s="6"/>
    </x:row>
    <x:row r="172" ht="22" customHeight="1">
      <x:c r="A172" s="6"/>
      <x:c r="B172" s="6"/>
      <x:c r="C172" s="6"/>
      <x:c r="D172" s="6"/>
      <x:c r="E172" s="6"/>
      <x:c r="F172" s="7"/>
      <x:c r="G172" s="6"/>
      <x:c r="H172" s="13"/>
      <x:c r="I172" s="14" t="str">
        <x:f>IF(A172="","",IF(OR(NOT(ISNUMBER(G172)),NOT(ISNUMBER(H172))),"Eksik maliyet",G172*H172))</x:f>
      </x:c>
      <x:c r="J172" s="6"/>
      <x:c r="K172" s="6"/>
      <x:c r="L172" s="6"/>
    </x:row>
    <x:row r="173" ht="22" customHeight="1">
      <x:c r="A173" s="6"/>
      <x:c r="B173" s="6"/>
      <x:c r="C173" s="6"/>
      <x:c r="D173" s="6"/>
      <x:c r="E173" s="6"/>
      <x:c r="F173" s="7"/>
      <x:c r="G173" s="6"/>
      <x:c r="H173" s="13"/>
      <x:c r="I173" s="14" t="str">
        <x:f>IF(A173="","",IF(OR(NOT(ISNUMBER(G173)),NOT(ISNUMBER(H173))),"Eksik maliyet",G173*H173))</x:f>
      </x:c>
      <x:c r="J173" s="6"/>
      <x:c r="K173" s="6"/>
      <x:c r="L173" s="6"/>
    </x:row>
    <x:row r="174" ht="22" customHeight="1">
      <x:c r="A174" s="6"/>
      <x:c r="B174" s="6"/>
      <x:c r="C174" s="6"/>
      <x:c r="D174" s="6"/>
      <x:c r="E174" s="6"/>
      <x:c r="F174" s="7"/>
      <x:c r="G174" s="6"/>
      <x:c r="H174" s="13"/>
      <x:c r="I174" s="14" t="str">
        <x:f>IF(A174="","",IF(OR(NOT(ISNUMBER(G174)),NOT(ISNUMBER(H174))),"Eksik maliyet",G174*H174))</x:f>
      </x:c>
      <x:c r="J174" s="6"/>
      <x:c r="K174" s="6"/>
      <x:c r="L174" s="6"/>
    </x:row>
    <x:row r="175" ht="22" customHeight="1">
      <x:c r="A175" s="6"/>
      <x:c r="B175" s="6"/>
      <x:c r="C175" s="6"/>
      <x:c r="D175" s="6"/>
      <x:c r="E175" s="6"/>
      <x:c r="F175" s="7"/>
      <x:c r="G175" s="6"/>
      <x:c r="H175" s="13"/>
      <x:c r="I175" s="14" t="str">
        <x:f>IF(A175="","",IF(OR(NOT(ISNUMBER(G175)),NOT(ISNUMBER(H175))),"Eksik maliyet",G175*H175))</x:f>
      </x:c>
      <x:c r="J175" s="6"/>
      <x:c r="K175" s="6"/>
      <x:c r="L175" s="6"/>
    </x:row>
    <x:row r="176" ht="22" customHeight="1">
      <x:c r="A176" s="6"/>
      <x:c r="B176" s="6"/>
      <x:c r="C176" s="6"/>
      <x:c r="D176" s="6"/>
      <x:c r="E176" s="6"/>
      <x:c r="F176" s="7"/>
      <x:c r="G176" s="6"/>
      <x:c r="H176" s="13"/>
      <x:c r="I176" s="14" t="str">
        <x:f>IF(A176="","",IF(OR(NOT(ISNUMBER(G176)),NOT(ISNUMBER(H176))),"Eksik maliyet",G176*H176))</x:f>
      </x:c>
      <x:c r="J176" s="6"/>
      <x:c r="K176" s="6"/>
      <x:c r="L176" s="6"/>
    </x:row>
    <x:row r="177" ht="22" customHeight="1">
      <x:c r="A177" s="6"/>
      <x:c r="B177" s="6"/>
      <x:c r="C177" s="6"/>
      <x:c r="D177" s="6"/>
      <x:c r="E177" s="6"/>
      <x:c r="F177" s="7"/>
      <x:c r="G177" s="6"/>
      <x:c r="H177" s="13"/>
      <x:c r="I177" s="14" t="str">
        <x:f>IF(A177="","",IF(OR(NOT(ISNUMBER(G177)),NOT(ISNUMBER(H177))),"Eksik maliyet",G177*H177))</x:f>
      </x:c>
      <x:c r="J177" s="6"/>
      <x:c r="K177" s="6"/>
      <x:c r="L177" s="6"/>
    </x:row>
    <x:row r="178" ht="22" customHeight="1">
      <x:c r="A178" s="6"/>
      <x:c r="B178" s="6"/>
      <x:c r="C178" s="6"/>
      <x:c r="D178" s="6"/>
      <x:c r="E178" s="6"/>
      <x:c r="F178" s="7"/>
      <x:c r="G178" s="6"/>
      <x:c r="H178" s="13"/>
      <x:c r="I178" s="14" t="str">
        <x:f>IF(A178="","",IF(OR(NOT(ISNUMBER(G178)),NOT(ISNUMBER(H178))),"Eksik maliyet",G178*H178))</x:f>
      </x:c>
      <x:c r="J178" s="6"/>
      <x:c r="K178" s="6"/>
      <x:c r="L178" s="6"/>
    </x:row>
    <x:row r="179" ht="22" customHeight="1">
      <x:c r="A179" s="6"/>
      <x:c r="B179" s="6"/>
      <x:c r="C179" s="6"/>
      <x:c r="D179" s="6"/>
      <x:c r="E179" s="6"/>
      <x:c r="F179" s="7"/>
      <x:c r="G179" s="6"/>
      <x:c r="H179" s="13"/>
      <x:c r="I179" s="14" t="str">
        <x:f>IF(A179="","",IF(OR(NOT(ISNUMBER(G179)),NOT(ISNUMBER(H179))),"Eksik maliyet",G179*H179))</x:f>
      </x:c>
      <x:c r="J179" s="6"/>
      <x:c r="K179" s="6"/>
      <x:c r="L179" s="6"/>
    </x:row>
    <x:row r="180" ht="22" customHeight="1">
      <x:c r="A180" s="6"/>
      <x:c r="B180" s="6"/>
      <x:c r="C180" s="6"/>
      <x:c r="D180" s="6"/>
      <x:c r="E180" s="6"/>
      <x:c r="F180" s="7"/>
      <x:c r="G180" s="6"/>
      <x:c r="H180" s="13"/>
      <x:c r="I180" s="14" t="str">
        <x:f>IF(A180="","",IF(OR(NOT(ISNUMBER(G180)),NOT(ISNUMBER(H180))),"Eksik maliyet",G180*H180))</x:f>
      </x:c>
      <x:c r="J180" s="6"/>
      <x:c r="K180" s="6"/>
      <x:c r="L180" s="6"/>
    </x:row>
    <x:row r="181" ht="22" customHeight="1">
      <x:c r="A181" s="6"/>
      <x:c r="B181" s="6"/>
      <x:c r="C181" s="6"/>
      <x:c r="D181" s="6"/>
      <x:c r="E181" s="6"/>
      <x:c r="F181" s="7"/>
      <x:c r="G181" s="6"/>
      <x:c r="H181" s="13"/>
      <x:c r="I181" s="14" t="str">
        <x:f>IF(A181="","",IF(OR(NOT(ISNUMBER(G181)),NOT(ISNUMBER(H181))),"Eksik maliyet",G181*H181))</x:f>
      </x:c>
      <x:c r="J181" s="6"/>
      <x:c r="K181" s="6"/>
      <x:c r="L181" s="6"/>
    </x:row>
    <x:row r="182" ht="22" customHeight="1">
      <x:c r="A182" s="6"/>
      <x:c r="B182" s="6"/>
      <x:c r="C182" s="6"/>
      <x:c r="D182" s="6"/>
      <x:c r="E182" s="6"/>
      <x:c r="F182" s="7"/>
      <x:c r="G182" s="6"/>
      <x:c r="H182" s="13"/>
      <x:c r="I182" s="14" t="str">
        <x:f>IF(A182="","",IF(OR(NOT(ISNUMBER(G182)),NOT(ISNUMBER(H182))),"Eksik maliyet",G182*H182))</x:f>
      </x:c>
      <x:c r="J182" s="6"/>
      <x:c r="K182" s="6"/>
      <x:c r="L182" s="6"/>
    </x:row>
    <x:row r="183" ht="22" customHeight="1">
      <x:c r="A183" s="6"/>
      <x:c r="B183" s="6"/>
      <x:c r="C183" s="6"/>
      <x:c r="D183" s="6"/>
      <x:c r="E183" s="6"/>
      <x:c r="F183" s="7"/>
      <x:c r="G183" s="6"/>
      <x:c r="H183" s="13"/>
      <x:c r="I183" s="14" t="str">
        <x:f>IF(A183="","",IF(OR(NOT(ISNUMBER(G183)),NOT(ISNUMBER(H183))),"Eksik maliyet",G183*H183))</x:f>
      </x:c>
      <x:c r="J183" s="6"/>
      <x:c r="K183" s="6"/>
      <x:c r="L183" s="6"/>
    </x:row>
    <x:row r="184" ht="22" customHeight="1">
      <x:c r="A184" s="6"/>
      <x:c r="B184" s="6"/>
      <x:c r="C184" s="6"/>
      <x:c r="D184" s="6"/>
      <x:c r="E184" s="6"/>
      <x:c r="F184" s="7"/>
      <x:c r="G184" s="6"/>
      <x:c r="H184" s="13"/>
      <x:c r="I184" s="14" t="str">
        <x:f>IF(A184="","",IF(OR(NOT(ISNUMBER(G184)),NOT(ISNUMBER(H184))),"Eksik maliyet",G184*H184))</x:f>
      </x:c>
      <x:c r="J184" s="6"/>
      <x:c r="K184" s="6"/>
      <x:c r="L184" s="6"/>
    </x:row>
    <x:row r="185" ht="22" customHeight="1">
      <x:c r="A185" s="6"/>
      <x:c r="B185" s="6"/>
      <x:c r="C185" s="6"/>
      <x:c r="D185" s="6"/>
      <x:c r="E185" s="6"/>
      <x:c r="F185" s="7"/>
      <x:c r="G185" s="6"/>
      <x:c r="H185" s="13"/>
      <x:c r="I185" s="14" t="str">
        <x:f>IF(A185="","",IF(OR(NOT(ISNUMBER(G185)),NOT(ISNUMBER(H185))),"Eksik maliyet",G185*H185))</x:f>
      </x:c>
      <x:c r="J185" s="6"/>
      <x:c r="K185" s="6"/>
      <x:c r="L185" s="6"/>
    </x:row>
    <x:row r="186" ht="22" customHeight="1">
      <x:c r="A186" s="6"/>
      <x:c r="B186" s="6"/>
      <x:c r="C186" s="6"/>
      <x:c r="D186" s="6"/>
      <x:c r="E186" s="6"/>
      <x:c r="F186" s="7"/>
      <x:c r="G186" s="6"/>
      <x:c r="H186" s="13"/>
      <x:c r="I186" s="14" t="str">
        <x:f>IF(A186="","",IF(OR(NOT(ISNUMBER(G186)),NOT(ISNUMBER(H186))),"Eksik maliyet",G186*H186))</x:f>
      </x:c>
      <x:c r="J186" s="6"/>
      <x:c r="K186" s="6"/>
      <x:c r="L186" s="6"/>
    </x:row>
    <x:row r="187" ht="22" customHeight="1">
      <x:c r="A187" s="6"/>
      <x:c r="B187" s="6"/>
      <x:c r="C187" s="6"/>
      <x:c r="D187" s="6"/>
      <x:c r="E187" s="6"/>
      <x:c r="F187" s="7"/>
      <x:c r="G187" s="6"/>
      <x:c r="H187" s="13"/>
      <x:c r="I187" s="14" t="str">
        <x:f>IF(A187="","",IF(OR(NOT(ISNUMBER(G187)),NOT(ISNUMBER(H187))),"Eksik maliyet",G187*H187))</x:f>
      </x:c>
      <x:c r="J187" s="6"/>
      <x:c r="K187" s="6"/>
      <x:c r="L187" s="6"/>
    </x:row>
    <x:row r="188" ht="22" customHeight="1">
      <x:c r="A188" s="6"/>
      <x:c r="B188" s="6"/>
      <x:c r="C188" s="6"/>
      <x:c r="D188" s="6"/>
      <x:c r="E188" s="6"/>
      <x:c r="F188" s="7"/>
      <x:c r="G188" s="6"/>
      <x:c r="H188" s="13"/>
      <x:c r="I188" s="14" t="str">
        <x:f>IF(A188="","",IF(OR(NOT(ISNUMBER(G188)),NOT(ISNUMBER(H188))),"Eksik maliyet",G188*H188))</x:f>
      </x:c>
      <x:c r="J188" s="6"/>
      <x:c r="K188" s="6"/>
      <x:c r="L188" s="6"/>
    </x:row>
    <x:row r="189" ht="22" customHeight="1">
      <x:c r="A189" s="6"/>
      <x:c r="B189" s="6"/>
      <x:c r="C189" s="6"/>
      <x:c r="D189" s="6"/>
      <x:c r="E189" s="6"/>
      <x:c r="F189" s="7"/>
      <x:c r="G189" s="6"/>
      <x:c r="H189" s="13"/>
      <x:c r="I189" s="14" t="str">
        <x:f>IF(A189="","",IF(OR(NOT(ISNUMBER(G189)),NOT(ISNUMBER(H189))),"Eksik maliyet",G189*H189))</x:f>
      </x:c>
      <x:c r="J189" s="6"/>
      <x:c r="K189" s="6"/>
      <x:c r="L189" s="6"/>
    </x:row>
    <x:row r="190" ht="22" customHeight="1">
      <x:c r="A190" s="6"/>
      <x:c r="B190" s="6"/>
      <x:c r="C190" s="6"/>
      <x:c r="D190" s="6"/>
      <x:c r="E190" s="6"/>
      <x:c r="F190" s="7"/>
      <x:c r="G190" s="6"/>
      <x:c r="H190" s="13"/>
      <x:c r="I190" s="14" t="str">
        <x:f>IF(A190="","",IF(OR(NOT(ISNUMBER(G190)),NOT(ISNUMBER(H190))),"Eksik maliyet",G190*H190))</x:f>
      </x:c>
      <x:c r="J190" s="6"/>
      <x:c r="K190" s="6"/>
      <x:c r="L190" s="6"/>
    </x:row>
    <x:row r="191" ht="22" customHeight="1">
      <x:c r="A191" s="6"/>
      <x:c r="B191" s="6"/>
      <x:c r="C191" s="6"/>
      <x:c r="D191" s="6"/>
      <x:c r="E191" s="6"/>
      <x:c r="F191" s="7"/>
      <x:c r="G191" s="6"/>
      <x:c r="H191" s="13"/>
      <x:c r="I191" s="14" t="str">
        <x:f>IF(A191="","",IF(OR(NOT(ISNUMBER(G191)),NOT(ISNUMBER(H191))),"Eksik maliyet",G191*H191))</x:f>
      </x:c>
      <x:c r="J191" s="6"/>
      <x:c r="K191" s="6"/>
      <x:c r="L191" s="6"/>
    </x:row>
    <x:row r="192" ht="22" customHeight="1">
      <x:c r="A192" s="6"/>
      <x:c r="B192" s="6"/>
      <x:c r="C192" s="6"/>
      <x:c r="D192" s="6"/>
      <x:c r="E192" s="6"/>
      <x:c r="F192" s="7"/>
      <x:c r="G192" s="6"/>
      <x:c r="H192" s="13"/>
      <x:c r="I192" s="14" t="str">
        <x:f>IF(A192="","",IF(OR(NOT(ISNUMBER(G192)),NOT(ISNUMBER(H192))),"Eksik maliyet",G192*H192))</x:f>
      </x:c>
      <x:c r="J192" s="6"/>
      <x:c r="K192" s="6"/>
      <x:c r="L192" s="6"/>
    </x:row>
    <x:row r="193" ht="22" customHeight="1">
      <x:c r="A193" s="6"/>
      <x:c r="B193" s="6"/>
      <x:c r="C193" s="6"/>
      <x:c r="D193" s="6"/>
      <x:c r="E193" s="6"/>
      <x:c r="F193" s="7"/>
      <x:c r="G193" s="6"/>
      <x:c r="H193" s="13"/>
      <x:c r="I193" s="14" t="str">
        <x:f>IF(A193="","",IF(OR(NOT(ISNUMBER(G193)),NOT(ISNUMBER(H193))),"Eksik maliyet",G193*H193))</x:f>
      </x:c>
      <x:c r="J193" s="6"/>
      <x:c r="K193" s="6"/>
      <x:c r="L193" s="6"/>
    </x:row>
    <x:row r="194" ht="22" customHeight="1">
      <x:c r="A194" s="6"/>
      <x:c r="B194" s="6"/>
      <x:c r="C194" s="6"/>
      <x:c r="D194" s="6"/>
      <x:c r="E194" s="6"/>
      <x:c r="F194" s="7"/>
      <x:c r="G194" s="6"/>
      <x:c r="H194" s="13"/>
      <x:c r="I194" s="14" t="str">
        <x:f>IF(A194="","",IF(OR(NOT(ISNUMBER(G194)),NOT(ISNUMBER(H194))),"Eksik maliyet",G194*H194))</x:f>
      </x:c>
      <x:c r="J194" s="6"/>
      <x:c r="K194" s="6"/>
      <x:c r="L194" s="6"/>
    </x:row>
    <x:row r="195" ht="22" customHeight="1">
      <x:c r="A195" s="6"/>
      <x:c r="B195" s="6"/>
      <x:c r="C195" s="6"/>
      <x:c r="D195" s="6"/>
      <x:c r="E195" s="6"/>
      <x:c r="F195" s="7"/>
      <x:c r="G195" s="6"/>
      <x:c r="H195" s="13"/>
      <x:c r="I195" s="14" t="str">
        <x:f>IF(A195="","",IF(OR(NOT(ISNUMBER(G195)),NOT(ISNUMBER(H195))),"Eksik maliyet",G195*H195))</x:f>
      </x:c>
      <x:c r="J195" s="6"/>
      <x:c r="K195" s="6"/>
      <x:c r="L195" s="6"/>
    </x:row>
    <x:row r="196" ht="22" customHeight="1">
      <x:c r="A196" s="6"/>
      <x:c r="B196" s="6"/>
      <x:c r="C196" s="6"/>
      <x:c r="D196" s="6"/>
      <x:c r="E196" s="6"/>
      <x:c r="F196" s="7"/>
      <x:c r="G196" s="6"/>
      <x:c r="H196" s="13"/>
      <x:c r="I196" s="14" t="str">
        <x:f>IF(A196="","",IF(OR(NOT(ISNUMBER(G196)),NOT(ISNUMBER(H196))),"Eksik maliyet",G196*H196))</x:f>
      </x:c>
      <x:c r="J196" s="6"/>
      <x:c r="K196" s="6"/>
      <x:c r="L196" s="6"/>
    </x:row>
    <x:row r="197" ht="22" customHeight="1">
      <x:c r="A197" s="6"/>
      <x:c r="B197" s="6"/>
      <x:c r="C197" s="6"/>
      <x:c r="D197" s="6"/>
      <x:c r="E197" s="6"/>
      <x:c r="F197" s="7"/>
      <x:c r="G197" s="6"/>
      <x:c r="H197" s="13"/>
      <x:c r="I197" s="14" t="str">
        <x:f>IF(A197="","",IF(OR(NOT(ISNUMBER(G197)),NOT(ISNUMBER(H197))),"Eksik maliyet",G197*H197))</x:f>
      </x:c>
      <x:c r="J197" s="6"/>
      <x:c r="K197" s="6"/>
      <x:c r="L197" s="6"/>
    </x:row>
    <x:row r="198" ht="22" customHeight="1">
      <x:c r="A198" s="6"/>
      <x:c r="B198" s="6"/>
      <x:c r="C198" s="6"/>
      <x:c r="D198" s="6"/>
      <x:c r="E198" s="6"/>
      <x:c r="F198" s="7"/>
      <x:c r="G198" s="6"/>
      <x:c r="H198" s="13"/>
      <x:c r="I198" s="14" t="str">
        <x:f>IF(A198="","",IF(OR(NOT(ISNUMBER(G198)),NOT(ISNUMBER(H198))),"Eksik maliyet",G198*H198))</x:f>
      </x:c>
      <x:c r="J198" s="6"/>
      <x:c r="K198" s="6"/>
      <x:c r="L198" s="6"/>
    </x:row>
    <x:row r="199" ht="22" customHeight="1">
      <x:c r="A199" s="6"/>
      <x:c r="B199" s="6"/>
      <x:c r="C199" s="6"/>
      <x:c r="D199" s="6"/>
      <x:c r="E199" s="6"/>
      <x:c r="F199" s="7"/>
      <x:c r="G199" s="6"/>
      <x:c r="H199" s="13"/>
      <x:c r="I199" s="14" t="str">
        <x:f>IF(A199="","",IF(OR(NOT(ISNUMBER(G199)),NOT(ISNUMBER(H199))),"Eksik maliyet",G199*H199))</x:f>
      </x:c>
      <x:c r="J199" s="6"/>
      <x:c r="K199" s="6"/>
      <x:c r="L199" s="6"/>
    </x:row>
    <x:row r="200" ht="22" customHeight="1">
      <x:c r="A200" s="6"/>
      <x:c r="B200" s="6"/>
      <x:c r="C200" s="6"/>
      <x:c r="D200" s="6"/>
      <x:c r="E200" s="6"/>
      <x:c r="F200" s="7"/>
      <x:c r="G200" s="6"/>
      <x:c r="H200" s="13"/>
      <x:c r="I200" s="14" t="str">
        <x:f>IF(A200="","",IF(OR(NOT(ISNUMBER(G200)),NOT(ISNUMBER(H200))),"Eksik maliyet",G200*H200))</x:f>
      </x:c>
      <x:c r="J200" s="6"/>
      <x:c r="K200" s="6"/>
      <x:c r="L200" s="6"/>
    </x:row>
    <x:row r="201" ht="22" customHeight="1">
      <x:c r="A201" s="6"/>
      <x:c r="B201" s="6"/>
      <x:c r="C201" s="6"/>
      <x:c r="D201" s="6"/>
      <x:c r="E201" s="6"/>
      <x:c r="F201" s="7"/>
      <x:c r="G201" s="6"/>
      <x:c r="H201" s="13"/>
      <x:c r="I201" s="14" t="str">
        <x:f>IF(A201="","",IF(OR(NOT(ISNUMBER(G201)),NOT(ISNUMBER(H201))),"Eksik maliyet",G201*H201))</x:f>
      </x:c>
      <x:c r="J201" s="6"/>
      <x:c r="K201" s="6"/>
      <x:c r="L201" s="6"/>
    </x:row>
    <x:row r="202" ht="22" customHeight="1">
      <x:c r="A202" s="6"/>
      <x:c r="B202" s="6"/>
      <x:c r="C202" s="6"/>
      <x:c r="D202" s="6"/>
      <x:c r="E202" s="6"/>
      <x:c r="F202" s="7"/>
      <x:c r="G202" s="6"/>
      <x:c r="H202" s="13"/>
      <x:c r="I202" s="14" t="str">
        <x:f>IF(A202="","",IF(OR(NOT(ISNUMBER(G202)),NOT(ISNUMBER(H202))),"Eksik maliyet",G202*H202))</x:f>
      </x:c>
      <x:c r="J202" s="6"/>
      <x:c r="K202" s="6"/>
      <x:c r="L202" s="6"/>
    </x:row>
    <x:row r="203" ht="22" customHeight="1">
      <x:c r="A203" s="6"/>
      <x:c r="B203" s="6"/>
      <x:c r="C203" s="6"/>
      <x:c r="D203" s="6"/>
      <x:c r="E203" s="6"/>
      <x:c r="F203" s="7"/>
      <x:c r="G203" s="6"/>
      <x:c r="H203" s="13"/>
      <x:c r="I203" s="14" t="str">
        <x:f>IF(A203="","",IF(OR(NOT(ISNUMBER(G203)),NOT(ISNUMBER(H203))),"Eksik maliyet",G203*H203))</x:f>
      </x:c>
      <x:c r="J203" s="6"/>
      <x:c r="K203" s="6"/>
      <x:c r="L203" s="6"/>
    </x:row>
    <x:row r="204" ht="22" customHeight="1">
      <x:c r="A204" s="6"/>
      <x:c r="B204" s="6"/>
      <x:c r="C204" s="6"/>
      <x:c r="D204" s="6"/>
      <x:c r="E204" s="6"/>
      <x:c r="F204" s="7"/>
      <x:c r="G204" s="6"/>
      <x:c r="H204" s="13"/>
      <x:c r="I204" s="14" t="str">
        <x:f>IF(A204="","",IF(OR(NOT(ISNUMBER(G204)),NOT(ISNUMBER(H204))),"Eksik maliyet",G204*H204))</x:f>
      </x:c>
      <x:c r="J204" s="6"/>
      <x:c r="K204" s="6"/>
      <x:c r="L204" s="6"/>
    </x:row>
    <x:row r="205" ht="22" customHeight="1">
      <x:c r="A205" s="6"/>
      <x:c r="B205" s="6"/>
      <x:c r="C205" s="6"/>
      <x:c r="D205" s="6"/>
      <x:c r="E205" s="6"/>
      <x:c r="F205" s="7"/>
      <x:c r="G205" s="6"/>
      <x:c r="H205" s="13"/>
      <x:c r="I205" s="14" t="str">
        <x:f>IF(A205="","",IF(OR(NOT(ISNUMBER(G205)),NOT(ISNUMBER(H205))),"Eksik maliyet",G205*H205))</x:f>
      </x:c>
      <x:c r="J205" s="6"/>
      <x:c r="K205" s="6"/>
      <x:c r="L205" s="6"/>
    </x:row>
    <x:row r="206" ht="22" customHeight="1">
      <x:c r="A206" s="6"/>
      <x:c r="B206" s="6"/>
      <x:c r="C206" s="6"/>
      <x:c r="D206" s="6"/>
      <x:c r="E206" s="6"/>
      <x:c r="F206" s="7"/>
      <x:c r="G206" s="6"/>
      <x:c r="H206" s="13"/>
      <x:c r="I206" s="14" t="str">
        <x:f>IF(A206="","",IF(OR(NOT(ISNUMBER(G206)),NOT(ISNUMBER(H206))),"Eksik maliyet",G206*H206))</x:f>
      </x:c>
      <x:c r="J206" s="6"/>
      <x:c r="K206" s="6"/>
      <x:c r="L206" s="6"/>
    </x:row>
  </x:sheetData>
  <x:dataValidations count="4">
    <x:dataValidation type="list" sqref="B7:B206">
      <x:formula1>'Projeler'!$A$7:$A$26</x:formula1>
    </x:dataValidation>
    <x:dataValidation type="list" sqref="D7:D206">
      <x:formula1>"Malzeme,Hizmet,Seyahat,Diğer"</x:formula1>
    </x:dataValidation>
    <x:dataValidation type="list" sqref="E7:E206">
      <x:formula1>"Gerçekleşen,Kalan tahmin"</x:formula1>
    </x:dataValidation>
    <x:dataValidation type="decimal" operator="between" sqref="G7:H206">
      <x:formula1>0</x:formula1>
      <x:formula2>10000000000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0b42be78241481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4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3" hidden="0" customWidth="1"/>
    <x:col min="9" max="9" width="4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2" customHeight="1">
      <x:c r="A2" s="3" t="str">
        <x:v>Risk kaydı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4" customHeight="1">
      <x:c r="A6" s="12" t="str">
        <x:v>Risk ID</x:v>
      </x:c>
      <x:c r="B6" s="12" t="str">
        <x:v>Proje ID</x:v>
      </x:c>
      <x:c r="C6" s="12" t="str">
        <x:v>Risk tanımı</x:v>
      </x:c>
      <x:c r="D6" s="12" t="str">
        <x:v>Olasılık (1-5)</x:v>
      </x:c>
      <x:c r="E6" s="12" t="str">
        <x:v>Etki (1-5)</x:v>
      </x:c>
      <x:c r="F6" s="12" t="str">
        <x:v>Risk puanı</x:v>
      </x:c>
      <x:c r="G6" s="12" t="str">
        <x:v>Risk seviyesi</x:v>
      </x:c>
      <x:c r="H6" s="12" t="str">
        <x:v>Risk sahibi</x:v>
      </x:c>
      <x:c r="I6" s="12" t="str">
        <x:v>Önleyici / azaltıcı aksiyon</x:v>
      </x:c>
      <x:c r="J6" s="12" t="str">
        <x:v>Hedef tarih</x:v>
      </x:c>
      <x:c r="K6" s="12" t="str">
        <x:v>Durum</x:v>
      </x:c>
      <x:c r="L6" s="12" t="str">
        <x:v>Açılış tarihi</x:v>
      </x:c>
    </x:row>
    <x:row r="7" ht="22" customHeight="1">
      <x:c r="A7" s="6" t="str">
        <x:v>R001</x:v>
      </x:c>
      <x:c r="B7" s="6" t="str">
        <x:v>PRJ-001</x:v>
      </x:c>
      <x:c r="C7" s="6" t="str">
        <x:v>Motor teslimatının gecikmesi</x:v>
      </x:c>
      <x:c r="D7" s="6" t="n">
        <x:v>4</x:v>
      </x:c>
      <x:c r="E7" s="6" t="n">
        <x:v>5</x:v>
      </x:c>
      <x:c r="F7" s="2" t="n">
        <x:f>IF(A7="","",IF(OR(D7="",E7=""),"Eksik puan",D7*E7))</x:f>
        <x:v>20</x:v>
      </x:c>
      <x:c r="G7" s="2" t="str">
        <x:f>IF(A7="","",IF(NOT(ISNUMBER(F7)),"Eksik puan",IF(F7&gt;=16,"Kritik",IF(F7&gt;=10,"Yüksek",IF(F7&gt;=5,"Orta","Düşük")))))</x:f>
        <x:v>Kritik</x:v>
      </x:c>
      <x:c r="H7" s="6" t="str">
        <x:v>Can Akın</x:v>
      </x:c>
      <x:c r="I7" s="6" t="str">
        <x:v>Alternatif tedarikçiden teklif al</x:v>
      </x:c>
      <x:c r="J7" s="7" t="n">
        <x:v>46315</x:v>
      </x:c>
      <x:c r="K7" s="6" t="str">
        <x:v>Açık</x:v>
      </x:c>
      <x:c r="L7" s="7" t="n">
        <x:v>46296</x:v>
      </x:c>
    </x:row>
    <x:row r="8" ht="22" customHeight="1">
      <x:c r="A8" s="6" t="str">
        <x:v>R002</x:v>
      </x:c>
      <x:c r="B8" s="6" t="str">
        <x:v>PRJ-001</x:v>
      </x:c>
      <x:c r="C8" s="6" t="str">
        <x:v>Saha duruş süresinin uzaması</x:v>
      </x:c>
      <x:c r="D8" s="6" t="n">
        <x:v>3</x:v>
      </x:c>
      <x:c r="E8" s="6" t="n">
        <x:v>4</x:v>
      </x:c>
      <x:c r="F8" s="2" t="n">
        <x:f>IF(A8="","",IF(OR(D8="",E8=""),"Eksik puan",D8*E8))</x:f>
        <x:v>12</x:v>
      </x:c>
      <x:c r="G8" s="2" t="str">
        <x:f>IF(A8="","",IF(NOT(ISNUMBER(F8)),"Eksik puan",IF(F8&gt;=16,"Kritik",IF(F8&gt;=10,"Yüksek",IF(F8&gt;=5,"Orta","Düşük")))))</x:f>
        <x:v>Yüksek</x:v>
      </x:c>
      <x:c r="H8" s="6" t="str">
        <x:v>Ayşe Yılmaz</x:v>
      </x:c>
      <x:c r="I8" s="6" t="str">
        <x:v>Hafta sonu montaj planı hazırla</x:v>
      </x:c>
      <x:c r="J8" s="7" t="n">
        <x:v>46318</x:v>
      </x:c>
      <x:c r="K8" s="6" t="str">
        <x:v>Azaltılıyor</x:v>
      </x:c>
      <x:c r="L8" s="7" t="n">
        <x:v>46303</x:v>
      </x:c>
    </x:row>
    <x:row r="9" ht="22" customHeight="1">
      <x:c r="A9" s="6" t="str">
        <x:v>R003</x:v>
      </x:c>
      <x:c r="B9" s="6" t="str">
        <x:v>PRJ-001</x:v>
      </x:c>
      <x:c r="C9" s="6" t="str">
        <x:v>Kabul kriterlerinin belirsizliği</x:v>
      </x:c>
      <x:c r="D9" s="6" t="n">
        <x:v>2</x:v>
      </x:c>
      <x:c r="E9" s="6" t="n">
        <x:v>2</x:v>
      </x:c>
      <x:c r="F9" s="2" t="n">
        <x:f>IF(A9="","",IF(OR(D9="",E9=""),"Eksik puan",D9*E9))</x:f>
        <x:v>4</x:v>
      </x:c>
      <x:c r="G9" s="2" t="str">
        <x:f>IF(A9="","",IF(NOT(ISNUMBER(F9)),"Eksik puan",IF(F9&gt;=16,"Kritik",IF(F9&gt;=10,"Yüksek",IF(F9&gt;=5,"Orta","Düşük")))))</x:f>
        <x:v>Düşük</x:v>
      </x:c>
      <x:c r="H9" s="6" t="str">
        <x:v>Bora Işık</x:v>
      </x:c>
      <x:c r="I9" s="6" t="str">
        <x:v>Test listesini onaylat</x:v>
      </x:c>
      <x:c r="J9" s="7" t="n">
        <x:v>46317</x:v>
      </x:c>
      <x:c r="K9" s="6" t="str">
        <x:v>Açık</x:v>
      </x:c>
      <x:c r="L9" s="7" t="n">
        <x:v>46303</x:v>
      </x:c>
    </x:row>
    <x:row r="10" ht="22" customHeight="1">
      <x:c r="A10" s="6" t="str">
        <x:v>R004</x:v>
      </x:c>
      <x:c r="B10" s="6" t="str">
        <x:v>PRJ-002</x:v>
      </x:c>
      <x:c r="C10" s="6" t="str">
        <x:v>Entegrasyon erişimlerinin gecikmesi</x:v>
      </x:c>
      <x:c r="D10" s="6" t="n">
        <x:v>2</x:v>
      </x:c>
      <x:c r="E10" s="6" t="n">
        <x:v>4</x:v>
      </x:c>
      <x:c r="F10" s="2" t="n">
        <x:f>IF(A10="","",IF(OR(D10="",E10=""),"Eksik puan",D10*E10))</x:f>
        <x:v>8</x:v>
      </x:c>
      <x:c r="G10" s="2" t="str">
        <x:f>IF(A10="","",IF(NOT(ISNUMBER(F10)),"Eksik puan",IF(F10&gt;=16,"Kritik",IF(F10&gt;=10,"Yüksek",IF(F10&gt;=5,"Orta","Düşük")))))</x:f>
        <x:v>Orta</x:v>
      </x:c>
      <x:c r="H10" s="6" t="str">
        <x:v>Mehmet Demir</x:v>
      </x:c>
      <x:c r="I10" s="6" t="str">
        <x:v>Erişimleri önceden doğrula</x:v>
      </x:c>
      <x:c r="J10" s="7" t="n">
        <x:v>46314</x:v>
      </x:c>
      <x:c r="K10" s="6" t="str">
        <x:v>Azaltılıyor</x:v>
      </x:c>
      <x:c r="L10" s="7" t="n">
        <x:v>46303</x:v>
      </x:c>
    </x:row>
    <x:row r="11" ht="22" customHeight="1">
      <x:c r="A11" s="6" t="str">
        <x:v>R005</x:v>
      </x:c>
      <x:c r="B11" s="6" t="str">
        <x:v>PRJ-002</x:v>
      </x:c>
      <x:c r="C11" s="6" t="str">
        <x:v>Kullanıcı ekranı revizyonu</x:v>
      </x:c>
      <x:c r="D11" s="6" t="n">
        <x:v>2</x:v>
      </x:c>
      <x:c r="E11" s="6" t="n">
        <x:v>2</x:v>
      </x:c>
      <x:c r="F11" s="2" t="n">
        <x:f>IF(A11="","",IF(OR(D11="",E11=""),"Eksik puan",D11*E11))</x:f>
        <x:v>4</x:v>
      </x:c>
      <x:c r="G11" s="2" t="str">
        <x:f>IF(A11="","",IF(NOT(ISNUMBER(F11)),"Eksik puan",IF(F11&gt;=16,"Kritik",IF(F11&gt;=10,"Yüksek",IF(F11&gt;=5,"Orta","Düşük")))))</x:f>
        <x:v>Düşük</x:v>
      </x:c>
      <x:c r="H11" s="6" t="str">
        <x:v>İpek Acar</x:v>
      </x:c>
      <x:c r="I11" s="6" t="str">
        <x:v>Tasarım onayı al</x:v>
      </x:c>
      <x:c r="J11" s="7" t="n">
        <x:v>46304</x:v>
      </x:c>
      <x:c r="K11" s="6" t="str">
        <x:v>Kapalı</x:v>
      </x:c>
      <x:c r="L11" s="7" t="n">
        <x:v>46289</x:v>
      </x:c>
    </x:row>
    <x:row r="12" ht="22" customHeight="1">
      <x:c r="A12" s="6" t="str">
        <x:v>R006</x:v>
      </x:c>
      <x:c r="B12" s="6" t="str">
        <x:v>PRJ-003</x:v>
      </x:c>
      <x:c r="C12" s="6" t="str">
        <x:v>Terminallerin teslimatı</x:v>
      </x:c>
      <x:c r="D12" s="6" t="n">
        <x:v>4</x:v>
      </x:c>
      <x:c r="E12" s="6" t="n">
        <x:v>4</x:v>
      </x:c>
      <x:c r="F12" s="2" t="n">
        <x:f>IF(A12="","",IF(OR(D12="",E12=""),"Eksik puan",D12*E12))</x:f>
        <x:v>16</x:v>
      </x:c>
      <x:c r="G12" s="2" t="str">
        <x:f>IF(A12="","",IF(NOT(ISNUMBER(F12)),"Eksik puan",IF(F12&gt;=16,"Kritik",IF(F12&gt;=10,"Yüksek",IF(F12&gt;=5,"Orta","Düşük")))))</x:f>
        <x:v>Kritik</x:v>
      </x:c>
      <x:c r="H12" s="6" t="str">
        <x:v>Selin Kaya</x:v>
      </x:c>
      <x:c r="I12" s="6" t="str">
        <x:v>Kısmi sevkiyatı devreye al</x:v>
      </x:c>
      <x:c r="J12" s="7" t="n">
        <x:v>46311</x:v>
      </x:c>
      <x:c r="K12" s="6" t="str">
        <x:v>Açık</x:v>
      </x:c>
      <x:c r="L12" s="7" t="n">
        <x:v>46296</x:v>
      </x:c>
    </x:row>
    <x:row r="13" ht="22" customHeight="1">
      <x:c r="A13" s="6" t="str">
        <x:v>R007</x:v>
      </x:c>
      <x:c r="B13" s="6" t="str">
        <x:v>PRJ-003</x:v>
      </x:c>
      <x:c r="C13" s="6" t="str">
        <x:v>Stok verisi doğruluğu</x:v>
      </x:c>
      <x:c r="D13" s="6" t="n">
        <x:v>3</x:v>
      </x:c>
      <x:c r="E13" s="6" t="n">
        <x:v>4</x:v>
      </x:c>
      <x:c r="F13" s="2" t="n">
        <x:f>IF(A13="","",IF(OR(D13="",E13=""),"Eksik puan",D13*E13))</x:f>
        <x:v>12</x:v>
      </x:c>
      <x:c r="G13" s="2" t="str">
        <x:f>IF(A13="","",IF(NOT(ISNUMBER(F13)),"Eksik puan",IF(F13&gt;=16,"Kritik",IF(F13&gt;=10,"Yüksek",IF(F13&gt;=5,"Orta","Düşük")))))</x:f>
        <x:v>Yüksek</x:v>
      </x:c>
      <x:c r="H13" s="6" t="str">
        <x:v>Derya Ak</x:v>
      </x:c>
      <x:c r="I13" s="6" t="str">
        <x:v>Pilot depoda sayım yap</x:v>
      </x:c>
      <x:c r="J13" s="7" t="n">
        <x:v>46318</x:v>
      </x:c>
      <x:c r="K13" s="6" t="str">
        <x:v>Azaltılıyor</x:v>
      </x:c>
      <x:c r="L13" s="7" t="n">
        <x:v>46303</x:v>
      </x:c>
    </x:row>
    <x:row r="14" ht="22" customHeight="1">
      <x:c r="A14" s="6"/>
      <x:c r="B14" s="6"/>
      <x:c r="C14" s="6"/>
      <x:c r="D14" s="6"/>
      <x:c r="E14" s="6"/>
      <x:c r="F14" s="2" t="str">
        <x:f>IF(A14="","",IF(OR(D14="",E14=""),"Eksik puan",D14*E14))</x:f>
      </x:c>
      <x:c r="G14" s="2" t="str">
        <x:f>IF(A14="","",IF(NOT(ISNUMBER(F14)),"Eksik puan",IF(F14&gt;=16,"Kritik",IF(F14&gt;=10,"Yüksek",IF(F14&gt;=5,"Orta","Düşük")))))</x:f>
      </x:c>
      <x:c r="H14" s="6"/>
      <x:c r="I14" s="6"/>
      <x:c r="J14" s="7"/>
      <x:c r="K14" s="6"/>
      <x:c r="L14" s="7"/>
    </x:row>
    <x:row r="15" ht="22" customHeight="1">
      <x:c r="A15" s="6"/>
      <x:c r="B15" s="6"/>
      <x:c r="C15" s="6"/>
      <x:c r="D15" s="6"/>
      <x:c r="E15" s="6"/>
      <x:c r="F15" s="2" t="str">
        <x:f>IF(A15="","",IF(OR(D15="",E15=""),"Eksik puan",D15*E15))</x:f>
      </x:c>
      <x:c r="G15" s="2" t="str">
        <x:f>IF(A15="","",IF(NOT(ISNUMBER(F15)),"Eksik puan",IF(F15&gt;=16,"Kritik",IF(F15&gt;=10,"Yüksek",IF(F15&gt;=5,"Orta","Düşük")))))</x:f>
      </x:c>
      <x:c r="H15" s="6"/>
      <x:c r="I15" s="6"/>
      <x:c r="J15" s="7"/>
      <x:c r="K15" s="6"/>
      <x:c r="L15" s="7"/>
    </x:row>
    <x:row r="16" ht="22" customHeight="1">
      <x:c r="A16" s="6"/>
      <x:c r="B16" s="6"/>
      <x:c r="C16" s="6"/>
      <x:c r="D16" s="6"/>
      <x:c r="E16" s="6"/>
      <x:c r="F16" s="2" t="str">
        <x:f>IF(A16="","",IF(OR(D16="",E16=""),"Eksik puan",D16*E16))</x:f>
      </x:c>
      <x:c r="G16" s="2" t="str">
        <x:f>IF(A16="","",IF(NOT(ISNUMBER(F16)),"Eksik puan",IF(F16&gt;=16,"Kritik",IF(F16&gt;=10,"Yüksek",IF(F16&gt;=5,"Orta","Düşük")))))</x:f>
      </x:c>
      <x:c r="H16" s="6"/>
      <x:c r="I16" s="6"/>
      <x:c r="J16" s="7"/>
      <x:c r="K16" s="6"/>
      <x:c r="L16" s="7"/>
    </x:row>
    <x:row r="17" ht="22" customHeight="1">
      <x:c r="A17" s="6"/>
      <x:c r="B17" s="6"/>
      <x:c r="C17" s="6"/>
      <x:c r="D17" s="6"/>
      <x:c r="E17" s="6"/>
      <x:c r="F17" s="2" t="str">
        <x:f>IF(A17="","",IF(OR(D17="",E17=""),"Eksik puan",D17*E17))</x:f>
      </x:c>
      <x:c r="G17" s="2" t="str">
        <x:f>IF(A17="","",IF(NOT(ISNUMBER(F17)),"Eksik puan",IF(F17&gt;=16,"Kritik",IF(F17&gt;=10,"Yüksek",IF(F17&gt;=5,"Orta","Düşük")))))</x:f>
      </x:c>
      <x:c r="H17" s="6"/>
      <x:c r="I17" s="6"/>
      <x:c r="J17" s="7"/>
      <x:c r="K17" s="6"/>
      <x:c r="L17" s="7"/>
    </x:row>
    <x:row r="18" ht="22" customHeight="1">
      <x:c r="A18" s="6"/>
      <x:c r="B18" s="6"/>
      <x:c r="C18" s="6"/>
      <x:c r="D18" s="6"/>
      <x:c r="E18" s="6"/>
      <x:c r="F18" s="2" t="str">
        <x:f>IF(A18="","",IF(OR(D18="",E18=""),"Eksik puan",D18*E18))</x:f>
      </x:c>
      <x:c r="G18" s="2" t="str">
        <x:f>IF(A18="","",IF(NOT(ISNUMBER(F18)),"Eksik puan",IF(F18&gt;=16,"Kritik",IF(F18&gt;=10,"Yüksek",IF(F18&gt;=5,"Orta","Düşük")))))</x:f>
      </x:c>
      <x:c r="H18" s="6"/>
      <x:c r="I18" s="6"/>
      <x:c r="J18" s="7"/>
      <x:c r="K18" s="6"/>
      <x:c r="L18" s="7"/>
    </x:row>
    <x:row r="19" ht="22" customHeight="1">
      <x:c r="A19" s="6"/>
      <x:c r="B19" s="6"/>
      <x:c r="C19" s="6"/>
      <x:c r="D19" s="6"/>
      <x:c r="E19" s="6"/>
      <x:c r="F19" s="2" t="str">
        <x:f>IF(A19="","",IF(OR(D19="",E19=""),"Eksik puan",D19*E19))</x:f>
      </x:c>
      <x:c r="G19" s="2" t="str">
        <x:f>IF(A19="","",IF(NOT(ISNUMBER(F19)),"Eksik puan",IF(F19&gt;=16,"Kritik",IF(F19&gt;=10,"Yüksek",IF(F19&gt;=5,"Orta","Düşük")))))</x:f>
      </x:c>
      <x:c r="H19" s="6"/>
      <x:c r="I19" s="6"/>
      <x:c r="J19" s="7"/>
      <x:c r="K19" s="6"/>
      <x:c r="L19" s="7"/>
    </x:row>
    <x:row r="20" ht="22" customHeight="1">
      <x:c r="A20" s="6"/>
      <x:c r="B20" s="6"/>
      <x:c r="C20" s="6"/>
      <x:c r="D20" s="6"/>
      <x:c r="E20" s="6"/>
      <x:c r="F20" s="2" t="str">
        <x:f>IF(A20="","",IF(OR(D20="",E20=""),"Eksik puan",D20*E20))</x:f>
      </x:c>
      <x:c r="G20" s="2" t="str">
        <x:f>IF(A20="","",IF(NOT(ISNUMBER(F20)),"Eksik puan",IF(F20&gt;=16,"Kritik",IF(F20&gt;=10,"Yüksek",IF(F20&gt;=5,"Orta","Düşük")))))</x:f>
      </x:c>
      <x:c r="H20" s="6"/>
      <x:c r="I20" s="6"/>
      <x:c r="J20" s="7"/>
      <x:c r="K20" s="6"/>
      <x:c r="L20" s="7"/>
    </x:row>
    <x:row r="21" ht="22" customHeight="1">
      <x:c r="A21" s="6"/>
      <x:c r="B21" s="6"/>
      <x:c r="C21" s="6"/>
      <x:c r="D21" s="6"/>
      <x:c r="E21" s="6"/>
      <x:c r="F21" s="2" t="str">
        <x:f>IF(A21="","",IF(OR(D21="",E21=""),"Eksik puan",D21*E21))</x:f>
      </x:c>
      <x:c r="G21" s="2" t="str">
        <x:f>IF(A21="","",IF(NOT(ISNUMBER(F21)),"Eksik puan",IF(F21&gt;=16,"Kritik",IF(F21&gt;=10,"Yüksek",IF(F21&gt;=5,"Orta","Düşük")))))</x:f>
      </x:c>
      <x:c r="H21" s="6"/>
      <x:c r="I21" s="6"/>
      <x:c r="J21" s="7"/>
      <x:c r="K21" s="6"/>
      <x:c r="L21" s="7"/>
    </x:row>
    <x:row r="22" ht="22" customHeight="1">
      <x:c r="A22" s="6"/>
      <x:c r="B22" s="6"/>
      <x:c r="C22" s="6"/>
      <x:c r="D22" s="6"/>
      <x:c r="E22" s="6"/>
      <x:c r="F22" s="2" t="str">
        <x:f>IF(A22="","",IF(OR(D22="",E22=""),"Eksik puan",D22*E22))</x:f>
      </x:c>
      <x:c r="G22" s="2" t="str">
        <x:f>IF(A22="","",IF(NOT(ISNUMBER(F22)),"Eksik puan",IF(F22&gt;=16,"Kritik",IF(F22&gt;=10,"Yüksek",IF(F22&gt;=5,"Orta","Düşük")))))</x:f>
      </x:c>
      <x:c r="H22" s="6"/>
      <x:c r="I22" s="6"/>
      <x:c r="J22" s="7"/>
      <x:c r="K22" s="6"/>
      <x:c r="L22" s="7"/>
    </x:row>
    <x:row r="23" ht="22" customHeight="1">
      <x:c r="A23" s="6"/>
      <x:c r="B23" s="6"/>
      <x:c r="C23" s="6"/>
      <x:c r="D23" s="6"/>
      <x:c r="E23" s="6"/>
      <x:c r="F23" s="2" t="str">
        <x:f>IF(A23="","",IF(OR(D23="",E23=""),"Eksik puan",D23*E23))</x:f>
      </x:c>
      <x:c r="G23" s="2" t="str">
        <x:f>IF(A23="","",IF(NOT(ISNUMBER(F23)),"Eksik puan",IF(F23&gt;=16,"Kritik",IF(F23&gt;=10,"Yüksek",IF(F23&gt;=5,"Orta","Düşük")))))</x:f>
      </x:c>
      <x:c r="H23" s="6"/>
      <x:c r="I23" s="6"/>
      <x:c r="J23" s="7"/>
      <x:c r="K23" s="6"/>
      <x:c r="L23" s="7"/>
    </x:row>
    <x:row r="24" ht="22" customHeight="1">
      <x:c r="A24" s="6"/>
      <x:c r="B24" s="6"/>
      <x:c r="C24" s="6"/>
      <x:c r="D24" s="6"/>
      <x:c r="E24" s="6"/>
      <x:c r="F24" s="2" t="str">
        <x:f>IF(A24="","",IF(OR(D24="",E24=""),"Eksik puan",D24*E24))</x:f>
      </x:c>
      <x:c r="G24" s="2" t="str">
        <x:f>IF(A24="","",IF(NOT(ISNUMBER(F24)),"Eksik puan",IF(F24&gt;=16,"Kritik",IF(F24&gt;=10,"Yüksek",IF(F24&gt;=5,"Orta","Düşük")))))</x:f>
      </x:c>
      <x:c r="H24" s="6"/>
      <x:c r="I24" s="6"/>
      <x:c r="J24" s="7"/>
      <x:c r="K24" s="6"/>
      <x:c r="L24" s="7"/>
    </x:row>
    <x:row r="25" ht="22" customHeight="1">
      <x:c r="A25" s="6"/>
      <x:c r="B25" s="6"/>
      <x:c r="C25" s="6"/>
      <x:c r="D25" s="6"/>
      <x:c r="E25" s="6"/>
      <x:c r="F25" s="2" t="str">
        <x:f>IF(A25="","",IF(OR(D25="",E25=""),"Eksik puan",D25*E25))</x:f>
      </x:c>
      <x:c r="G25" s="2" t="str">
        <x:f>IF(A25="","",IF(NOT(ISNUMBER(F25)),"Eksik puan",IF(F25&gt;=16,"Kritik",IF(F25&gt;=10,"Yüksek",IF(F25&gt;=5,"Orta","Düşük")))))</x:f>
      </x:c>
      <x:c r="H25" s="6"/>
      <x:c r="I25" s="6"/>
      <x:c r="J25" s="7"/>
      <x:c r="K25" s="6"/>
      <x:c r="L25" s="7"/>
    </x:row>
    <x:row r="26" ht="22" customHeight="1">
      <x:c r="A26" s="6"/>
      <x:c r="B26" s="6"/>
      <x:c r="C26" s="6"/>
      <x:c r="D26" s="6"/>
      <x:c r="E26" s="6"/>
      <x:c r="F26" s="2" t="str">
        <x:f>IF(A26="","",IF(OR(D26="",E26=""),"Eksik puan",D26*E26))</x:f>
      </x:c>
      <x:c r="G26" s="2" t="str">
        <x:f>IF(A26="","",IF(NOT(ISNUMBER(F26)),"Eksik puan",IF(F26&gt;=16,"Kritik",IF(F26&gt;=10,"Yüksek",IF(F26&gt;=5,"Orta","Düşük")))))</x:f>
      </x:c>
      <x:c r="H26" s="6"/>
      <x:c r="I26" s="6"/>
      <x:c r="J26" s="7"/>
      <x:c r="K26" s="6"/>
      <x:c r="L26" s="7"/>
    </x:row>
    <x:row r="27" ht="22" customHeight="1">
      <x:c r="A27" s="6"/>
      <x:c r="B27" s="6"/>
      <x:c r="C27" s="6"/>
      <x:c r="D27" s="6"/>
      <x:c r="E27" s="6"/>
      <x:c r="F27" s="2" t="str">
        <x:f>IF(A27="","",IF(OR(D27="",E27=""),"Eksik puan",D27*E27))</x:f>
      </x:c>
      <x:c r="G27" s="2" t="str">
        <x:f>IF(A27="","",IF(NOT(ISNUMBER(F27)),"Eksik puan",IF(F27&gt;=16,"Kritik",IF(F27&gt;=10,"Yüksek",IF(F27&gt;=5,"Orta","Düşük")))))</x:f>
      </x:c>
      <x:c r="H27" s="6"/>
      <x:c r="I27" s="6"/>
      <x:c r="J27" s="7"/>
      <x:c r="K27" s="6"/>
      <x:c r="L27" s="7"/>
    </x:row>
    <x:row r="28" ht="22" customHeight="1">
      <x:c r="A28" s="6"/>
      <x:c r="B28" s="6"/>
      <x:c r="C28" s="6"/>
      <x:c r="D28" s="6"/>
      <x:c r="E28" s="6"/>
      <x:c r="F28" s="2" t="str">
        <x:f>IF(A28="","",IF(OR(D28="",E28=""),"Eksik puan",D28*E28))</x:f>
      </x:c>
      <x:c r="G28" s="2" t="str">
        <x:f>IF(A28="","",IF(NOT(ISNUMBER(F28)),"Eksik puan",IF(F28&gt;=16,"Kritik",IF(F28&gt;=10,"Yüksek",IF(F28&gt;=5,"Orta","Düşük")))))</x:f>
      </x:c>
      <x:c r="H28" s="6"/>
      <x:c r="I28" s="6"/>
      <x:c r="J28" s="7"/>
      <x:c r="K28" s="6"/>
      <x:c r="L28" s="7"/>
    </x:row>
    <x:row r="29" ht="22" customHeight="1">
      <x:c r="A29" s="6"/>
      <x:c r="B29" s="6"/>
      <x:c r="C29" s="6"/>
      <x:c r="D29" s="6"/>
      <x:c r="E29" s="6"/>
      <x:c r="F29" s="2" t="str">
        <x:f>IF(A29="","",IF(OR(D29="",E29=""),"Eksik puan",D29*E29))</x:f>
      </x:c>
      <x:c r="G29" s="2" t="str">
        <x:f>IF(A29="","",IF(NOT(ISNUMBER(F29)),"Eksik puan",IF(F29&gt;=16,"Kritik",IF(F29&gt;=10,"Yüksek",IF(F29&gt;=5,"Orta","Düşük")))))</x:f>
      </x:c>
      <x:c r="H29" s="6"/>
      <x:c r="I29" s="6"/>
      <x:c r="J29" s="7"/>
      <x:c r="K29" s="6"/>
      <x:c r="L29" s="7"/>
    </x:row>
    <x:row r="30" ht="22" customHeight="1">
      <x:c r="A30" s="6"/>
      <x:c r="B30" s="6"/>
      <x:c r="C30" s="6"/>
      <x:c r="D30" s="6"/>
      <x:c r="E30" s="6"/>
      <x:c r="F30" s="2" t="str">
        <x:f>IF(A30="","",IF(OR(D30="",E30=""),"Eksik puan",D30*E30))</x:f>
      </x:c>
      <x:c r="G30" s="2" t="str">
        <x:f>IF(A30="","",IF(NOT(ISNUMBER(F30)),"Eksik puan",IF(F30&gt;=16,"Kritik",IF(F30&gt;=10,"Yüksek",IF(F30&gt;=5,"Orta","Düşük")))))</x:f>
      </x:c>
      <x:c r="H30" s="6"/>
      <x:c r="I30" s="6"/>
      <x:c r="J30" s="7"/>
      <x:c r="K30" s="6"/>
      <x:c r="L30" s="7"/>
    </x:row>
    <x:row r="31" ht="22" customHeight="1">
      <x:c r="A31" s="6"/>
      <x:c r="B31" s="6"/>
      <x:c r="C31" s="6"/>
      <x:c r="D31" s="6"/>
      <x:c r="E31" s="6"/>
      <x:c r="F31" s="2" t="str">
        <x:f>IF(A31="","",IF(OR(D31="",E31=""),"Eksik puan",D31*E31))</x:f>
      </x:c>
      <x:c r="G31" s="2" t="str">
        <x:f>IF(A31="","",IF(NOT(ISNUMBER(F31)),"Eksik puan",IF(F31&gt;=16,"Kritik",IF(F31&gt;=10,"Yüksek",IF(F31&gt;=5,"Orta","Düşük")))))</x:f>
      </x:c>
      <x:c r="H31" s="6"/>
      <x:c r="I31" s="6"/>
      <x:c r="J31" s="7"/>
      <x:c r="K31" s="6"/>
      <x:c r="L31" s="7"/>
    </x:row>
    <x:row r="32" ht="22" customHeight="1">
      <x:c r="A32" s="6"/>
      <x:c r="B32" s="6"/>
      <x:c r="C32" s="6"/>
      <x:c r="D32" s="6"/>
      <x:c r="E32" s="6"/>
      <x:c r="F32" s="2" t="str">
        <x:f>IF(A32="","",IF(OR(D32="",E32=""),"Eksik puan",D32*E32))</x:f>
      </x:c>
      <x:c r="G32" s="2" t="str">
        <x:f>IF(A32="","",IF(NOT(ISNUMBER(F32)),"Eksik puan",IF(F32&gt;=16,"Kritik",IF(F32&gt;=10,"Yüksek",IF(F32&gt;=5,"Orta","Düşük")))))</x:f>
      </x:c>
      <x:c r="H32" s="6"/>
      <x:c r="I32" s="6"/>
      <x:c r="J32" s="7"/>
      <x:c r="K32" s="6"/>
      <x:c r="L32" s="7"/>
    </x:row>
    <x:row r="33" ht="22" customHeight="1">
      <x:c r="A33" s="6"/>
      <x:c r="B33" s="6"/>
      <x:c r="C33" s="6"/>
      <x:c r="D33" s="6"/>
      <x:c r="E33" s="6"/>
      <x:c r="F33" s="2" t="str">
        <x:f>IF(A33="","",IF(OR(D33="",E33=""),"Eksik puan",D33*E33))</x:f>
      </x:c>
      <x:c r="G33" s="2" t="str">
        <x:f>IF(A33="","",IF(NOT(ISNUMBER(F33)),"Eksik puan",IF(F33&gt;=16,"Kritik",IF(F33&gt;=10,"Yüksek",IF(F33&gt;=5,"Orta","Düşük")))))</x:f>
      </x:c>
      <x:c r="H33" s="6"/>
      <x:c r="I33" s="6"/>
      <x:c r="J33" s="7"/>
      <x:c r="K33" s="6"/>
      <x:c r="L33" s="7"/>
    </x:row>
    <x:row r="34" ht="22" customHeight="1">
      <x:c r="A34" s="6"/>
      <x:c r="B34" s="6"/>
      <x:c r="C34" s="6"/>
      <x:c r="D34" s="6"/>
      <x:c r="E34" s="6"/>
      <x:c r="F34" s="2" t="str">
        <x:f>IF(A34="","",IF(OR(D34="",E34=""),"Eksik puan",D34*E34))</x:f>
      </x:c>
      <x:c r="G34" s="2" t="str">
        <x:f>IF(A34="","",IF(NOT(ISNUMBER(F34)),"Eksik puan",IF(F34&gt;=16,"Kritik",IF(F34&gt;=10,"Yüksek",IF(F34&gt;=5,"Orta","Düşük")))))</x:f>
      </x:c>
      <x:c r="H34" s="6"/>
      <x:c r="I34" s="6"/>
      <x:c r="J34" s="7"/>
      <x:c r="K34" s="6"/>
      <x:c r="L34" s="7"/>
    </x:row>
    <x:row r="35" ht="22" customHeight="1">
      <x:c r="A35" s="6"/>
      <x:c r="B35" s="6"/>
      <x:c r="C35" s="6"/>
      <x:c r="D35" s="6"/>
      <x:c r="E35" s="6"/>
      <x:c r="F35" s="2" t="str">
        <x:f>IF(A35="","",IF(OR(D35="",E35=""),"Eksik puan",D35*E35))</x:f>
      </x:c>
      <x:c r="G35" s="2" t="str">
        <x:f>IF(A35="","",IF(NOT(ISNUMBER(F35)),"Eksik puan",IF(F35&gt;=16,"Kritik",IF(F35&gt;=10,"Yüksek",IF(F35&gt;=5,"Orta","Düşük")))))</x:f>
      </x:c>
      <x:c r="H35" s="6"/>
      <x:c r="I35" s="6"/>
      <x:c r="J35" s="7"/>
      <x:c r="K35" s="6"/>
      <x:c r="L35" s="7"/>
    </x:row>
    <x:row r="36" ht="22" customHeight="1">
      <x:c r="A36" s="6"/>
      <x:c r="B36" s="6"/>
      <x:c r="C36" s="6"/>
      <x:c r="D36" s="6"/>
      <x:c r="E36" s="6"/>
      <x:c r="F36" s="2" t="str">
        <x:f>IF(A36="","",IF(OR(D36="",E36=""),"Eksik puan",D36*E36))</x:f>
      </x:c>
      <x:c r="G36" s="2" t="str">
        <x:f>IF(A36="","",IF(NOT(ISNUMBER(F36)),"Eksik puan",IF(F36&gt;=16,"Kritik",IF(F36&gt;=10,"Yüksek",IF(F36&gt;=5,"Orta","Düşük")))))</x:f>
      </x:c>
      <x:c r="H36" s="6"/>
      <x:c r="I36" s="6"/>
      <x:c r="J36" s="7"/>
      <x:c r="K36" s="6"/>
      <x:c r="L36" s="7"/>
    </x:row>
    <x:row r="37" ht="22" customHeight="1">
      <x:c r="A37" s="6"/>
      <x:c r="B37" s="6"/>
      <x:c r="C37" s="6"/>
      <x:c r="D37" s="6"/>
      <x:c r="E37" s="6"/>
      <x:c r="F37" s="2" t="str">
        <x:f>IF(A37="","",IF(OR(D37="",E37=""),"Eksik puan",D37*E37))</x:f>
      </x:c>
      <x:c r="G37" s="2" t="str">
        <x:f>IF(A37="","",IF(NOT(ISNUMBER(F37)),"Eksik puan",IF(F37&gt;=16,"Kritik",IF(F37&gt;=10,"Yüksek",IF(F37&gt;=5,"Orta","Düşük")))))</x:f>
      </x:c>
      <x:c r="H37" s="6"/>
      <x:c r="I37" s="6"/>
      <x:c r="J37" s="7"/>
      <x:c r="K37" s="6"/>
      <x:c r="L37" s="7"/>
    </x:row>
    <x:row r="38" ht="22" customHeight="1">
      <x:c r="A38" s="6"/>
      <x:c r="B38" s="6"/>
      <x:c r="C38" s="6"/>
      <x:c r="D38" s="6"/>
      <x:c r="E38" s="6"/>
      <x:c r="F38" s="2" t="str">
        <x:f>IF(A38="","",IF(OR(D38="",E38=""),"Eksik puan",D38*E38))</x:f>
      </x:c>
      <x:c r="G38" s="2" t="str">
        <x:f>IF(A38="","",IF(NOT(ISNUMBER(F38)),"Eksik puan",IF(F38&gt;=16,"Kritik",IF(F38&gt;=10,"Yüksek",IF(F38&gt;=5,"Orta","Düşük")))))</x:f>
      </x:c>
      <x:c r="H38" s="6"/>
      <x:c r="I38" s="6"/>
      <x:c r="J38" s="7"/>
      <x:c r="K38" s="6"/>
      <x:c r="L38" s="7"/>
    </x:row>
    <x:row r="39" ht="22" customHeight="1">
      <x:c r="A39" s="6"/>
      <x:c r="B39" s="6"/>
      <x:c r="C39" s="6"/>
      <x:c r="D39" s="6"/>
      <x:c r="E39" s="6"/>
      <x:c r="F39" s="2" t="str">
        <x:f>IF(A39="","",IF(OR(D39="",E39=""),"Eksik puan",D39*E39))</x:f>
      </x:c>
      <x:c r="G39" s="2" t="str">
        <x:f>IF(A39="","",IF(NOT(ISNUMBER(F39)),"Eksik puan",IF(F39&gt;=16,"Kritik",IF(F39&gt;=10,"Yüksek",IF(F39&gt;=5,"Orta","Düşük")))))</x:f>
      </x:c>
      <x:c r="H39" s="6"/>
      <x:c r="I39" s="6"/>
      <x:c r="J39" s="7"/>
      <x:c r="K39" s="6"/>
      <x:c r="L39" s="7"/>
    </x:row>
    <x:row r="40" ht="22" customHeight="1">
      <x:c r="A40" s="6"/>
      <x:c r="B40" s="6"/>
      <x:c r="C40" s="6"/>
      <x:c r="D40" s="6"/>
      <x:c r="E40" s="6"/>
      <x:c r="F40" s="2" t="str">
        <x:f>IF(A40="","",IF(OR(D40="",E40=""),"Eksik puan",D40*E40))</x:f>
      </x:c>
      <x:c r="G40" s="2" t="str">
        <x:f>IF(A40="","",IF(NOT(ISNUMBER(F40)),"Eksik puan",IF(F40&gt;=16,"Kritik",IF(F40&gt;=10,"Yüksek",IF(F40&gt;=5,"Orta","Düşük")))))</x:f>
      </x:c>
      <x:c r="H40" s="6"/>
      <x:c r="I40" s="6"/>
      <x:c r="J40" s="7"/>
      <x:c r="K40" s="6"/>
      <x:c r="L40" s="7"/>
    </x:row>
    <x:row r="41" ht="22" customHeight="1">
      <x:c r="A41" s="6"/>
      <x:c r="B41" s="6"/>
      <x:c r="C41" s="6"/>
      <x:c r="D41" s="6"/>
      <x:c r="E41" s="6"/>
      <x:c r="F41" s="2" t="str">
        <x:f>IF(A41="","",IF(OR(D41="",E41=""),"Eksik puan",D41*E41))</x:f>
      </x:c>
      <x:c r="G41" s="2" t="str">
        <x:f>IF(A41="","",IF(NOT(ISNUMBER(F41)),"Eksik puan",IF(F41&gt;=16,"Kritik",IF(F41&gt;=10,"Yüksek",IF(F41&gt;=5,"Orta","Düşük")))))</x:f>
      </x:c>
      <x:c r="H41" s="6"/>
      <x:c r="I41" s="6"/>
      <x:c r="J41" s="7"/>
      <x:c r="K41" s="6"/>
      <x:c r="L41" s="7"/>
    </x:row>
    <x:row r="42" ht="22" customHeight="1">
      <x:c r="A42" s="6"/>
      <x:c r="B42" s="6"/>
      <x:c r="C42" s="6"/>
      <x:c r="D42" s="6"/>
      <x:c r="E42" s="6"/>
      <x:c r="F42" s="2" t="str">
        <x:f>IF(A42="","",IF(OR(D42="",E42=""),"Eksik puan",D42*E42))</x:f>
      </x:c>
      <x:c r="G42" s="2" t="str">
        <x:f>IF(A42="","",IF(NOT(ISNUMBER(F42)),"Eksik puan",IF(F42&gt;=16,"Kritik",IF(F42&gt;=10,"Yüksek",IF(F42&gt;=5,"Orta","Düşük")))))</x:f>
      </x:c>
      <x:c r="H42" s="6"/>
      <x:c r="I42" s="6"/>
      <x:c r="J42" s="7"/>
      <x:c r="K42" s="6"/>
      <x:c r="L42" s="7"/>
    </x:row>
    <x:row r="43" ht="22" customHeight="1">
      <x:c r="A43" s="6"/>
      <x:c r="B43" s="6"/>
      <x:c r="C43" s="6"/>
      <x:c r="D43" s="6"/>
      <x:c r="E43" s="6"/>
      <x:c r="F43" s="2" t="str">
        <x:f>IF(A43="","",IF(OR(D43="",E43=""),"Eksik puan",D43*E43))</x:f>
      </x:c>
      <x:c r="G43" s="2" t="str">
        <x:f>IF(A43="","",IF(NOT(ISNUMBER(F43)),"Eksik puan",IF(F43&gt;=16,"Kritik",IF(F43&gt;=10,"Yüksek",IF(F43&gt;=5,"Orta","Düşük")))))</x:f>
      </x:c>
      <x:c r="H43" s="6"/>
      <x:c r="I43" s="6"/>
      <x:c r="J43" s="7"/>
      <x:c r="K43" s="6"/>
      <x:c r="L43" s="7"/>
    </x:row>
    <x:row r="44" ht="22" customHeight="1">
      <x:c r="A44" s="6"/>
      <x:c r="B44" s="6"/>
      <x:c r="C44" s="6"/>
      <x:c r="D44" s="6"/>
      <x:c r="E44" s="6"/>
      <x:c r="F44" s="2" t="str">
        <x:f>IF(A44="","",IF(OR(D44="",E44=""),"Eksik puan",D44*E44))</x:f>
      </x:c>
      <x:c r="G44" s="2" t="str">
        <x:f>IF(A44="","",IF(NOT(ISNUMBER(F44)),"Eksik puan",IF(F44&gt;=16,"Kritik",IF(F44&gt;=10,"Yüksek",IF(F44&gt;=5,"Orta","Düşük")))))</x:f>
      </x:c>
      <x:c r="H44" s="6"/>
      <x:c r="I44" s="6"/>
      <x:c r="J44" s="7"/>
      <x:c r="K44" s="6"/>
      <x:c r="L44" s="7"/>
    </x:row>
    <x:row r="45" ht="22" customHeight="1">
      <x:c r="A45" s="6"/>
      <x:c r="B45" s="6"/>
      <x:c r="C45" s="6"/>
      <x:c r="D45" s="6"/>
      <x:c r="E45" s="6"/>
      <x:c r="F45" s="2" t="str">
        <x:f>IF(A45="","",IF(OR(D45="",E45=""),"Eksik puan",D45*E45))</x:f>
      </x:c>
      <x:c r="G45" s="2" t="str">
        <x:f>IF(A45="","",IF(NOT(ISNUMBER(F45)),"Eksik puan",IF(F45&gt;=16,"Kritik",IF(F45&gt;=10,"Yüksek",IF(F45&gt;=5,"Orta","Düşük")))))</x:f>
      </x:c>
      <x:c r="H45" s="6"/>
      <x:c r="I45" s="6"/>
      <x:c r="J45" s="7"/>
      <x:c r="K45" s="6"/>
      <x:c r="L45" s="7"/>
    </x:row>
    <x:row r="46" ht="22" customHeight="1">
      <x:c r="A46" s="6"/>
      <x:c r="B46" s="6"/>
      <x:c r="C46" s="6"/>
      <x:c r="D46" s="6"/>
      <x:c r="E46" s="6"/>
      <x:c r="F46" s="2" t="str">
        <x:f>IF(A46="","",IF(OR(D46="",E46=""),"Eksik puan",D46*E46))</x:f>
      </x:c>
      <x:c r="G46" s="2" t="str">
        <x:f>IF(A46="","",IF(NOT(ISNUMBER(F46)),"Eksik puan",IF(F46&gt;=16,"Kritik",IF(F46&gt;=10,"Yüksek",IF(F46&gt;=5,"Orta","Düşük")))))</x:f>
      </x:c>
      <x:c r="H46" s="6"/>
      <x:c r="I46" s="6"/>
      <x:c r="J46" s="7"/>
      <x:c r="K46" s="6"/>
      <x:c r="L46" s="7"/>
    </x:row>
    <x:row r="47" ht="22" customHeight="1">
      <x:c r="A47" s="6"/>
      <x:c r="B47" s="6"/>
      <x:c r="C47" s="6"/>
      <x:c r="D47" s="6"/>
      <x:c r="E47" s="6"/>
      <x:c r="F47" s="2" t="str">
        <x:f>IF(A47="","",IF(OR(D47="",E47=""),"Eksik puan",D47*E47))</x:f>
      </x:c>
      <x:c r="G47" s="2" t="str">
        <x:f>IF(A47="","",IF(NOT(ISNUMBER(F47)),"Eksik puan",IF(F47&gt;=16,"Kritik",IF(F47&gt;=10,"Yüksek",IF(F47&gt;=5,"Orta","Düşük")))))</x:f>
      </x:c>
      <x:c r="H47" s="6"/>
      <x:c r="I47" s="6"/>
      <x:c r="J47" s="7"/>
      <x:c r="K47" s="6"/>
      <x:c r="L47" s="7"/>
    </x:row>
    <x:row r="48" ht="22" customHeight="1">
      <x:c r="A48" s="6"/>
      <x:c r="B48" s="6"/>
      <x:c r="C48" s="6"/>
      <x:c r="D48" s="6"/>
      <x:c r="E48" s="6"/>
      <x:c r="F48" s="2" t="str">
        <x:f>IF(A48="","",IF(OR(D48="",E48=""),"Eksik puan",D48*E48))</x:f>
      </x:c>
      <x:c r="G48" s="2" t="str">
        <x:f>IF(A48="","",IF(NOT(ISNUMBER(F48)),"Eksik puan",IF(F48&gt;=16,"Kritik",IF(F48&gt;=10,"Yüksek",IF(F48&gt;=5,"Orta","Düşük")))))</x:f>
      </x:c>
      <x:c r="H48" s="6"/>
      <x:c r="I48" s="6"/>
      <x:c r="J48" s="7"/>
      <x:c r="K48" s="6"/>
      <x:c r="L48" s="7"/>
    </x:row>
    <x:row r="49" ht="22" customHeight="1">
      <x:c r="A49" s="6"/>
      <x:c r="B49" s="6"/>
      <x:c r="C49" s="6"/>
      <x:c r="D49" s="6"/>
      <x:c r="E49" s="6"/>
      <x:c r="F49" s="2" t="str">
        <x:f>IF(A49="","",IF(OR(D49="",E49=""),"Eksik puan",D49*E49))</x:f>
      </x:c>
      <x:c r="G49" s="2" t="str">
        <x:f>IF(A49="","",IF(NOT(ISNUMBER(F49)),"Eksik puan",IF(F49&gt;=16,"Kritik",IF(F49&gt;=10,"Yüksek",IF(F49&gt;=5,"Orta","Düşük")))))</x:f>
      </x:c>
      <x:c r="H49" s="6"/>
      <x:c r="I49" s="6"/>
      <x:c r="J49" s="7"/>
      <x:c r="K49" s="6"/>
      <x:c r="L49" s="7"/>
    </x:row>
    <x:row r="50" ht="22" customHeight="1">
      <x:c r="A50" s="6"/>
      <x:c r="B50" s="6"/>
      <x:c r="C50" s="6"/>
      <x:c r="D50" s="6"/>
      <x:c r="E50" s="6"/>
      <x:c r="F50" s="2" t="str">
        <x:f>IF(A50="","",IF(OR(D50="",E50=""),"Eksik puan",D50*E50))</x:f>
      </x:c>
      <x:c r="G50" s="2" t="str">
        <x:f>IF(A50="","",IF(NOT(ISNUMBER(F50)),"Eksik puan",IF(F50&gt;=16,"Kritik",IF(F50&gt;=10,"Yüksek",IF(F50&gt;=5,"Orta","Düşük")))))</x:f>
      </x:c>
      <x:c r="H50" s="6"/>
      <x:c r="I50" s="6"/>
      <x:c r="J50" s="7"/>
      <x:c r="K50" s="6"/>
      <x:c r="L50" s="7"/>
    </x:row>
    <x:row r="51" ht="22" customHeight="1">
      <x:c r="A51" s="6"/>
      <x:c r="B51" s="6"/>
      <x:c r="C51" s="6"/>
      <x:c r="D51" s="6"/>
      <x:c r="E51" s="6"/>
      <x:c r="F51" s="2" t="str">
        <x:f>IF(A51="","",IF(OR(D51="",E51=""),"Eksik puan",D51*E51))</x:f>
      </x:c>
      <x:c r="G51" s="2" t="str">
        <x:f>IF(A51="","",IF(NOT(ISNUMBER(F51)),"Eksik puan",IF(F51&gt;=16,"Kritik",IF(F51&gt;=10,"Yüksek",IF(F51&gt;=5,"Orta","Düşük")))))</x:f>
      </x:c>
      <x:c r="H51" s="6"/>
      <x:c r="I51" s="6"/>
      <x:c r="J51" s="7"/>
      <x:c r="K51" s="6"/>
      <x:c r="L51" s="7"/>
    </x:row>
    <x:row r="52" ht="22" customHeight="1">
      <x:c r="A52" s="6"/>
      <x:c r="B52" s="6"/>
      <x:c r="C52" s="6"/>
      <x:c r="D52" s="6"/>
      <x:c r="E52" s="6"/>
      <x:c r="F52" s="2" t="str">
        <x:f>IF(A52="","",IF(OR(D52="",E52=""),"Eksik puan",D52*E52))</x:f>
      </x:c>
      <x:c r="G52" s="2" t="str">
        <x:f>IF(A52="","",IF(NOT(ISNUMBER(F52)),"Eksik puan",IF(F52&gt;=16,"Kritik",IF(F52&gt;=10,"Yüksek",IF(F52&gt;=5,"Orta","Düşük")))))</x:f>
      </x:c>
      <x:c r="H52" s="6"/>
      <x:c r="I52" s="6"/>
      <x:c r="J52" s="7"/>
      <x:c r="K52" s="6"/>
      <x:c r="L52" s="7"/>
    </x:row>
    <x:row r="53" ht="22" customHeight="1">
      <x:c r="A53" s="6"/>
      <x:c r="B53" s="6"/>
      <x:c r="C53" s="6"/>
      <x:c r="D53" s="6"/>
      <x:c r="E53" s="6"/>
      <x:c r="F53" s="2" t="str">
        <x:f>IF(A53="","",IF(OR(D53="",E53=""),"Eksik puan",D53*E53))</x:f>
      </x:c>
      <x:c r="G53" s="2" t="str">
        <x:f>IF(A53="","",IF(NOT(ISNUMBER(F53)),"Eksik puan",IF(F53&gt;=16,"Kritik",IF(F53&gt;=10,"Yüksek",IF(F53&gt;=5,"Orta","Düşük")))))</x:f>
      </x:c>
      <x:c r="H53" s="6"/>
      <x:c r="I53" s="6"/>
      <x:c r="J53" s="7"/>
      <x:c r="K53" s="6"/>
      <x:c r="L53" s="7"/>
    </x:row>
    <x:row r="54" ht="22" customHeight="1">
      <x:c r="A54" s="6"/>
      <x:c r="B54" s="6"/>
      <x:c r="C54" s="6"/>
      <x:c r="D54" s="6"/>
      <x:c r="E54" s="6"/>
      <x:c r="F54" s="2" t="str">
        <x:f>IF(A54="","",IF(OR(D54="",E54=""),"Eksik puan",D54*E54))</x:f>
      </x:c>
      <x:c r="G54" s="2" t="str">
        <x:f>IF(A54="","",IF(NOT(ISNUMBER(F54)),"Eksik puan",IF(F54&gt;=16,"Kritik",IF(F54&gt;=10,"Yüksek",IF(F54&gt;=5,"Orta","Düşük")))))</x:f>
      </x:c>
      <x:c r="H54" s="6"/>
      <x:c r="I54" s="6"/>
      <x:c r="J54" s="7"/>
      <x:c r="K54" s="6"/>
      <x:c r="L54" s="7"/>
    </x:row>
    <x:row r="55" ht="22" customHeight="1">
      <x:c r="A55" s="6"/>
      <x:c r="B55" s="6"/>
      <x:c r="C55" s="6"/>
      <x:c r="D55" s="6"/>
      <x:c r="E55" s="6"/>
      <x:c r="F55" s="2" t="str">
        <x:f>IF(A55="","",IF(OR(D55="",E55=""),"Eksik puan",D55*E55))</x:f>
      </x:c>
      <x:c r="G55" s="2" t="str">
        <x:f>IF(A55="","",IF(NOT(ISNUMBER(F55)),"Eksik puan",IF(F55&gt;=16,"Kritik",IF(F55&gt;=10,"Yüksek",IF(F55&gt;=5,"Orta","Düşük")))))</x:f>
      </x:c>
      <x:c r="H55" s="6"/>
      <x:c r="I55" s="6"/>
      <x:c r="J55" s="7"/>
      <x:c r="K55" s="6"/>
      <x:c r="L55" s="7"/>
    </x:row>
    <x:row r="56" ht="22" customHeight="1">
      <x:c r="A56" s="6"/>
      <x:c r="B56" s="6"/>
      <x:c r="C56" s="6"/>
      <x:c r="D56" s="6"/>
      <x:c r="E56" s="6"/>
      <x:c r="F56" s="2" t="str">
        <x:f>IF(A56="","",IF(OR(D56="",E56=""),"Eksik puan",D56*E56))</x:f>
      </x:c>
      <x:c r="G56" s="2" t="str">
        <x:f>IF(A56="","",IF(NOT(ISNUMBER(F56)),"Eksik puan",IF(F56&gt;=16,"Kritik",IF(F56&gt;=10,"Yüksek",IF(F56&gt;=5,"Orta","Düşük")))))</x:f>
      </x:c>
      <x:c r="H56" s="6"/>
      <x:c r="I56" s="6"/>
      <x:c r="J56" s="7"/>
      <x:c r="K56" s="6"/>
      <x:c r="L56" s="7"/>
    </x:row>
    <x:row r="57" ht="22" customHeight="1">
      <x:c r="A57" s="6"/>
      <x:c r="B57" s="6"/>
      <x:c r="C57" s="6"/>
      <x:c r="D57" s="6"/>
      <x:c r="E57" s="6"/>
      <x:c r="F57" s="2" t="str">
        <x:f>IF(A57="","",IF(OR(D57="",E57=""),"Eksik puan",D57*E57))</x:f>
      </x:c>
      <x:c r="G57" s="2" t="str">
        <x:f>IF(A57="","",IF(NOT(ISNUMBER(F57)),"Eksik puan",IF(F57&gt;=16,"Kritik",IF(F57&gt;=10,"Yüksek",IF(F57&gt;=5,"Orta","Düşük")))))</x:f>
      </x:c>
      <x:c r="H57" s="6"/>
      <x:c r="I57" s="6"/>
      <x:c r="J57" s="7"/>
      <x:c r="K57" s="6"/>
      <x:c r="L57" s="7"/>
    </x:row>
    <x:row r="58" ht="22" customHeight="1">
      <x:c r="A58" s="6"/>
      <x:c r="B58" s="6"/>
      <x:c r="C58" s="6"/>
      <x:c r="D58" s="6"/>
      <x:c r="E58" s="6"/>
      <x:c r="F58" s="2" t="str">
        <x:f>IF(A58="","",IF(OR(D58="",E58=""),"Eksik puan",D58*E58))</x:f>
      </x:c>
      <x:c r="G58" s="2" t="str">
        <x:f>IF(A58="","",IF(NOT(ISNUMBER(F58)),"Eksik puan",IF(F58&gt;=16,"Kritik",IF(F58&gt;=10,"Yüksek",IF(F58&gt;=5,"Orta","Düşük")))))</x:f>
      </x:c>
      <x:c r="H58" s="6"/>
      <x:c r="I58" s="6"/>
      <x:c r="J58" s="7"/>
      <x:c r="K58" s="6"/>
      <x:c r="L58" s="7"/>
    </x:row>
    <x:row r="59" ht="22" customHeight="1">
      <x:c r="A59" s="6"/>
      <x:c r="B59" s="6"/>
      <x:c r="C59" s="6"/>
      <x:c r="D59" s="6"/>
      <x:c r="E59" s="6"/>
      <x:c r="F59" s="2" t="str">
        <x:f>IF(A59="","",IF(OR(D59="",E59=""),"Eksik puan",D59*E59))</x:f>
      </x:c>
      <x:c r="G59" s="2" t="str">
        <x:f>IF(A59="","",IF(NOT(ISNUMBER(F59)),"Eksik puan",IF(F59&gt;=16,"Kritik",IF(F59&gt;=10,"Yüksek",IF(F59&gt;=5,"Orta","Düşük")))))</x:f>
      </x:c>
      <x:c r="H59" s="6"/>
      <x:c r="I59" s="6"/>
      <x:c r="J59" s="7"/>
      <x:c r="K59" s="6"/>
      <x:c r="L59" s="7"/>
    </x:row>
    <x:row r="60" ht="22" customHeight="1">
      <x:c r="A60" s="6"/>
      <x:c r="B60" s="6"/>
      <x:c r="C60" s="6"/>
      <x:c r="D60" s="6"/>
      <x:c r="E60" s="6"/>
      <x:c r="F60" s="2" t="str">
        <x:f>IF(A60="","",IF(OR(D60="",E60=""),"Eksik puan",D60*E60))</x:f>
      </x:c>
      <x:c r="G60" s="2" t="str">
        <x:f>IF(A60="","",IF(NOT(ISNUMBER(F60)),"Eksik puan",IF(F60&gt;=16,"Kritik",IF(F60&gt;=10,"Yüksek",IF(F60&gt;=5,"Orta","Düşük")))))</x:f>
      </x:c>
      <x:c r="H60" s="6"/>
      <x:c r="I60" s="6"/>
      <x:c r="J60" s="7"/>
      <x:c r="K60" s="6"/>
      <x:c r="L60" s="7"/>
    </x:row>
    <x:row r="61" ht="22" customHeight="1">
      <x:c r="A61" s="6"/>
      <x:c r="B61" s="6"/>
      <x:c r="C61" s="6"/>
      <x:c r="D61" s="6"/>
      <x:c r="E61" s="6"/>
      <x:c r="F61" s="2" t="str">
        <x:f>IF(A61="","",IF(OR(D61="",E61=""),"Eksik puan",D61*E61))</x:f>
      </x:c>
      <x:c r="G61" s="2" t="str">
        <x:f>IF(A61="","",IF(NOT(ISNUMBER(F61)),"Eksik puan",IF(F61&gt;=16,"Kritik",IF(F61&gt;=10,"Yüksek",IF(F61&gt;=5,"Orta","Düşük")))))</x:f>
      </x:c>
      <x:c r="H61" s="6"/>
      <x:c r="I61" s="6"/>
      <x:c r="J61" s="7"/>
      <x:c r="K61" s="6"/>
      <x:c r="L61" s="7"/>
    </x:row>
    <x:row r="62" ht="22" customHeight="1">
      <x:c r="A62" s="6"/>
      <x:c r="B62" s="6"/>
      <x:c r="C62" s="6"/>
      <x:c r="D62" s="6"/>
      <x:c r="E62" s="6"/>
      <x:c r="F62" s="2" t="str">
        <x:f>IF(A62="","",IF(OR(D62="",E62=""),"Eksik puan",D62*E62))</x:f>
      </x:c>
      <x:c r="G62" s="2" t="str">
        <x:f>IF(A62="","",IF(NOT(ISNUMBER(F62)),"Eksik puan",IF(F62&gt;=16,"Kritik",IF(F62&gt;=10,"Yüksek",IF(F62&gt;=5,"Orta","Düşük")))))</x:f>
      </x:c>
      <x:c r="H62" s="6"/>
      <x:c r="I62" s="6"/>
      <x:c r="J62" s="7"/>
      <x:c r="K62" s="6"/>
      <x:c r="L62" s="7"/>
    </x:row>
    <x:row r="63" ht="22" customHeight="1">
      <x:c r="A63" s="6"/>
      <x:c r="B63" s="6"/>
      <x:c r="C63" s="6"/>
      <x:c r="D63" s="6"/>
      <x:c r="E63" s="6"/>
      <x:c r="F63" s="2" t="str">
        <x:f>IF(A63="","",IF(OR(D63="",E63=""),"Eksik puan",D63*E63))</x:f>
      </x:c>
      <x:c r="G63" s="2" t="str">
        <x:f>IF(A63="","",IF(NOT(ISNUMBER(F63)),"Eksik puan",IF(F63&gt;=16,"Kritik",IF(F63&gt;=10,"Yüksek",IF(F63&gt;=5,"Orta","Düşük")))))</x:f>
      </x:c>
      <x:c r="H63" s="6"/>
      <x:c r="I63" s="6"/>
      <x:c r="J63" s="7"/>
      <x:c r="K63" s="6"/>
      <x:c r="L63" s="7"/>
    </x:row>
    <x:row r="64" ht="22" customHeight="1">
      <x:c r="A64" s="6"/>
      <x:c r="B64" s="6"/>
      <x:c r="C64" s="6"/>
      <x:c r="D64" s="6"/>
      <x:c r="E64" s="6"/>
      <x:c r="F64" s="2" t="str">
        <x:f>IF(A64="","",IF(OR(D64="",E64=""),"Eksik puan",D64*E64))</x:f>
      </x:c>
      <x:c r="G64" s="2" t="str">
        <x:f>IF(A64="","",IF(NOT(ISNUMBER(F64)),"Eksik puan",IF(F64&gt;=16,"Kritik",IF(F64&gt;=10,"Yüksek",IF(F64&gt;=5,"Orta","Düşük")))))</x:f>
      </x:c>
      <x:c r="H64" s="6"/>
      <x:c r="I64" s="6"/>
      <x:c r="J64" s="7"/>
      <x:c r="K64" s="6"/>
      <x:c r="L64" s="7"/>
    </x:row>
    <x:row r="65" ht="22" customHeight="1">
      <x:c r="A65" s="6"/>
      <x:c r="B65" s="6"/>
      <x:c r="C65" s="6"/>
      <x:c r="D65" s="6"/>
      <x:c r="E65" s="6"/>
      <x:c r="F65" s="2" t="str">
        <x:f>IF(A65="","",IF(OR(D65="",E65=""),"Eksik puan",D65*E65))</x:f>
      </x:c>
      <x:c r="G65" s="2" t="str">
        <x:f>IF(A65="","",IF(NOT(ISNUMBER(F65)),"Eksik puan",IF(F65&gt;=16,"Kritik",IF(F65&gt;=10,"Yüksek",IF(F65&gt;=5,"Orta","Düşük")))))</x:f>
      </x:c>
      <x:c r="H65" s="6"/>
      <x:c r="I65" s="6"/>
      <x:c r="J65" s="7"/>
      <x:c r="K65" s="6"/>
      <x:c r="L65" s="7"/>
    </x:row>
    <x:row r="66" ht="22" customHeight="1">
      <x:c r="A66" s="6"/>
      <x:c r="B66" s="6"/>
      <x:c r="C66" s="6"/>
      <x:c r="D66" s="6"/>
      <x:c r="E66" s="6"/>
      <x:c r="F66" s="2" t="str">
        <x:f>IF(A66="","",IF(OR(D66="",E66=""),"Eksik puan",D66*E66))</x:f>
      </x:c>
      <x:c r="G66" s="2" t="str">
        <x:f>IF(A66="","",IF(NOT(ISNUMBER(F66)),"Eksik puan",IF(F66&gt;=16,"Kritik",IF(F66&gt;=10,"Yüksek",IF(F66&gt;=5,"Orta","Düşük")))))</x:f>
      </x:c>
      <x:c r="H66" s="6"/>
      <x:c r="I66" s="6"/>
      <x:c r="J66" s="7"/>
      <x:c r="K66" s="6"/>
      <x:c r="L66" s="7"/>
    </x:row>
    <x:row r="67" ht="22" customHeight="1">
      <x:c r="A67" s="6"/>
      <x:c r="B67" s="6"/>
      <x:c r="C67" s="6"/>
      <x:c r="D67" s="6"/>
      <x:c r="E67" s="6"/>
      <x:c r="F67" s="2" t="str">
        <x:f>IF(A67="","",IF(OR(D67="",E67=""),"Eksik puan",D67*E67))</x:f>
      </x:c>
      <x:c r="G67" s="2" t="str">
        <x:f>IF(A67="","",IF(NOT(ISNUMBER(F67)),"Eksik puan",IF(F67&gt;=16,"Kritik",IF(F67&gt;=10,"Yüksek",IF(F67&gt;=5,"Orta","Düşük")))))</x:f>
      </x:c>
      <x:c r="H67" s="6"/>
      <x:c r="I67" s="6"/>
      <x:c r="J67" s="7"/>
      <x:c r="K67" s="6"/>
      <x:c r="L67" s="7"/>
    </x:row>
    <x:row r="68" ht="22" customHeight="1">
      <x:c r="A68" s="6"/>
      <x:c r="B68" s="6"/>
      <x:c r="C68" s="6"/>
      <x:c r="D68" s="6"/>
      <x:c r="E68" s="6"/>
      <x:c r="F68" s="2" t="str">
        <x:f>IF(A68="","",IF(OR(D68="",E68=""),"Eksik puan",D68*E68))</x:f>
      </x:c>
      <x:c r="G68" s="2" t="str">
        <x:f>IF(A68="","",IF(NOT(ISNUMBER(F68)),"Eksik puan",IF(F68&gt;=16,"Kritik",IF(F68&gt;=10,"Yüksek",IF(F68&gt;=5,"Orta","Düşük")))))</x:f>
      </x:c>
      <x:c r="H68" s="6"/>
      <x:c r="I68" s="6"/>
      <x:c r="J68" s="7"/>
      <x:c r="K68" s="6"/>
      <x:c r="L68" s="7"/>
    </x:row>
    <x:row r="69" ht="22" customHeight="1">
      <x:c r="A69" s="6"/>
      <x:c r="B69" s="6"/>
      <x:c r="C69" s="6"/>
      <x:c r="D69" s="6"/>
      <x:c r="E69" s="6"/>
      <x:c r="F69" s="2" t="str">
        <x:f>IF(A69="","",IF(OR(D69="",E69=""),"Eksik puan",D69*E69))</x:f>
      </x:c>
      <x:c r="G69" s="2" t="str">
        <x:f>IF(A69="","",IF(NOT(ISNUMBER(F69)),"Eksik puan",IF(F69&gt;=16,"Kritik",IF(F69&gt;=10,"Yüksek",IF(F69&gt;=5,"Orta","Düşük")))))</x:f>
      </x:c>
      <x:c r="H69" s="6"/>
      <x:c r="I69" s="6"/>
      <x:c r="J69" s="7"/>
      <x:c r="K69" s="6"/>
      <x:c r="L69" s="7"/>
    </x:row>
    <x:row r="70" ht="22" customHeight="1">
      <x:c r="A70" s="6"/>
      <x:c r="B70" s="6"/>
      <x:c r="C70" s="6"/>
      <x:c r="D70" s="6"/>
      <x:c r="E70" s="6"/>
      <x:c r="F70" s="2" t="str">
        <x:f>IF(A70="","",IF(OR(D70="",E70=""),"Eksik puan",D70*E70))</x:f>
      </x:c>
      <x:c r="G70" s="2" t="str">
        <x:f>IF(A70="","",IF(NOT(ISNUMBER(F70)),"Eksik puan",IF(F70&gt;=16,"Kritik",IF(F70&gt;=10,"Yüksek",IF(F70&gt;=5,"Orta","Düşük")))))</x:f>
      </x:c>
      <x:c r="H70" s="6"/>
      <x:c r="I70" s="6"/>
      <x:c r="J70" s="7"/>
      <x:c r="K70" s="6"/>
      <x:c r="L70" s="7"/>
    </x:row>
    <x:row r="71" ht="22" customHeight="1">
      <x:c r="A71" s="6"/>
      <x:c r="B71" s="6"/>
      <x:c r="C71" s="6"/>
      <x:c r="D71" s="6"/>
      <x:c r="E71" s="6"/>
      <x:c r="F71" s="2" t="str">
        <x:f>IF(A71="","",IF(OR(D71="",E71=""),"Eksik puan",D71*E71))</x:f>
      </x:c>
      <x:c r="G71" s="2" t="str">
        <x:f>IF(A71="","",IF(NOT(ISNUMBER(F71)),"Eksik puan",IF(F71&gt;=16,"Kritik",IF(F71&gt;=10,"Yüksek",IF(F71&gt;=5,"Orta","Düşük")))))</x:f>
      </x:c>
      <x:c r="H71" s="6"/>
      <x:c r="I71" s="6"/>
      <x:c r="J71" s="7"/>
      <x:c r="K71" s="6"/>
      <x:c r="L71" s="7"/>
    </x:row>
    <x:row r="72" ht="22" customHeight="1">
      <x:c r="A72" s="6"/>
      <x:c r="B72" s="6"/>
      <x:c r="C72" s="6"/>
      <x:c r="D72" s="6"/>
      <x:c r="E72" s="6"/>
      <x:c r="F72" s="2" t="str">
        <x:f>IF(A72="","",IF(OR(D72="",E72=""),"Eksik puan",D72*E72))</x:f>
      </x:c>
      <x:c r="G72" s="2" t="str">
        <x:f>IF(A72="","",IF(NOT(ISNUMBER(F72)),"Eksik puan",IF(F72&gt;=16,"Kritik",IF(F72&gt;=10,"Yüksek",IF(F72&gt;=5,"Orta","Düşük")))))</x:f>
      </x:c>
      <x:c r="H72" s="6"/>
      <x:c r="I72" s="6"/>
      <x:c r="J72" s="7"/>
      <x:c r="K72" s="6"/>
      <x:c r="L72" s="7"/>
    </x:row>
    <x:row r="73" ht="22" customHeight="1">
      <x:c r="A73" s="6"/>
      <x:c r="B73" s="6"/>
      <x:c r="C73" s="6"/>
      <x:c r="D73" s="6"/>
      <x:c r="E73" s="6"/>
      <x:c r="F73" s="2" t="str">
        <x:f>IF(A73="","",IF(OR(D73="",E73=""),"Eksik puan",D73*E73))</x:f>
      </x:c>
      <x:c r="G73" s="2" t="str">
        <x:f>IF(A73="","",IF(NOT(ISNUMBER(F73)),"Eksik puan",IF(F73&gt;=16,"Kritik",IF(F73&gt;=10,"Yüksek",IF(F73&gt;=5,"Orta","Düşük")))))</x:f>
      </x:c>
      <x:c r="H73" s="6"/>
      <x:c r="I73" s="6"/>
      <x:c r="J73" s="7"/>
      <x:c r="K73" s="6"/>
      <x:c r="L73" s="7"/>
    </x:row>
    <x:row r="74" ht="22" customHeight="1">
      <x:c r="A74" s="6"/>
      <x:c r="B74" s="6"/>
      <x:c r="C74" s="6"/>
      <x:c r="D74" s="6"/>
      <x:c r="E74" s="6"/>
      <x:c r="F74" s="2" t="str">
        <x:f>IF(A74="","",IF(OR(D74="",E74=""),"Eksik puan",D74*E74))</x:f>
      </x:c>
      <x:c r="G74" s="2" t="str">
        <x:f>IF(A74="","",IF(NOT(ISNUMBER(F74)),"Eksik puan",IF(F74&gt;=16,"Kritik",IF(F74&gt;=10,"Yüksek",IF(F74&gt;=5,"Orta","Düşük")))))</x:f>
      </x:c>
      <x:c r="H74" s="6"/>
      <x:c r="I74" s="6"/>
      <x:c r="J74" s="7"/>
      <x:c r="K74" s="6"/>
      <x:c r="L74" s="7"/>
    </x:row>
    <x:row r="75" ht="22" customHeight="1">
      <x:c r="A75" s="6"/>
      <x:c r="B75" s="6"/>
      <x:c r="C75" s="6"/>
      <x:c r="D75" s="6"/>
      <x:c r="E75" s="6"/>
      <x:c r="F75" s="2" t="str">
        <x:f>IF(A75="","",IF(OR(D75="",E75=""),"Eksik puan",D75*E75))</x:f>
      </x:c>
      <x:c r="G75" s="2" t="str">
        <x:f>IF(A75="","",IF(NOT(ISNUMBER(F75)),"Eksik puan",IF(F75&gt;=16,"Kritik",IF(F75&gt;=10,"Yüksek",IF(F75&gt;=5,"Orta","Düşük")))))</x:f>
      </x:c>
      <x:c r="H75" s="6"/>
      <x:c r="I75" s="6"/>
      <x:c r="J75" s="7"/>
      <x:c r="K75" s="6"/>
      <x:c r="L75" s="7"/>
    </x:row>
    <x:row r="76" ht="22" customHeight="1">
      <x:c r="A76" s="6"/>
      <x:c r="B76" s="6"/>
      <x:c r="C76" s="6"/>
      <x:c r="D76" s="6"/>
      <x:c r="E76" s="6"/>
      <x:c r="F76" s="2" t="str">
        <x:f>IF(A76="","",IF(OR(D76="",E76=""),"Eksik puan",D76*E76))</x:f>
      </x:c>
      <x:c r="G76" s="2" t="str">
        <x:f>IF(A76="","",IF(NOT(ISNUMBER(F76)),"Eksik puan",IF(F76&gt;=16,"Kritik",IF(F76&gt;=10,"Yüksek",IF(F76&gt;=5,"Orta","Düşük")))))</x:f>
      </x:c>
      <x:c r="H76" s="6"/>
      <x:c r="I76" s="6"/>
      <x:c r="J76" s="7"/>
      <x:c r="K76" s="6"/>
      <x:c r="L76" s="7"/>
    </x:row>
    <x:row r="77" ht="22" customHeight="1">
      <x:c r="A77" s="6"/>
      <x:c r="B77" s="6"/>
      <x:c r="C77" s="6"/>
      <x:c r="D77" s="6"/>
      <x:c r="E77" s="6"/>
      <x:c r="F77" s="2" t="str">
        <x:f>IF(A77="","",IF(OR(D77="",E77=""),"Eksik puan",D77*E77))</x:f>
      </x:c>
      <x:c r="G77" s="2" t="str">
        <x:f>IF(A77="","",IF(NOT(ISNUMBER(F77)),"Eksik puan",IF(F77&gt;=16,"Kritik",IF(F77&gt;=10,"Yüksek",IF(F77&gt;=5,"Orta","Düşük")))))</x:f>
      </x:c>
      <x:c r="H77" s="6"/>
      <x:c r="I77" s="6"/>
      <x:c r="J77" s="7"/>
      <x:c r="K77" s="6"/>
      <x:c r="L77" s="7"/>
    </x:row>
    <x:row r="78" ht="22" customHeight="1">
      <x:c r="A78" s="6"/>
      <x:c r="B78" s="6"/>
      <x:c r="C78" s="6"/>
      <x:c r="D78" s="6"/>
      <x:c r="E78" s="6"/>
      <x:c r="F78" s="2" t="str">
        <x:f>IF(A78="","",IF(OR(D78="",E78=""),"Eksik puan",D78*E78))</x:f>
      </x:c>
      <x:c r="G78" s="2" t="str">
        <x:f>IF(A78="","",IF(NOT(ISNUMBER(F78)),"Eksik puan",IF(F78&gt;=16,"Kritik",IF(F78&gt;=10,"Yüksek",IF(F78&gt;=5,"Orta","Düşük")))))</x:f>
      </x:c>
      <x:c r="H78" s="6"/>
      <x:c r="I78" s="6"/>
      <x:c r="J78" s="7"/>
      <x:c r="K78" s="6"/>
      <x:c r="L78" s="7"/>
    </x:row>
    <x:row r="79" ht="22" customHeight="1">
      <x:c r="A79" s="6"/>
      <x:c r="B79" s="6"/>
      <x:c r="C79" s="6"/>
      <x:c r="D79" s="6"/>
      <x:c r="E79" s="6"/>
      <x:c r="F79" s="2" t="str">
        <x:f>IF(A79="","",IF(OR(D79="",E79=""),"Eksik puan",D79*E79))</x:f>
      </x:c>
      <x:c r="G79" s="2" t="str">
        <x:f>IF(A79="","",IF(NOT(ISNUMBER(F79)),"Eksik puan",IF(F79&gt;=16,"Kritik",IF(F79&gt;=10,"Yüksek",IF(F79&gt;=5,"Orta","Düşük")))))</x:f>
      </x:c>
      <x:c r="H79" s="6"/>
      <x:c r="I79" s="6"/>
      <x:c r="J79" s="7"/>
      <x:c r="K79" s="6"/>
      <x:c r="L79" s="7"/>
    </x:row>
    <x:row r="80" ht="22" customHeight="1">
      <x:c r="A80" s="6"/>
      <x:c r="B80" s="6"/>
      <x:c r="C80" s="6"/>
      <x:c r="D80" s="6"/>
      <x:c r="E80" s="6"/>
      <x:c r="F80" s="2" t="str">
        <x:f>IF(A80="","",IF(OR(D80="",E80=""),"Eksik puan",D80*E80))</x:f>
      </x:c>
      <x:c r="G80" s="2" t="str">
        <x:f>IF(A80="","",IF(NOT(ISNUMBER(F80)),"Eksik puan",IF(F80&gt;=16,"Kritik",IF(F80&gt;=10,"Yüksek",IF(F80&gt;=5,"Orta","Düşük")))))</x:f>
      </x:c>
      <x:c r="H80" s="6"/>
      <x:c r="I80" s="6"/>
      <x:c r="J80" s="7"/>
      <x:c r="K80" s="6"/>
      <x:c r="L80" s="7"/>
    </x:row>
    <x:row r="81" ht="22" customHeight="1">
      <x:c r="A81" s="6"/>
      <x:c r="B81" s="6"/>
      <x:c r="C81" s="6"/>
      <x:c r="D81" s="6"/>
      <x:c r="E81" s="6"/>
      <x:c r="F81" s="2" t="str">
        <x:f>IF(A81="","",IF(OR(D81="",E81=""),"Eksik puan",D81*E81))</x:f>
      </x:c>
      <x:c r="G81" s="2" t="str">
        <x:f>IF(A81="","",IF(NOT(ISNUMBER(F81)),"Eksik puan",IF(F81&gt;=16,"Kritik",IF(F81&gt;=10,"Yüksek",IF(F81&gt;=5,"Orta","Düşük")))))</x:f>
      </x:c>
      <x:c r="H81" s="6"/>
      <x:c r="I81" s="6"/>
      <x:c r="J81" s="7"/>
      <x:c r="K81" s="6"/>
      <x:c r="L81" s="7"/>
    </x:row>
    <x:row r="82" ht="22" customHeight="1">
      <x:c r="A82" s="6"/>
      <x:c r="B82" s="6"/>
      <x:c r="C82" s="6"/>
      <x:c r="D82" s="6"/>
      <x:c r="E82" s="6"/>
      <x:c r="F82" s="2" t="str">
        <x:f>IF(A82="","",IF(OR(D82="",E82=""),"Eksik puan",D82*E82))</x:f>
      </x:c>
      <x:c r="G82" s="2" t="str">
        <x:f>IF(A82="","",IF(NOT(ISNUMBER(F82)),"Eksik puan",IF(F82&gt;=16,"Kritik",IF(F82&gt;=10,"Yüksek",IF(F82&gt;=5,"Orta","Düşük")))))</x:f>
      </x:c>
      <x:c r="H82" s="6"/>
      <x:c r="I82" s="6"/>
      <x:c r="J82" s="7"/>
      <x:c r="K82" s="6"/>
      <x:c r="L82" s="7"/>
    </x:row>
    <x:row r="83" ht="22" customHeight="1">
      <x:c r="A83" s="6"/>
      <x:c r="B83" s="6"/>
      <x:c r="C83" s="6"/>
      <x:c r="D83" s="6"/>
      <x:c r="E83" s="6"/>
      <x:c r="F83" s="2" t="str">
        <x:f>IF(A83="","",IF(OR(D83="",E83=""),"Eksik puan",D83*E83))</x:f>
      </x:c>
      <x:c r="G83" s="2" t="str">
        <x:f>IF(A83="","",IF(NOT(ISNUMBER(F83)),"Eksik puan",IF(F83&gt;=16,"Kritik",IF(F83&gt;=10,"Yüksek",IF(F83&gt;=5,"Orta","Düşük")))))</x:f>
      </x:c>
      <x:c r="H83" s="6"/>
      <x:c r="I83" s="6"/>
      <x:c r="J83" s="7"/>
      <x:c r="K83" s="6"/>
      <x:c r="L83" s="7"/>
    </x:row>
    <x:row r="84" ht="22" customHeight="1">
      <x:c r="A84" s="6"/>
      <x:c r="B84" s="6"/>
      <x:c r="C84" s="6"/>
      <x:c r="D84" s="6"/>
      <x:c r="E84" s="6"/>
      <x:c r="F84" s="2" t="str">
        <x:f>IF(A84="","",IF(OR(D84="",E84=""),"Eksik puan",D84*E84))</x:f>
      </x:c>
      <x:c r="G84" s="2" t="str">
        <x:f>IF(A84="","",IF(NOT(ISNUMBER(F84)),"Eksik puan",IF(F84&gt;=16,"Kritik",IF(F84&gt;=10,"Yüksek",IF(F84&gt;=5,"Orta","Düşük")))))</x:f>
      </x:c>
      <x:c r="H84" s="6"/>
      <x:c r="I84" s="6"/>
      <x:c r="J84" s="7"/>
      <x:c r="K84" s="6"/>
      <x:c r="L84" s="7"/>
    </x:row>
    <x:row r="85" ht="22" customHeight="1">
      <x:c r="A85" s="6"/>
      <x:c r="B85" s="6"/>
      <x:c r="C85" s="6"/>
      <x:c r="D85" s="6"/>
      <x:c r="E85" s="6"/>
      <x:c r="F85" s="2" t="str">
        <x:f>IF(A85="","",IF(OR(D85="",E85=""),"Eksik puan",D85*E85))</x:f>
      </x:c>
      <x:c r="G85" s="2" t="str">
        <x:f>IF(A85="","",IF(NOT(ISNUMBER(F85)),"Eksik puan",IF(F85&gt;=16,"Kritik",IF(F85&gt;=10,"Yüksek",IF(F85&gt;=5,"Orta","Düşük")))))</x:f>
      </x:c>
      <x:c r="H85" s="6"/>
      <x:c r="I85" s="6"/>
      <x:c r="J85" s="7"/>
      <x:c r="K85" s="6"/>
      <x:c r="L85" s="7"/>
    </x:row>
    <x:row r="86" ht="22" customHeight="1">
      <x:c r="A86" s="6"/>
      <x:c r="B86" s="6"/>
      <x:c r="C86" s="6"/>
      <x:c r="D86" s="6"/>
      <x:c r="E86" s="6"/>
      <x:c r="F86" s="2" t="str">
        <x:f>IF(A86="","",IF(OR(D86="",E86=""),"Eksik puan",D86*E86))</x:f>
      </x:c>
      <x:c r="G86" s="2" t="str">
        <x:f>IF(A86="","",IF(NOT(ISNUMBER(F86)),"Eksik puan",IF(F86&gt;=16,"Kritik",IF(F86&gt;=10,"Yüksek",IF(F86&gt;=5,"Orta","Düşük")))))</x:f>
      </x:c>
      <x:c r="H86" s="6"/>
      <x:c r="I86" s="6"/>
      <x:c r="J86" s="7"/>
      <x:c r="K86" s="6"/>
      <x:c r="L86" s="7"/>
    </x:row>
    <x:row r="87" ht="22" customHeight="1">
      <x:c r="A87" s="6"/>
      <x:c r="B87" s="6"/>
      <x:c r="C87" s="6"/>
      <x:c r="D87" s="6"/>
      <x:c r="E87" s="6"/>
      <x:c r="F87" s="2" t="str">
        <x:f>IF(A87="","",IF(OR(D87="",E87=""),"Eksik puan",D87*E87))</x:f>
      </x:c>
      <x:c r="G87" s="2" t="str">
        <x:f>IF(A87="","",IF(NOT(ISNUMBER(F87)),"Eksik puan",IF(F87&gt;=16,"Kritik",IF(F87&gt;=10,"Yüksek",IF(F87&gt;=5,"Orta","Düşük")))))</x:f>
      </x:c>
      <x:c r="H87" s="6"/>
      <x:c r="I87" s="6"/>
      <x:c r="J87" s="7"/>
      <x:c r="K87" s="6"/>
      <x:c r="L87" s="7"/>
    </x:row>
    <x:row r="88" ht="22" customHeight="1">
      <x:c r="A88" s="6"/>
      <x:c r="B88" s="6"/>
      <x:c r="C88" s="6"/>
      <x:c r="D88" s="6"/>
      <x:c r="E88" s="6"/>
      <x:c r="F88" s="2" t="str">
        <x:f>IF(A88="","",IF(OR(D88="",E88=""),"Eksik puan",D88*E88))</x:f>
      </x:c>
      <x:c r="G88" s="2" t="str">
        <x:f>IF(A88="","",IF(NOT(ISNUMBER(F88)),"Eksik puan",IF(F88&gt;=16,"Kritik",IF(F88&gt;=10,"Yüksek",IF(F88&gt;=5,"Orta","Düşük")))))</x:f>
      </x:c>
      <x:c r="H88" s="6"/>
      <x:c r="I88" s="6"/>
      <x:c r="J88" s="7"/>
      <x:c r="K88" s="6"/>
      <x:c r="L88" s="7"/>
    </x:row>
    <x:row r="89" ht="22" customHeight="1">
      <x:c r="A89" s="6"/>
      <x:c r="B89" s="6"/>
      <x:c r="C89" s="6"/>
      <x:c r="D89" s="6"/>
      <x:c r="E89" s="6"/>
      <x:c r="F89" s="2" t="str">
        <x:f>IF(A89="","",IF(OR(D89="",E89=""),"Eksik puan",D89*E89))</x:f>
      </x:c>
      <x:c r="G89" s="2" t="str">
        <x:f>IF(A89="","",IF(NOT(ISNUMBER(F89)),"Eksik puan",IF(F89&gt;=16,"Kritik",IF(F89&gt;=10,"Yüksek",IF(F89&gt;=5,"Orta","Düşük")))))</x:f>
      </x:c>
      <x:c r="H89" s="6"/>
      <x:c r="I89" s="6"/>
      <x:c r="J89" s="7"/>
      <x:c r="K89" s="6"/>
      <x:c r="L89" s="7"/>
    </x:row>
    <x:row r="90" ht="22" customHeight="1">
      <x:c r="A90" s="6"/>
      <x:c r="B90" s="6"/>
      <x:c r="C90" s="6"/>
      <x:c r="D90" s="6"/>
      <x:c r="E90" s="6"/>
      <x:c r="F90" s="2" t="str">
        <x:f>IF(A90="","",IF(OR(D90="",E90=""),"Eksik puan",D90*E90))</x:f>
      </x:c>
      <x:c r="G90" s="2" t="str">
        <x:f>IF(A90="","",IF(NOT(ISNUMBER(F90)),"Eksik puan",IF(F90&gt;=16,"Kritik",IF(F90&gt;=10,"Yüksek",IF(F90&gt;=5,"Orta","Düşük")))))</x:f>
      </x:c>
      <x:c r="H90" s="6"/>
      <x:c r="I90" s="6"/>
      <x:c r="J90" s="7"/>
      <x:c r="K90" s="6"/>
      <x:c r="L90" s="7"/>
    </x:row>
    <x:row r="91" ht="22" customHeight="1">
      <x:c r="A91" s="6"/>
      <x:c r="B91" s="6"/>
      <x:c r="C91" s="6"/>
      <x:c r="D91" s="6"/>
      <x:c r="E91" s="6"/>
      <x:c r="F91" s="2" t="str">
        <x:f>IF(A91="","",IF(OR(D91="",E91=""),"Eksik puan",D91*E91))</x:f>
      </x:c>
      <x:c r="G91" s="2" t="str">
        <x:f>IF(A91="","",IF(NOT(ISNUMBER(F91)),"Eksik puan",IF(F91&gt;=16,"Kritik",IF(F91&gt;=10,"Yüksek",IF(F91&gt;=5,"Orta","Düşük")))))</x:f>
      </x:c>
      <x:c r="H91" s="6"/>
      <x:c r="I91" s="6"/>
      <x:c r="J91" s="7"/>
      <x:c r="K91" s="6"/>
      <x:c r="L91" s="7"/>
    </x:row>
    <x:row r="92" ht="22" customHeight="1">
      <x:c r="A92" s="6"/>
      <x:c r="B92" s="6"/>
      <x:c r="C92" s="6"/>
      <x:c r="D92" s="6"/>
      <x:c r="E92" s="6"/>
      <x:c r="F92" s="2" t="str">
        <x:f>IF(A92="","",IF(OR(D92="",E92=""),"Eksik puan",D92*E92))</x:f>
      </x:c>
      <x:c r="G92" s="2" t="str">
        <x:f>IF(A92="","",IF(NOT(ISNUMBER(F92)),"Eksik puan",IF(F92&gt;=16,"Kritik",IF(F92&gt;=10,"Yüksek",IF(F92&gt;=5,"Orta","Düşük")))))</x:f>
      </x:c>
      <x:c r="H92" s="6"/>
      <x:c r="I92" s="6"/>
      <x:c r="J92" s="7"/>
      <x:c r="K92" s="6"/>
      <x:c r="L92" s="7"/>
    </x:row>
    <x:row r="93" ht="22" customHeight="1">
      <x:c r="A93" s="6"/>
      <x:c r="B93" s="6"/>
      <x:c r="C93" s="6"/>
      <x:c r="D93" s="6"/>
      <x:c r="E93" s="6"/>
      <x:c r="F93" s="2" t="str">
        <x:f>IF(A93="","",IF(OR(D93="",E93=""),"Eksik puan",D93*E93))</x:f>
      </x:c>
      <x:c r="G93" s="2" t="str">
        <x:f>IF(A93="","",IF(NOT(ISNUMBER(F93)),"Eksik puan",IF(F93&gt;=16,"Kritik",IF(F93&gt;=10,"Yüksek",IF(F93&gt;=5,"Orta","Düşük")))))</x:f>
      </x:c>
      <x:c r="H93" s="6"/>
      <x:c r="I93" s="6"/>
      <x:c r="J93" s="7"/>
      <x:c r="K93" s="6"/>
      <x:c r="L93" s="7"/>
    </x:row>
    <x:row r="94" ht="22" customHeight="1">
      <x:c r="A94" s="6"/>
      <x:c r="B94" s="6"/>
      <x:c r="C94" s="6"/>
      <x:c r="D94" s="6"/>
      <x:c r="E94" s="6"/>
      <x:c r="F94" s="2" t="str">
        <x:f>IF(A94="","",IF(OR(D94="",E94=""),"Eksik puan",D94*E94))</x:f>
      </x:c>
      <x:c r="G94" s="2" t="str">
        <x:f>IF(A94="","",IF(NOT(ISNUMBER(F94)),"Eksik puan",IF(F94&gt;=16,"Kritik",IF(F94&gt;=10,"Yüksek",IF(F94&gt;=5,"Orta","Düşük")))))</x:f>
      </x:c>
      <x:c r="H94" s="6"/>
      <x:c r="I94" s="6"/>
      <x:c r="J94" s="7"/>
      <x:c r="K94" s="6"/>
      <x:c r="L94" s="7"/>
    </x:row>
    <x:row r="95" ht="22" customHeight="1">
      <x:c r="A95" s="6"/>
      <x:c r="B95" s="6"/>
      <x:c r="C95" s="6"/>
      <x:c r="D95" s="6"/>
      <x:c r="E95" s="6"/>
      <x:c r="F95" s="2" t="str">
        <x:f>IF(A95="","",IF(OR(D95="",E95=""),"Eksik puan",D95*E95))</x:f>
      </x:c>
      <x:c r="G95" s="2" t="str">
        <x:f>IF(A95="","",IF(NOT(ISNUMBER(F95)),"Eksik puan",IF(F95&gt;=16,"Kritik",IF(F95&gt;=10,"Yüksek",IF(F95&gt;=5,"Orta","Düşük")))))</x:f>
      </x:c>
      <x:c r="H95" s="6"/>
      <x:c r="I95" s="6"/>
      <x:c r="J95" s="7"/>
      <x:c r="K95" s="6"/>
      <x:c r="L95" s="7"/>
    </x:row>
    <x:row r="96" ht="22" customHeight="1">
      <x:c r="A96" s="6"/>
      <x:c r="B96" s="6"/>
      <x:c r="C96" s="6"/>
      <x:c r="D96" s="6"/>
      <x:c r="E96" s="6"/>
      <x:c r="F96" s="2" t="str">
        <x:f>IF(A96="","",IF(OR(D96="",E96=""),"Eksik puan",D96*E96))</x:f>
      </x:c>
      <x:c r="G96" s="2" t="str">
        <x:f>IF(A96="","",IF(NOT(ISNUMBER(F96)),"Eksik puan",IF(F96&gt;=16,"Kritik",IF(F96&gt;=10,"Yüksek",IF(F96&gt;=5,"Orta","Düşük")))))</x:f>
      </x:c>
      <x:c r="H96" s="6"/>
      <x:c r="I96" s="6"/>
      <x:c r="J96" s="7"/>
      <x:c r="K96" s="6"/>
      <x:c r="L96" s="7"/>
    </x:row>
    <x:row r="97" ht="22" customHeight="1">
      <x:c r="A97" s="6"/>
      <x:c r="B97" s="6"/>
      <x:c r="C97" s="6"/>
      <x:c r="D97" s="6"/>
      <x:c r="E97" s="6"/>
      <x:c r="F97" s="2" t="str">
        <x:f>IF(A97="","",IF(OR(D97="",E97=""),"Eksik puan",D97*E97))</x:f>
      </x:c>
      <x:c r="G97" s="2" t="str">
        <x:f>IF(A97="","",IF(NOT(ISNUMBER(F97)),"Eksik puan",IF(F97&gt;=16,"Kritik",IF(F97&gt;=10,"Yüksek",IF(F97&gt;=5,"Orta","Düşük")))))</x:f>
      </x:c>
      <x:c r="H97" s="6"/>
      <x:c r="I97" s="6"/>
      <x:c r="J97" s="7"/>
      <x:c r="K97" s="6"/>
      <x:c r="L97" s="7"/>
    </x:row>
    <x:row r="98" ht="22" customHeight="1">
      <x:c r="A98" s="6"/>
      <x:c r="B98" s="6"/>
      <x:c r="C98" s="6"/>
      <x:c r="D98" s="6"/>
      <x:c r="E98" s="6"/>
      <x:c r="F98" s="2" t="str">
        <x:f>IF(A98="","",IF(OR(D98="",E98=""),"Eksik puan",D98*E98))</x:f>
      </x:c>
      <x:c r="G98" s="2" t="str">
        <x:f>IF(A98="","",IF(NOT(ISNUMBER(F98)),"Eksik puan",IF(F98&gt;=16,"Kritik",IF(F98&gt;=10,"Yüksek",IF(F98&gt;=5,"Orta","Düşük")))))</x:f>
      </x:c>
      <x:c r="H98" s="6"/>
      <x:c r="I98" s="6"/>
      <x:c r="J98" s="7"/>
      <x:c r="K98" s="6"/>
      <x:c r="L98" s="7"/>
    </x:row>
    <x:row r="99" ht="22" customHeight="1">
      <x:c r="A99" s="6"/>
      <x:c r="B99" s="6"/>
      <x:c r="C99" s="6"/>
      <x:c r="D99" s="6"/>
      <x:c r="E99" s="6"/>
      <x:c r="F99" s="2" t="str">
        <x:f>IF(A99="","",IF(OR(D99="",E99=""),"Eksik puan",D99*E99))</x:f>
      </x:c>
      <x:c r="G99" s="2" t="str">
        <x:f>IF(A99="","",IF(NOT(ISNUMBER(F99)),"Eksik puan",IF(F99&gt;=16,"Kritik",IF(F99&gt;=10,"Yüksek",IF(F99&gt;=5,"Orta","Düşük")))))</x:f>
      </x:c>
      <x:c r="H99" s="6"/>
      <x:c r="I99" s="6"/>
      <x:c r="J99" s="7"/>
      <x:c r="K99" s="6"/>
      <x:c r="L99" s="7"/>
    </x:row>
    <x:row r="100" ht="22" customHeight="1">
      <x:c r="A100" s="6"/>
      <x:c r="B100" s="6"/>
      <x:c r="C100" s="6"/>
      <x:c r="D100" s="6"/>
      <x:c r="E100" s="6"/>
      <x:c r="F100" s="2" t="str">
        <x:f>IF(A100="","",IF(OR(D100="",E100=""),"Eksik puan",D100*E100))</x:f>
      </x:c>
      <x:c r="G100" s="2" t="str">
        <x:f>IF(A100="","",IF(NOT(ISNUMBER(F100)),"Eksik puan",IF(F100&gt;=16,"Kritik",IF(F100&gt;=10,"Yüksek",IF(F100&gt;=5,"Orta","Düşük")))))</x:f>
      </x:c>
      <x:c r="H100" s="6"/>
      <x:c r="I100" s="6"/>
      <x:c r="J100" s="7"/>
      <x:c r="K100" s="6"/>
      <x:c r="L100" s="7"/>
    </x:row>
    <x:row r="101" ht="22" customHeight="1">
      <x:c r="A101" s="6"/>
      <x:c r="B101" s="6"/>
      <x:c r="C101" s="6"/>
      <x:c r="D101" s="6"/>
      <x:c r="E101" s="6"/>
      <x:c r="F101" s="2" t="str">
        <x:f>IF(A101="","",IF(OR(D101="",E101=""),"Eksik puan",D101*E101))</x:f>
      </x:c>
      <x:c r="G101" s="2" t="str">
        <x:f>IF(A101="","",IF(NOT(ISNUMBER(F101)),"Eksik puan",IF(F101&gt;=16,"Kritik",IF(F101&gt;=10,"Yüksek",IF(F101&gt;=5,"Orta","Düşük")))))</x:f>
      </x:c>
      <x:c r="H101" s="6"/>
      <x:c r="I101" s="6"/>
      <x:c r="J101" s="7"/>
      <x:c r="K101" s="6"/>
      <x:c r="L101" s="7"/>
    </x:row>
    <x:row r="102" ht="22" customHeight="1">
      <x:c r="A102" s="6"/>
      <x:c r="B102" s="6"/>
      <x:c r="C102" s="6"/>
      <x:c r="D102" s="6"/>
      <x:c r="E102" s="6"/>
      <x:c r="F102" s="2" t="str">
        <x:f>IF(A102="","",IF(OR(D102="",E102=""),"Eksik puan",D102*E102))</x:f>
      </x:c>
      <x:c r="G102" s="2" t="str">
        <x:f>IF(A102="","",IF(NOT(ISNUMBER(F102)),"Eksik puan",IF(F102&gt;=16,"Kritik",IF(F102&gt;=10,"Yüksek",IF(F102&gt;=5,"Orta","Düşük")))))</x:f>
      </x:c>
      <x:c r="H102" s="6"/>
      <x:c r="I102" s="6"/>
      <x:c r="J102" s="7"/>
      <x:c r="K102" s="6"/>
      <x:c r="L102" s="7"/>
    </x:row>
    <x:row r="103" ht="22" customHeight="1">
      <x:c r="A103" s="6"/>
      <x:c r="B103" s="6"/>
      <x:c r="C103" s="6"/>
      <x:c r="D103" s="6"/>
      <x:c r="E103" s="6"/>
      <x:c r="F103" s="2" t="str">
        <x:f>IF(A103="","",IF(OR(D103="",E103=""),"Eksik puan",D103*E103))</x:f>
      </x:c>
      <x:c r="G103" s="2" t="str">
        <x:f>IF(A103="","",IF(NOT(ISNUMBER(F103)),"Eksik puan",IF(F103&gt;=16,"Kritik",IF(F103&gt;=10,"Yüksek",IF(F103&gt;=5,"Orta","Düşük")))))</x:f>
      </x:c>
      <x:c r="H103" s="6"/>
      <x:c r="I103" s="6"/>
      <x:c r="J103" s="7"/>
      <x:c r="K103" s="6"/>
      <x:c r="L103" s="7"/>
    </x:row>
    <x:row r="104" ht="22" customHeight="1">
      <x:c r="A104" s="6"/>
      <x:c r="B104" s="6"/>
      <x:c r="C104" s="6"/>
      <x:c r="D104" s="6"/>
      <x:c r="E104" s="6"/>
      <x:c r="F104" s="2" t="str">
        <x:f>IF(A104="","",IF(OR(D104="",E104=""),"Eksik puan",D104*E104))</x:f>
      </x:c>
      <x:c r="G104" s="2" t="str">
        <x:f>IF(A104="","",IF(NOT(ISNUMBER(F104)),"Eksik puan",IF(F104&gt;=16,"Kritik",IF(F104&gt;=10,"Yüksek",IF(F104&gt;=5,"Orta","Düşük")))))</x:f>
      </x:c>
      <x:c r="H104" s="6"/>
      <x:c r="I104" s="6"/>
      <x:c r="J104" s="7"/>
      <x:c r="K104" s="6"/>
      <x:c r="L104" s="7"/>
    </x:row>
    <x:row r="105" ht="22" customHeight="1">
      <x:c r="A105" s="6"/>
      <x:c r="B105" s="6"/>
      <x:c r="C105" s="6"/>
      <x:c r="D105" s="6"/>
      <x:c r="E105" s="6"/>
      <x:c r="F105" s="2" t="str">
        <x:f>IF(A105="","",IF(OR(D105="",E105=""),"Eksik puan",D105*E105))</x:f>
      </x:c>
      <x:c r="G105" s="2" t="str">
        <x:f>IF(A105="","",IF(NOT(ISNUMBER(F105)),"Eksik puan",IF(F105&gt;=16,"Kritik",IF(F105&gt;=10,"Yüksek",IF(F105&gt;=5,"Orta","Düşük")))))</x:f>
      </x:c>
      <x:c r="H105" s="6"/>
      <x:c r="I105" s="6"/>
      <x:c r="J105" s="7"/>
      <x:c r="K105" s="6"/>
      <x:c r="L105" s="7"/>
    </x:row>
    <x:row r="106" ht="22" customHeight="1">
      <x:c r="A106" s="6"/>
      <x:c r="B106" s="6"/>
      <x:c r="C106" s="6"/>
      <x:c r="D106" s="6"/>
      <x:c r="E106" s="6"/>
      <x:c r="F106" s="2" t="str">
        <x:f>IF(A106="","",IF(OR(D106="",E106=""),"Eksik puan",D106*E106))</x:f>
      </x:c>
      <x:c r="G106" s="2" t="str">
        <x:f>IF(A106="","",IF(NOT(ISNUMBER(F106)),"Eksik puan",IF(F106&gt;=16,"Kritik",IF(F106&gt;=10,"Yüksek",IF(F106&gt;=5,"Orta","Düşük")))))</x:f>
      </x:c>
      <x:c r="H106" s="6"/>
      <x:c r="I106" s="6"/>
      <x:c r="J106" s="7"/>
      <x:c r="K106" s="6"/>
      <x:c r="L106" s="7"/>
    </x:row>
    <x:row r="107" ht="22" customHeight="1">
      <x:c r="A107" s="6"/>
      <x:c r="B107" s="6"/>
      <x:c r="C107" s="6"/>
      <x:c r="D107" s="6"/>
      <x:c r="E107" s="6"/>
      <x:c r="F107" s="2" t="str">
        <x:f>IF(A107="","",IF(OR(D107="",E107=""),"Eksik puan",D107*E107))</x:f>
      </x:c>
      <x:c r="G107" s="2" t="str">
        <x:f>IF(A107="","",IF(NOT(ISNUMBER(F107)),"Eksik puan",IF(F107&gt;=16,"Kritik",IF(F107&gt;=10,"Yüksek",IF(F107&gt;=5,"Orta","Düşük")))))</x:f>
      </x:c>
      <x:c r="H107" s="6"/>
      <x:c r="I107" s="6"/>
      <x:c r="J107" s="7"/>
      <x:c r="K107" s="6"/>
      <x:c r="L107" s="7"/>
    </x:row>
    <x:row r="108" ht="22" customHeight="1">
      <x:c r="A108" s="6"/>
      <x:c r="B108" s="6"/>
      <x:c r="C108" s="6"/>
      <x:c r="D108" s="6"/>
      <x:c r="E108" s="6"/>
      <x:c r="F108" s="2" t="str">
        <x:f>IF(A108="","",IF(OR(D108="",E108=""),"Eksik puan",D108*E108))</x:f>
      </x:c>
      <x:c r="G108" s="2" t="str">
        <x:f>IF(A108="","",IF(NOT(ISNUMBER(F108)),"Eksik puan",IF(F108&gt;=16,"Kritik",IF(F108&gt;=10,"Yüksek",IF(F108&gt;=5,"Orta","Düşük")))))</x:f>
      </x:c>
      <x:c r="H108" s="6"/>
      <x:c r="I108" s="6"/>
      <x:c r="J108" s="7"/>
      <x:c r="K108" s="6"/>
      <x:c r="L108" s="7"/>
    </x:row>
    <x:row r="109" ht="22" customHeight="1">
      <x:c r="A109" s="6"/>
      <x:c r="B109" s="6"/>
      <x:c r="C109" s="6"/>
      <x:c r="D109" s="6"/>
      <x:c r="E109" s="6"/>
      <x:c r="F109" s="2" t="str">
        <x:f>IF(A109="","",IF(OR(D109="",E109=""),"Eksik puan",D109*E109))</x:f>
      </x:c>
      <x:c r="G109" s="2" t="str">
        <x:f>IF(A109="","",IF(NOT(ISNUMBER(F109)),"Eksik puan",IF(F109&gt;=16,"Kritik",IF(F109&gt;=10,"Yüksek",IF(F109&gt;=5,"Orta","Düşük")))))</x:f>
      </x:c>
      <x:c r="H109" s="6"/>
      <x:c r="I109" s="6"/>
      <x:c r="J109" s="7"/>
      <x:c r="K109" s="6"/>
      <x:c r="L109" s="7"/>
    </x:row>
    <x:row r="110" ht="22" customHeight="1">
      <x:c r="A110" s="6"/>
      <x:c r="B110" s="6"/>
      <x:c r="C110" s="6"/>
      <x:c r="D110" s="6"/>
      <x:c r="E110" s="6"/>
      <x:c r="F110" s="2" t="str">
        <x:f>IF(A110="","",IF(OR(D110="",E110=""),"Eksik puan",D110*E110))</x:f>
      </x:c>
      <x:c r="G110" s="2" t="str">
        <x:f>IF(A110="","",IF(NOT(ISNUMBER(F110)),"Eksik puan",IF(F110&gt;=16,"Kritik",IF(F110&gt;=10,"Yüksek",IF(F110&gt;=5,"Orta","Düşük")))))</x:f>
      </x:c>
      <x:c r="H110" s="6"/>
      <x:c r="I110" s="6"/>
      <x:c r="J110" s="7"/>
      <x:c r="K110" s="6"/>
      <x:c r="L110" s="7"/>
    </x:row>
    <x:row r="111" ht="22" customHeight="1">
      <x:c r="A111" s="6"/>
      <x:c r="B111" s="6"/>
      <x:c r="C111" s="6"/>
      <x:c r="D111" s="6"/>
      <x:c r="E111" s="6"/>
      <x:c r="F111" s="2" t="str">
        <x:f>IF(A111="","",IF(OR(D111="",E111=""),"Eksik puan",D111*E111))</x:f>
      </x:c>
      <x:c r="G111" s="2" t="str">
        <x:f>IF(A111="","",IF(NOT(ISNUMBER(F111)),"Eksik puan",IF(F111&gt;=16,"Kritik",IF(F111&gt;=10,"Yüksek",IF(F111&gt;=5,"Orta","Düşük")))))</x:f>
      </x:c>
      <x:c r="H111" s="6"/>
      <x:c r="I111" s="6"/>
      <x:c r="J111" s="7"/>
      <x:c r="K111" s="6"/>
      <x:c r="L111" s="7"/>
    </x:row>
    <x:row r="112" ht="22" customHeight="1">
      <x:c r="A112" s="6"/>
      <x:c r="B112" s="6"/>
      <x:c r="C112" s="6"/>
      <x:c r="D112" s="6"/>
      <x:c r="E112" s="6"/>
      <x:c r="F112" s="2" t="str">
        <x:f>IF(A112="","",IF(OR(D112="",E112=""),"Eksik puan",D112*E112))</x:f>
      </x:c>
      <x:c r="G112" s="2" t="str">
        <x:f>IF(A112="","",IF(NOT(ISNUMBER(F112)),"Eksik puan",IF(F112&gt;=16,"Kritik",IF(F112&gt;=10,"Yüksek",IF(F112&gt;=5,"Orta","Düşük")))))</x:f>
      </x:c>
      <x:c r="H112" s="6"/>
      <x:c r="I112" s="6"/>
      <x:c r="J112" s="7"/>
      <x:c r="K112" s="6"/>
      <x:c r="L112" s="7"/>
    </x:row>
    <x:row r="113" ht="22" customHeight="1">
      <x:c r="A113" s="6"/>
      <x:c r="B113" s="6"/>
      <x:c r="C113" s="6"/>
      <x:c r="D113" s="6"/>
      <x:c r="E113" s="6"/>
      <x:c r="F113" s="2" t="str">
        <x:f>IF(A113="","",IF(OR(D113="",E113=""),"Eksik puan",D113*E113))</x:f>
      </x:c>
      <x:c r="G113" s="2" t="str">
        <x:f>IF(A113="","",IF(NOT(ISNUMBER(F113)),"Eksik puan",IF(F113&gt;=16,"Kritik",IF(F113&gt;=10,"Yüksek",IF(F113&gt;=5,"Orta","Düşük")))))</x:f>
      </x:c>
      <x:c r="H113" s="6"/>
      <x:c r="I113" s="6"/>
      <x:c r="J113" s="7"/>
      <x:c r="K113" s="6"/>
      <x:c r="L113" s="7"/>
    </x:row>
    <x:row r="114" ht="22" customHeight="1">
      <x:c r="A114" s="6"/>
      <x:c r="B114" s="6"/>
      <x:c r="C114" s="6"/>
      <x:c r="D114" s="6"/>
      <x:c r="E114" s="6"/>
      <x:c r="F114" s="2" t="str">
        <x:f>IF(A114="","",IF(OR(D114="",E114=""),"Eksik puan",D114*E114))</x:f>
      </x:c>
      <x:c r="G114" s="2" t="str">
        <x:f>IF(A114="","",IF(NOT(ISNUMBER(F114)),"Eksik puan",IF(F114&gt;=16,"Kritik",IF(F114&gt;=10,"Yüksek",IF(F114&gt;=5,"Orta","Düşük")))))</x:f>
      </x:c>
      <x:c r="H114" s="6"/>
      <x:c r="I114" s="6"/>
      <x:c r="J114" s="7"/>
      <x:c r="K114" s="6"/>
      <x:c r="L114" s="7"/>
    </x:row>
    <x:row r="115" ht="22" customHeight="1">
      <x:c r="A115" s="6"/>
      <x:c r="B115" s="6"/>
      <x:c r="C115" s="6"/>
      <x:c r="D115" s="6"/>
      <x:c r="E115" s="6"/>
      <x:c r="F115" s="2" t="str">
        <x:f>IF(A115="","",IF(OR(D115="",E115=""),"Eksik puan",D115*E115))</x:f>
      </x:c>
      <x:c r="G115" s="2" t="str">
        <x:f>IF(A115="","",IF(NOT(ISNUMBER(F115)),"Eksik puan",IF(F115&gt;=16,"Kritik",IF(F115&gt;=10,"Yüksek",IF(F115&gt;=5,"Orta","Düşük")))))</x:f>
      </x:c>
      <x:c r="H115" s="6"/>
      <x:c r="I115" s="6"/>
      <x:c r="J115" s="7"/>
      <x:c r="K115" s="6"/>
      <x:c r="L115" s="7"/>
    </x:row>
    <x:row r="116" ht="22" customHeight="1">
      <x:c r="A116" s="6"/>
      <x:c r="B116" s="6"/>
      <x:c r="C116" s="6"/>
      <x:c r="D116" s="6"/>
      <x:c r="E116" s="6"/>
      <x:c r="F116" s="2" t="str">
        <x:f>IF(A116="","",IF(OR(D116="",E116=""),"Eksik puan",D116*E116))</x:f>
      </x:c>
      <x:c r="G116" s="2" t="str">
        <x:f>IF(A116="","",IF(NOT(ISNUMBER(F116)),"Eksik puan",IF(F116&gt;=16,"Kritik",IF(F116&gt;=10,"Yüksek",IF(F116&gt;=5,"Orta","Düşük")))))</x:f>
      </x:c>
      <x:c r="H116" s="6"/>
      <x:c r="I116" s="6"/>
      <x:c r="J116" s="7"/>
      <x:c r="K116" s="6"/>
      <x:c r="L116" s="7"/>
    </x:row>
    <x:row r="117" ht="22" customHeight="1">
      <x:c r="A117" s="6"/>
      <x:c r="B117" s="6"/>
      <x:c r="C117" s="6"/>
      <x:c r="D117" s="6"/>
      <x:c r="E117" s="6"/>
      <x:c r="F117" s="2" t="str">
        <x:f>IF(A117="","",IF(OR(D117="",E117=""),"Eksik puan",D117*E117))</x:f>
      </x:c>
      <x:c r="G117" s="2" t="str">
        <x:f>IF(A117="","",IF(NOT(ISNUMBER(F117)),"Eksik puan",IF(F117&gt;=16,"Kritik",IF(F117&gt;=10,"Yüksek",IF(F117&gt;=5,"Orta","Düşük")))))</x:f>
      </x:c>
      <x:c r="H117" s="6"/>
      <x:c r="I117" s="6"/>
      <x:c r="J117" s="7"/>
      <x:c r="K117" s="6"/>
      <x:c r="L117" s="7"/>
    </x:row>
    <x:row r="118" ht="22" customHeight="1">
      <x:c r="A118" s="6"/>
      <x:c r="B118" s="6"/>
      <x:c r="C118" s="6"/>
      <x:c r="D118" s="6"/>
      <x:c r="E118" s="6"/>
      <x:c r="F118" s="2" t="str">
        <x:f>IF(A118="","",IF(OR(D118="",E118=""),"Eksik puan",D118*E118))</x:f>
      </x:c>
      <x:c r="G118" s="2" t="str">
        <x:f>IF(A118="","",IF(NOT(ISNUMBER(F118)),"Eksik puan",IF(F118&gt;=16,"Kritik",IF(F118&gt;=10,"Yüksek",IF(F118&gt;=5,"Orta","Düşük")))))</x:f>
      </x:c>
      <x:c r="H118" s="6"/>
      <x:c r="I118" s="6"/>
      <x:c r="J118" s="7"/>
      <x:c r="K118" s="6"/>
      <x:c r="L118" s="7"/>
    </x:row>
    <x:row r="119" ht="22" customHeight="1">
      <x:c r="A119" s="6"/>
      <x:c r="B119" s="6"/>
      <x:c r="C119" s="6"/>
      <x:c r="D119" s="6"/>
      <x:c r="E119" s="6"/>
      <x:c r="F119" s="2" t="str">
        <x:f>IF(A119="","",IF(OR(D119="",E119=""),"Eksik puan",D119*E119))</x:f>
      </x:c>
      <x:c r="G119" s="2" t="str">
        <x:f>IF(A119="","",IF(NOT(ISNUMBER(F119)),"Eksik puan",IF(F119&gt;=16,"Kritik",IF(F119&gt;=10,"Yüksek",IF(F119&gt;=5,"Orta","Düşük")))))</x:f>
      </x:c>
      <x:c r="H119" s="6"/>
      <x:c r="I119" s="6"/>
      <x:c r="J119" s="7"/>
      <x:c r="K119" s="6"/>
      <x:c r="L119" s="7"/>
    </x:row>
    <x:row r="120" ht="22" customHeight="1">
      <x:c r="A120" s="6"/>
      <x:c r="B120" s="6"/>
      <x:c r="C120" s="6"/>
      <x:c r="D120" s="6"/>
      <x:c r="E120" s="6"/>
      <x:c r="F120" s="2" t="str">
        <x:f>IF(A120="","",IF(OR(D120="",E120=""),"Eksik puan",D120*E120))</x:f>
      </x:c>
      <x:c r="G120" s="2" t="str">
        <x:f>IF(A120="","",IF(NOT(ISNUMBER(F120)),"Eksik puan",IF(F120&gt;=16,"Kritik",IF(F120&gt;=10,"Yüksek",IF(F120&gt;=5,"Orta","Düşük")))))</x:f>
      </x:c>
      <x:c r="H120" s="6"/>
      <x:c r="I120" s="6"/>
      <x:c r="J120" s="7"/>
      <x:c r="K120" s="6"/>
      <x:c r="L120" s="7"/>
    </x:row>
    <x:row r="121" ht="22" customHeight="1">
      <x:c r="A121" s="6"/>
      <x:c r="B121" s="6"/>
      <x:c r="C121" s="6"/>
      <x:c r="D121" s="6"/>
      <x:c r="E121" s="6"/>
      <x:c r="F121" s="2" t="str">
        <x:f>IF(A121="","",IF(OR(D121="",E121=""),"Eksik puan",D121*E121))</x:f>
      </x:c>
      <x:c r="G121" s="2" t="str">
        <x:f>IF(A121="","",IF(NOT(ISNUMBER(F121)),"Eksik puan",IF(F121&gt;=16,"Kritik",IF(F121&gt;=10,"Yüksek",IF(F121&gt;=5,"Orta","Düşük")))))</x:f>
      </x:c>
      <x:c r="H121" s="6"/>
      <x:c r="I121" s="6"/>
      <x:c r="J121" s="7"/>
      <x:c r="K121" s="6"/>
      <x:c r="L121" s="7"/>
    </x:row>
    <x:row r="122" ht="22" customHeight="1">
      <x:c r="A122" s="6"/>
      <x:c r="B122" s="6"/>
      <x:c r="C122" s="6"/>
      <x:c r="D122" s="6"/>
      <x:c r="E122" s="6"/>
      <x:c r="F122" s="2" t="str">
        <x:f>IF(A122="","",IF(OR(D122="",E122=""),"Eksik puan",D122*E122))</x:f>
      </x:c>
      <x:c r="G122" s="2" t="str">
        <x:f>IF(A122="","",IF(NOT(ISNUMBER(F122)),"Eksik puan",IF(F122&gt;=16,"Kritik",IF(F122&gt;=10,"Yüksek",IF(F122&gt;=5,"Orta","Düşük")))))</x:f>
      </x:c>
      <x:c r="H122" s="6"/>
      <x:c r="I122" s="6"/>
      <x:c r="J122" s="7"/>
      <x:c r="K122" s="6"/>
      <x:c r="L122" s="7"/>
    </x:row>
    <x:row r="123" ht="22" customHeight="1">
      <x:c r="A123" s="6"/>
      <x:c r="B123" s="6"/>
      <x:c r="C123" s="6"/>
      <x:c r="D123" s="6"/>
      <x:c r="E123" s="6"/>
      <x:c r="F123" s="2" t="str">
        <x:f>IF(A123="","",IF(OR(D123="",E123=""),"Eksik puan",D123*E123))</x:f>
      </x:c>
      <x:c r="G123" s="2" t="str">
        <x:f>IF(A123="","",IF(NOT(ISNUMBER(F123)),"Eksik puan",IF(F123&gt;=16,"Kritik",IF(F123&gt;=10,"Yüksek",IF(F123&gt;=5,"Orta","Düşük")))))</x:f>
      </x:c>
      <x:c r="H123" s="6"/>
      <x:c r="I123" s="6"/>
      <x:c r="J123" s="7"/>
      <x:c r="K123" s="6"/>
      <x:c r="L123" s="7"/>
    </x:row>
    <x:row r="124" ht="22" customHeight="1">
      <x:c r="A124" s="6"/>
      <x:c r="B124" s="6"/>
      <x:c r="C124" s="6"/>
      <x:c r="D124" s="6"/>
      <x:c r="E124" s="6"/>
      <x:c r="F124" s="2" t="str">
        <x:f>IF(A124="","",IF(OR(D124="",E124=""),"Eksik puan",D124*E124))</x:f>
      </x:c>
      <x:c r="G124" s="2" t="str">
        <x:f>IF(A124="","",IF(NOT(ISNUMBER(F124)),"Eksik puan",IF(F124&gt;=16,"Kritik",IF(F124&gt;=10,"Yüksek",IF(F124&gt;=5,"Orta","Düşük")))))</x:f>
      </x:c>
      <x:c r="H124" s="6"/>
      <x:c r="I124" s="6"/>
      <x:c r="J124" s="7"/>
      <x:c r="K124" s="6"/>
      <x:c r="L124" s="7"/>
    </x:row>
    <x:row r="125" ht="22" customHeight="1">
      <x:c r="A125" s="6"/>
      <x:c r="B125" s="6"/>
      <x:c r="C125" s="6"/>
      <x:c r="D125" s="6"/>
      <x:c r="E125" s="6"/>
      <x:c r="F125" s="2" t="str">
        <x:f>IF(A125="","",IF(OR(D125="",E125=""),"Eksik puan",D125*E125))</x:f>
      </x:c>
      <x:c r="G125" s="2" t="str">
        <x:f>IF(A125="","",IF(NOT(ISNUMBER(F125)),"Eksik puan",IF(F125&gt;=16,"Kritik",IF(F125&gt;=10,"Yüksek",IF(F125&gt;=5,"Orta","Düşük")))))</x:f>
      </x:c>
      <x:c r="H125" s="6"/>
      <x:c r="I125" s="6"/>
      <x:c r="J125" s="7"/>
      <x:c r="K125" s="6"/>
      <x:c r="L125" s="7"/>
    </x:row>
    <x:row r="126" ht="22" customHeight="1">
      <x:c r="A126" s="6"/>
      <x:c r="B126" s="6"/>
      <x:c r="C126" s="6"/>
      <x:c r="D126" s="6"/>
      <x:c r="E126" s="6"/>
      <x:c r="F126" s="2" t="str">
        <x:f>IF(A126="","",IF(OR(D126="",E126=""),"Eksik puan",D126*E126))</x:f>
      </x:c>
      <x:c r="G126" s="2" t="str">
        <x:f>IF(A126="","",IF(NOT(ISNUMBER(F126)),"Eksik puan",IF(F126&gt;=16,"Kritik",IF(F126&gt;=10,"Yüksek",IF(F126&gt;=5,"Orta","Düşük")))))</x:f>
      </x:c>
      <x:c r="H126" s="6"/>
      <x:c r="I126" s="6"/>
      <x:c r="J126" s="7"/>
      <x:c r="K126" s="6"/>
      <x:c r="L126" s="7"/>
    </x:row>
  </x:sheetData>
  <x:conditionalFormatting sqref="F7:F126">
    <x:cfRule type="cellIs" dxfId="5" priority="1" operator="greaterThanOrEqual">
      <x:formula>16</x:formula>
    </x:cfRule>
    <x:cfRule type="cellIs" dxfId="6" priority="2" operator="between">
      <x:formula>10</x:formula>
      <x:formula>15</x:formula>
    </x:cfRule>
  </x:conditionalFormatting>
  <x:dataValidations count="3">
    <x:dataValidation type="whole" operator="between" sqref="D7:E126">
      <x:formula1>1</x:formula1>
      <x:formula2>5</x:formula2>
    </x:dataValidation>
    <x:dataValidation type="list" sqref="K7:K126">
      <x:formula1>"Açık,Azaltılıyor,Kapalı"</x:formula1>
    </x:dataValidation>
    <x:dataValidation type="list" sqref="B7:B126">
      <x:formula1>'Projeler'!$A$7:$A$26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ee7713815b43d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39" hidden="0" customWidth="1"/>
    <x:col min="4" max="4" width="24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34" hidden="0" customWidth="1"/>
    <x:col min="12" max="12" width="22" hidden="0" customWidth="1"/>
    <x:col min="13" max="13" width="22" hidden="0" customWidth="1"/>
    <x:col min="14" max="14" width="2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2" customHeight="1">
      <x:c r="A2" s="3" t="str">
        <x:v>Aksiyonlar ve kararlar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34" customHeight="1">
      <x:c r="A6" s="12" t="str">
        <x:v>Aksiyon ID</x:v>
      </x:c>
      <x:c r="B6" s="12" t="str">
        <x:v>Proje ID</x:v>
      </x:c>
      <x:c r="C6" s="12" t="str">
        <x:v>Aksiyon / karar</x:v>
      </x:c>
      <x:c r="D6" s="12" t="str">
        <x:v>Sorumlu</x:v>
      </x:c>
      <x:c r="E6" s="12" t="str">
        <x:v>Açılış tarihi</x:v>
      </x:c>
      <x:c r="F6" s="12" t="str">
        <x:v>Hedef tarih</x:v>
      </x:c>
      <x:c r="G6" s="12" t="str">
        <x:v>Durum</x:v>
      </x:c>
      <x:c r="H6" s="12" t="str">
        <x:v>Tamamlanma tarihi</x:v>
      </x:c>
      <x:c r="I6" s="12" t="str">
        <x:v>Öncelik</x:v>
      </x:c>
      <x:c r="J6" s="12" t="str">
        <x:v>Tür</x:v>
      </x:c>
      <x:c r="K6" s="12" t="str">
        <x:v>Açıklama</x:v>
      </x:c>
      <x:c r="L6" s="12" t="str">
        <x:v>Gecikme (gün)</x:v>
      </x:c>
      <x:c r="M6" s="12" t="str">
        <x:v>Açık panel sıra</x:v>
      </x:c>
      <x:c r="N6" s="12" t="str">
        <x:v>Biten panel sıra</x:v>
      </x:c>
    </x:row>
    <x:row r="7" ht="22" customHeight="1">
      <x:c r="A7" s="6" t="str">
        <x:v>A001</x:v>
      </x:c>
      <x:c r="B7" s="6" t="str">
        <x:v>PRJ-001</x:v>
      </x:c>
      <x:c r="C7" s="6" t="str">
        <x:v>Alternatif motor teklifi al</x:v>
      </x:c>
      <x:c r="D7" s="6" t="str">
        <x:v>Can Akın</x:v>
      </x:c>
      <x:c r="E7" s="7" t="n">
        <x:v>46303</x:v>
      </x:c>
      <x:c r="F7" s="7" t="n">
        <x:v>46309</x:v>
      </x:c>
      <x:c r="G7" s="6" t="str">
        <x:v>Devam ediyor</x:v>
      </x:c>
      <x:c r="H7" s="7"/>
      <x:c r="I7" s="6" t="str">
        <x:v>Yüksek</x:v>
      </x:c>
      <x:c r="J7" s="6" t="str">
        <x:v>Aksiyon</x:v>
      </x:c>
      <x:c r="K7" s="6" t="str"/>
      <x:c r="L7" s="2" t="n">
        <x:f>IF(A7="","",IF(OR(E7="",F7=""),"Eksik tarih",IF(G7="Tamamlandı",IF(H7="","Eksik kapanış",MAX(0,H7-F7)),MAX(0,'Panel'!$N$5-F7))))</x:f>
        <x:v>1</x:v>
      </x:c>
      <x:c r="M7" s="2" t="n">
        <x:f>IF(AND(A7&lt;&gt;"",B7='Panel'!$C$5,G7&lt;&gt;"Tamamlandı",E7&lt;='Panel'!$N$5),COUNTIFS($B$7:B7,B7,$A$7:A7,"&lt;&gt;",$G$7:G7,"&lt;&gt;Tamamlandı",$E$7:E7,"&lt;="&amp;'Panel'!$N$5),"")</x:f>
        <x:v>1</x:v>
      </x:c>
      <x:c r="N7" s="2" t="str">
        <x:f>IF(AND(A7&lt;&gt;"",B7='Panel'!$C$5,G7="Tamamlandı",H7&gt;='Panel'!$N$5-WEEKDAY('Panel'!$N$5,2)+1,H7&lt;='Panel'!$N$5),COUNTIFS($B$7:B7,B7,$G$7:G7,"Tamamlandı",$H$7:H7,"&gt;="&amp;('Panel'!$N$5-WEEKDAY('Panel'!$N$5,2)+1),$H$7:H7,"&lt;="&amp;'Panel'!$N$5),"")</x:f>
      </x:c>
    </x:row>
    <x:row r="8" ht="22" customHeight="1">
      <x:c r="A8" s="6" t="str">
        <x:v>A002</x:v>
      </x:c>
      <x:c r="B8" s="6" t="str">
        <x:v>PRJ-001</x:v>
      </x:c>
      <x:c r="C8" s="6" t="str">
        <x:v>Saha erişim iznini onaylat</x:v>
      </x:c>
      <x:c r="D8" s="6" t="str">
        <x:v>Ayşe Yılmaz</x:v>
      </x:c>
      <x:c r="E8" s="7" t="n">
        <x:v>46303</x:v>
      </x:c>
      <x:c r="F8" s="7" t="n">
        <x:v>46314</x:v>
      </x:c>
      <x:c r="G8" s="6" t="str">
        <x:v>Bekliyor</x:v>
      </x:c>
      <x:c r="H8" s="7"/>
      <x:c r="I8" s="6" t="str">
        <x:v>Yüksek</x:v>
      </x:c>
      <x:c r="J8" s="6" t="str">
        <x:v>Karar</x:v>
      </x:c>
      <x:c r="K8" s="6" t="str">
        <x:v>Üretim müdürü onayı</x:v>
      </x:c>
      <x:c r="L8" s="2" t="n">
        <x:f>IF(A8="","",IF(OR(E8="",F8=""),"Eksik tarih",IF(G8="Tamamlandı",IF(H8="","Eksik kapanış",MAX(0,H8-F8)),MAX(0,'Panel'!$N$5-F8))))</x:f>
        <x:v>0</x:v>
      </x:c>
      <x:c r="M8" s="2" t="n">
        <x:f>IF(AND(A8&lt;&gt;"",B8='Panel'!$C$5,G8&lt;&gt;"Tamamlandı",E8&lt;='Panel'!$N$5),COUNTIFS($B$7:B8,B8,$A$7:A8,"&lt;&gt;",$G$7:G8,"&lt;&gt;Tamamlandı",$E$7:E8,"&lt;="&amp;'Panel'!$N$5),"")</x:f>
        <x:v>2</x:v>
      </x:c>
      <x:c r="N8" s="2" t="str">
        <x:f>IF(AND(A8&lt;&gt;"",B8='Panel'!$C$5,G8="Tamamlandı",H8&gt;='Panel'!$N$5-WEEKDAY('Panel'!$N$5,2)+1,H8&lt;='Panel'!$N$5),COUNTIFS($B$7:B8,B8,$G$7:G8,"Tamamlandı",$H$7:H8,"&gt;="&amp;('Panel'!$N$5-WEEKDAY('Panel'!$N$5,2)+1),$H$7:H8,"&lt;="&amp;'Panel'!$N$5),"")</x:f>
      </x:c>
    </x:row>
    <x:row r="9" ht="22" customHeight="1">
      <x:c r="A9" s="6" t="str">
        <x:v>A003</x:v>
      </x:c>
      <x:c r="B9" s="6" t="str">
        <x:v>PRJ-001</x:v>
      </x:c>
      <x:c r="C9" s="6" t="str">
        <x:v>Kabul test listesini tamamla</x:v>
      </x:c>
      <x:c r="D9" s="6" t="str">
        <x:v>Bora Işık</x:v>
      </x:c>
      <x:c r="E9" s="7" t="n">
        <x:v>46303</x:v>
      </x:c>
      <x:c r="F9" s="7" t="n">
        <x:v>46310</x:v>
      </x:c>
      <x:c r="G9" s="6" t="str">
        <x:v>Tamamlandı</x:v>
      </x:c>
      <x:c r="H9" s="7" t="n">
        <x:v>46309</x:v>
      </x:c>
      <x:c r="I9" s="6" t="str">
        <x:v>Orta</x:v>
      </x:c>
      <x:c r="J9" s="6" t="str">
        <x:v>Aksiyon</x:v>
      </x:c>
      <x:c r="K9" s="6" t="str"/>
      <x:c r="L9" s="2" t="n">
        <x:f>IF(A9="","",IF(OR(E9="",F9=""),"Eksik tarih",IF(G9="Tamamlandı",IF(H9="","Eksik kapanış",MAX(0,H9-F9)),MAX(0,'Panel'!$N$5-F9))))</x:f>
        <x:v>0</x:v>
      </x:c>
      <x:c r="M9" s="2" t="str">
        <x:f>IF(AND(A9&lt;&gt;"",B9='Panel'!$C$5,G9&lt;&gt;"Tamamlandı",E9&lt;='Panel'!$N$5),COUNTIFS($B$7:B9,B9,$A$7:A9,"&lt;&gt;",$G$7:G9,"&lt;&gt;Tamamlandı",$E$7:E9,"&lt;="&amp;'Panel'!$N$5),"")</x:f>
      </x:c>
      <x:c r="N9" s="2" t="n">
        <x:f>IF(AND(A9&lt;&gt;"",B9='Panel'!$C$5,G9="Tamamlandı",H9&gt;='Panel'!$N$5-WEEKDAY('Panel'!$N$5,2)+1,H9&lt;='Panel'!$N$5),COUNTIFS($B$7:B9,B9,$G$7:G9,"Tamamlandı",$H$7:H9,"&gt;="&amp;('Panel'!$N$5-WEEKDAY('Panel'!$N$5,2)+1),$H$7:H9,"&lt;="&amp;'Panel'!$N$5),"")</x:f>
        <x:v>1</x:v>
      </x:c>
    </x:row>
    <x:row r="10" ht="22" customHeight="1">
      <x:c r="A10" s="6" t="str">
        <x:v>A004</x:v>
      </x:c>
      <x:c r="B10" s="6" t="str">
        <x:v>PRJ-001</x:v>
      </x:c>
      <x:c r="C10" s="6" t="str">
        <x:v>Hafta sonu ekip planını paylaş</x:v>
      </x:c>
      <x:c r="D10" s="6" t="str">
        <x:v>İpek Acar</x:v>
      </x:c>
      <x:c r="E10" s="7" t="n">
        <x:v>46307</x:v>
      </x:c>
      <x:c r="F10" s="7" t="n">
        <x:v>46310</x:v>
      </x:c>
      <x:c r="G10" s="6" t="str">
        <x:v>Tamamlandı</x:v>
      </x:c>
      <x:c r="H10" s="7" t="n">
        <x:v>46310</x:v>
      </x:c>
      <x:c r="I10" s="6" t="str">
        <x:v>Orta</x:v>
      </x:c>
      <x:c r="J10" s="6" t="str">
        <x:v>Aksiyon</x:v>
      </x:c>
      <x:c r="K10" s="6" t="str"/>
      <x:c r="L10" s="2" t="n">
        <x:f>IF(A10="","",IF(OR(E10="",F10=""),"Eksik tarih",IF(G10="Tamamlandı",IF(H10="","Eksik kapanış",MAX(0,H10-F10)),MAX(0,'Panel'!$N$5-F10))))</x:f>
        <x:v>0</x:v>
      </x:c>
      <x:c r="M10" s="2" t="str">
        <x:f>IF(AND(A10&lt;&gt;"",B10='Panel'!$C$5,G10&lt;&gt;"Tamamlandı",E10&lt;='Panel'!$N$5),COUNTIFS($B$7:B10,B10,$A$7:A10,"&lt;&gt;",$G$7:G10,"&lt;&gt;Tamamlandı",$E$7:E10,"&lt;="&amp;'Panel'!$N$5),"")</x:f>
      </x:c>
      <x:c r="N10" s="2" t="n">
        <x:f>IF(AND(A10&lt;&gt;"",B10='Panel'!$C$5,G10="Tamamlandı",H10&gt;='Panel'!$N$5-WEEKDAY('Panel'!$N$5,2)+1,H10&lt;='Panel'!$N$5),COUNTIFS($B$7:B10,B10,$G$7:G10,"Tamamlandı",$H$7:H10,"&gt;="&amp;('Panel'!$N$5-WEEKDAY('Panel'!$N$5,2)+1),$H$7:H10,"&lt;="&amp;'Panel'!$N$5),"")</x:f>
        <x:v>2</x:v>
      </x:c>
    </x:row>
    <x:row r="11" ht="22" customHeight="1">
      <x:c r="A11" s="6" t="str">
        <x:v>A005</x:v>
      </x:c>
      <x:c r="B11" s="6" t="str">
        <x:v>PRJ-002</x:v>
      </x:c>
      <x:c r="C11" s="6" t="str">
        <x:v>Entegrasyon test hesabı aç</x:v>
      </x:c>
      <x:c r="D11" s="6" t="str">
        <x:v>Ali Eren</x:v>
      </x:c>
      <x:c r="E11" s="7" t="n">
        <x:v>46303</x:v>
      </x:c>
      <x:c r="F11" s="7" t="n">
        <x:v>46314</x:v>
      </x:c>
      <x:c r="G11" s="6" t="str">
        <x:v>Devam ediyor</x:v>
      </x:c>
      <x:c r="H11" s="7"/>
      <x:c r="I11" s="6" t="str">
        <x:v>Orta</x:v>
      </x:c>
      <x:c r="J11" s="6" t="str">
        <x:v>Aksiyon</x:v>
      </x:c>
      <x:c r="K11" s="6" t="str"/>
      <x:c r="L11" s="2" t="n">
        <x:f>IF(A11="","",IF(OR(E11="",F11=""),"Eksik tarih",IF(G11="Tamamlandı",IF(H11="","Eksik kapanış",MAX(0,H11-F11)),MAX(0,'Panel'!$N$5-F11))))</x:f>
        <x:v>0</x:v>
      </x:c>
      <x:c r="M11" s="2" t="str">
        <x:f>IF(AND(A11&lt;&gt;"",B11='Panel'!$C$5,G11&lt;&gt;"Tamamlandı",E11&lt;='Panel'!$N$5),COUNTIFS($B$7:B11,B11,$A$7:A11,"&lt;&gt;",$G$7:G11,"&lt;&gt;Tamamlandı",$E$7:E11,"&lt;="&amp;'Panel'!$N$5),"")</x:f>
      </x:c>
      <x:c r="N11" s="2" t="str">
        <x:f>IF(AND(A11&lt;&gt;"",B11='Panel'!$C$5,G11="Tamamlandı",H11&gt;='Panel'!$N$5-WEEKDAY('Panel'!$N$5,2)+1,H11&lt;='Panel'!$N$5),COUNTIFS($B$7:B11,B11,$G$7:G11,"Tamamlandı",$H$7:H11,"&gt;="&amp;('Panel'!$N$5-WEEKDAY('Panel'!$N$5,2)+1),$H$7:H11,"&lt;="&amp;'Panel'!$N$5),"")</x:f>
      </x:c>
    </x:row>
    <x:row r="12" ht="22" customHeight="1">
      <x:c r="A12" s="6" t="str">
        <x:v>A006</x:v>
      </x:c>
      <x:c r="B12" s="6" t="str">
        <x:v>PRJ-002</x:v>
      </x:c>
      <x:c r="C12" s="6" t="str">
        <x:v>Tasarım onayını kaydet</x:v>
      </x:c>
      <x:c r="D12" s="6" t="str">
        <x:v>Mehmet Demir</x:v>
      </x:c>
      <x:c r="E12" s="7" t="n">
        <x:v>46303</x:v>
      </x:c>
      <x:c r="F12" s="7" t="n">
        <x:v>46309</x:v>
      </x:c>
      <x:c r="G12" s="6" t="str">
        <x:v>Tamamlandı</x:v>
      </x:c>
      <x:c r="H12" s="7" t="n">
        <x:v>46308</x:v>
      </x:c>
      <x:c r="I12" s="6" t="str">
        <x:v>Orta</x:v>
      </x:c>
      <x:c r="J12" s="6" t="str">
        <x:v>Karar</x:v>
      </x:c>
      <x:c r="K12" s="6" t="str"/>
      <x:c r="L12" s="2" t="n">
        <x:f>IF(A12="","",IF(OR(E12="",F12=""),"Eksik tarih",IF(G12="Tamamlandı",IF(H12="","Eksik kapanış",MAX(0,H12-F12)),MAX(0,'Panel'!$N$5-F12))))</x:f>
        <x:v>0</x:v>
      </x:c>
      <x:c r="M12" s="2" t="str">
        <x:f>IF(AND(A12&lt;&gt;"",B12='Panel'!$C$5,G12&lt;&gt;"Tamamlandı",E12&lt;='Panel'!$N$5),COUNTIFS($B$7:B12,B12,$A$7:A12,"&lt;&gt;",$G$7:G12,"&lt;&gt;Tamamlandı",$E$7:E12,"&lt;="&amp;'Panel'!$N$5),"")</x:f>
      </x:c>
      <x:c r="N12" s="2" t="str">
        <x:f>IF(AND(A12&lt;&gt;"",B12='Panel'!$C$5,G12="Tamamlandı",H12&gt;='Panel'!$N$5-WEEKDAY('Panel'!$N$5,2)+1,H12&lt;='Panel'!$N$5),COUNTIFS($B$7:B12,B12,$G$7:G12,"Tamamlandı",$H$7:H12,"&gt;="&amp;('Panel'!$N$5-WEEKDAY('Panel'!$N$5,2)+1),$H$7:H12,"&lt;="&amp;'Panel'!$N$5),"")</x:f>
      </x:c>
    </x:row>
    <x:row r="13" ht="22" customHeight="1">
      <x:c r="A13" s="6" t="str">
        <x:v>A007</x:v>
      </x:c>
      <x:c r="B13" s="6" t="str">
        <x:v>PRJ-003</x:v>
      </x:c>
      <x:c r="C13" s="6" t="str">
        <x:v>Kısmi sevkiyatı onayla</x:v>
      </x:c>
      <x:c r="D13" s="6" t="str">
        <x:v>Selin Kaya</x:v>
      </x:c>
      <x:c r="E13" s="7" t="n">
        <x:v>46303</x:v>
      </x:c>
      <x:c r="F13" s="7" t="n">
        <x:v>46308</x:v>
      </x:c>
      <x:c r="G13" s="6" t="str">
        <x:v>Bloke</x:v>
      </x:c>
      <x:c r="H13" s="7"/>
      <x:c r="I13" s="6" t="str">
        <x:v>Yüksek</x:v>
      </x:c>
      <x:c r="J13" s="6" t="str">
        <x:v>Karar</x:v>
      </x:c>
      <x:c r="K13" s="6" t="str">
        <x:v>Tedarikçi yanıtı bekleniyor</x:v>
      </x:c>
      <x:c r="L13" s="2" t="n">
        <x:f>IF(A13="","",IF(OR(E13="",F13=""),"Eksik tarih",IF(G13="Tamamlandı",IF(H13="","Eksik kapanış",MAX(0,H13-F13)),MAX(0,'Panel'!$N$5-F13))))</x:f>
        <x:v>2</x:v>
      </x:c>
      <x:c r="M13" s="2" t="str">
        <x:f>IF(AND(A13&lt;&gt;"",B13='Panel'!$C$5,G13&lt;&gt;"Tamamlandı",E13&lt;='Panel'!$N$5),COUNTIFS($B$7:B13,B13,$A$7:A13,"&lt;&gt;",$G$7:G13,"&lt;&gt;Tamamlandı",$E$7:E13,"&lt;="&amp;'Panel'!$N$5),"")</x:f>
      </x:c>
      <x:c r="N13" s="2" t="str">
        <x:f>IF(AND(A13&lt;&gt;"",B13='Panel'!$C$5,G13="Tamamlandı",H13&gt;='Panel'!$N$5-WEEKDAY('Panel'!$N$5,2)+1,H13&lt;='Panel'!$N$5),COUNTIFS($B$7:B13,B13,$G$7:G13,"Tamamlandı",$H$7:H13,"&gt;="&amp;('Panel'!$N$5-WEEKDAY('Panel'!$N$5,2)+1),$H$7:H13,"&lt;="&amp;'Panel'!$N$5),"")</x:f>
      </x:c>
    </x:row>
    <x:row r="14" ht="22" customHeight="1">
      <x:c r="A14" s="6" t="str">
        <x:v>A008</x:v>
      </x:c>
      <x:c r="B14" s="6" t="str">
        <x:v>PRJ-003</x:v>
      </x:c>
      <x:c r="C14" s="6" t="str">
        <x:v>Pilot sayımı planla</x:v>
      </x:c>
      <x:c r="D14" s="6" t="str">
        <x:v>Derya Ak</x:v>
      </x:c>
      <x:c r="E14" s="7" t="n">
        <x:v>46307</x:v>
      </x:c>
      <x:c r="F14" s="7" t="n">
        <x:v>46315</x:v>
      </x:c>
      <x:c r="G14" s="6" t="str">
        <x:v>Bekliyor</x:v>
      </x:c>
      <x:c r="H14" s="7"/>
      <x:c r="I14" s="6" t="str">
        <x:v>Orta</x:v>
      </x:c>
      <x:c r="J14" s="6" t="str">
        <x:v>Aksiyon</x:v>
      </x:c>
      <x:c r="K14" s="6" t="str"/>
      <x:c r="L14" s="2" t="n">
        <x:f>IF(A14="","",IF(OR(E14="",F14=""),"Eksik tarih",IF(G14="Tamamlandı",IF(H14="","Eksik kapanış",MAX(0,H14-F14)),MAX(0,'Panel'!$N$5-F14))))</x:f>
        <x:v>0</x:v>
      </x:c>
      <x:c r="M14" s="2" t="str">
        <x:f>IF(AND(A14&lt;&gt;"",B14='Panel'!$C$5,G14&lt;&gt;"Tamamlandı",E14&lt;='Panel'!$N$5),COUNTIFS($B$7:B14,B14,$A$7:A14,"&lt;&gt;",$G$7:G14,"&lt;&gt;Tamamlandı",$E$7:E14,"&lt;="&amp;'Panel'!$N$5),"")</x:f>
      </x:c>
      <x:c r="N14" s="2" t="str">
        <x:f>IF(AND(A14&lt;&gt;"",B14='Panel'!$C$5,G14="Tamamlandı",H14&gt;='Panel'!$N$5-WEEKDAY('Panel'!$N$5,2)+1,H14&lt;='Panel'!$N$5),COUNTIFS($B$7:B14,B14,$G$7:G14,"Tamamlandı",$H$7:H14,"&gt;="&amp;('Panel'!$N$5-WEEKDAY('Panel'!$N$5,2)+1),$H$7:H14,"&lt;="&amp;'Panel'!$N$5),"")</x:f>
      </x:c>
    </x:row>
    <x:row r="15" ht="22" customHeight="1">
      <x:c r="A15" s="6"/>
      <x:c r="B15" s="6"/>
      <x:c r="C15" s="6"/>
      <x:c r="D15" s="6"/>
      <x:c r="E15" s="7"/>
      <x:c r="F15" s="7"/>
      <x:c r="G15" s="6"/>
      <x:c r="H15" s="7"/>
      <x:c r="I15" s="6"/>
      <x:c r="J15" s="6"/>
      <x:c r="K15" s="6"/>
      <x:c r="L15" s="2" t="str">
        <x:f>IF(A15="","",IF(OR(E15="",F15=""),"Eksik tarih",IF(G15="Tamamlandı",IF(H15="","Eksik kapanış",MAX(0,H15-F15)),MAX(0,'Panel'!$N$5-F15))))</x:f>
      </x:c>
      <x:c r="M15" s="2" t="str">
        <x:f>IF(AND(A15&lt;&gt;"",B15='Panel'!$C$5,G15&lt;&gt;"Tamamlandı",E15&lt;='Panel'!$N$5),COUNTIFS($B$7:B15,B15,$A$7:A15,"&lt;&gt;",$G$7:G15,"&lt;&gt;Tamamlandı",$E$7:E15,"&lt;="&amp;'Panel'!$N$5),"")</x:f>
      </x:c>
      <x:c r="N15" s="2" t="str">
        <x:f>IF(AND(A15&lt;&gt;"",B15='Panel'!$C$5,G15="Tamamlandı",H15&gt;='Panel'!$N$5-WEEKDAY('Panel'!$N$5,2)+1,H15&lt;='Panel'!$N$5),COUNTIFS($B$7:B15,B15,$G$7:G15,"Tamamlandı",$H$7:H15,"&gt;="&amp;('Panel'!$N$5-WEEKDAY('Panel'!$N$5,2)+1),$H$7:H15,"&lt;="&amp;'Panel'!$N$5),"")</x:f>
      </x:c>
    </x:row>
    <x:row r="16" ht="22" customHeight="1">
      <x:c r="A16" s="6"/>
      <x:c r="B16" s="6"/>
      <x:c r="C16" s="6"/>
      <x:c r="D16" s="6"/>
      <x:c r="E16" s="7"/>
      <x:c r="F16" s="7"/>
      <x:c r="G16" s="6"/>
      <x:c r="H16" s="7"/>
      <x:c r="I16" s="6"/>
      <x:c r="J16" s="6"/>
      <x:c r="K16" s="6"/>
      <x:c r="L16" s="2" t="str">
        <x:f>IF(A16="","",IF(OR(E16="",F16=""),"Eksik tarih",IF(G16="Tamamlandı",IF(H16="","Eksik kapanış",MAX(0,H16-F16)),MAX(0,'Panel'!$N$5-F16))))</x:f>
      </x:c>
      <x:c r="M16" s="2" t="str">
        <x:f>IF(AND(A16&lt;&gt;"",B16='Panel'!$C$5,G16&lt;&gt;"Tamamlandı",E16&lt;='Panel'!$N$5),COUNTIFS($B$7:B16,B16,$A$7:A16,"&lt;&gt;",$G$7:G16,"&lt;&gt;Tamamlandı",$E$7:E16,"&lt;="&amp;'Panel'!$N$5),"")</x:f>
      </x:c>
      <x:c r="N16" s="2" t="str">
        <x:f>IF(AND(A16&lt;&gt;"",B16='Panel'!$C$5,G16="Tamamlandı",H16&gt;='Panel'!$N$5-WEEKDAY('Panel'!$N$5,2)+1,H16&lt;='Panel'!$N$5),COUNTIFS($B$7:B16,B16,$G$7:G16,"Tamamlandı",$H$7:H16,"&gt;="&amp;('Panel'!$N$5-WEEKDAY('Panel'!$N$5,2)+1),$H$7:H16,"&lt;="&amp;'Panel'!$N$5),"")</x:f>
      </x:c>
    </x:row>
    <x:row r="17" ht="22" customHeight="1">
      <x:c r="A17" s="6"/>
      <x:c r="B17" s="6"/>
      <x:c r="C17" s="6"/>
      <x:c r="D17" s="6"/>
      <x:c r="E17" s="7"/>
      <x:c r="F17" s="7"/>
      <x:c r="G17" s="6"/>
      <x:c r="H17" s="7"/>
      <x:c r="I17" s="6"/>
      <x:c r="J17" s="6"/>
      <x:c r="K17" s="6"/>
      <x:c r="L17" s="2" t="str">
        <x:f>IF(A17="","",IF(OR(E17="",F17=""),"Eksik tarih",IF(G17="Tamamlandı",IF(H17="","Eksik kapanış",MAX(0,H17-F17)),MAX(0,'Panel'!$N$5-F17))))</x:f>
      </x:c>
      <x:c r="M17" s="2" t="str">
        <x:f>IF(AND(A17&lt;&gt;"",B17='Panel'!$C$5,G17&lt;&gt;"Tamamlandı",E17&lt;='Panel'!$N$5),COUNTIFS($B$7:B17,B17,$A$7:A17,"&lt;&gt;",$G$7:G17,"&lt;&gt;Tamamlandı",$E$7:E17,"&lt;="&amp;'Panel'!$N$5),"")</x:f>
      </x:c>
      <x:c r="N17" s="2" t="str">
        <x:f>IF(AND(A17&lt;&gt;"",B17='Panel'!$C$5,G17="Tamamlandı",H17&gt;='Panel'!$N$5-WEEKDAY('Panel'!$N$5,2)+1,H17&lt;='Panel'!$N$5),COUNTIFS($B$7:B17,B17,$G$7:G17,"Tamamlandı",$H$7:H17,"&gt;="&amp;('Panel'!$N$5-WEEKDAY('Panel'!$N$5,2)+1),$H$7:H17,"&lt;="&amp;'Panel'!$N$5),"")</x:f>
      </x:c>
    </x:row>
    <x:row r="18" ht="22" customHeight="1">
      <x:c r="A18" s="6"/>
      <x:c r="B18" s="6"/>
      <x:c r="C18" s="6"/>
      <x:c r="D18" s="6"/>
      <x:c r="E18" s="7"/>
      <x:c r="F18" s="7"/>
      <x:c r="G18" s="6"/>
      <x:c r="H18" s="7"/>
      <x:c r="I18" s="6"/>
      <x:c r="J18" s="6"/>
      <x:c r="K18" s="6"/>
      <x:c r="L18" s="2" t="str">
        <x:f>IF(A18="","",IF(OR(E18="",F18=""),"Eksik tarih",IF(G18="Tamamlandı",IF(H18="","Eksik kapanış",MAX(0,H18-F18)),MAX(0,'Panel'!$N$5-F18))))</x:f>
      </x:c>
      <x:c r="M18" s="2" t="str">
        <x:f>IF(AND(A18&lt;&gt;"",B18='Panel'!$C$5,G18&lt;&gt;"Tamamlandı",E18&lt;='Panel'!$N$5),COUNTIFS($B$7:B18,B18,$A$7:A18,"&lt;&gt;",$G$7:G18,"&lt;&gt;Tamamlandı",$E$7:E18,"&lt;="&amp;'Panel'!$N$5),"")</x:f>
      </x:c>
      <x:c r="N18" s="2" t="str">
        <x:f>IF(AND(A18&lt;&gt;"",B18='Panel'!$C$5,G18="Tamamlandı",H18&gt;='Panel'!$N$5-WEEKDAY('Panel'!$N$5,2)+1,H18&lt;='Panel'!$N$5),COUNTIFS($B$7:B18,B18,$G$7:G18,"Tamamlandı",$H$7:H18,"&gt;="&amp;('Panel'!$N$5-WEEKDAY('Panel'!$N$5,2)+1),$H$7:H18,"&lt;="&amp;'Panel'!$N$5),"")</x:f>
      </x:c>
    </x:row>
    <x:row r="19" ht="22" customHeight="1">
      <x:c r="A19" s="6"/>
      <x:c r="B19" s="6"/>
      <x:c r="C19" s="6"/>
      <x:c r="D19" s="6"/>
      <x:c r="E19" s="7"/>
      <x:c r="F19" s="7"/>
      <x:c r="G19" s="6"/>
      <x:c r="H19" s="7"/>
      <x:c r="I19" s="6"/>
      <x:c r="J19" s="6"/>
      <x:c r="K19" s="6"/>
      <x:c r="L19" s="2" t="str">
        <x:f>IF(A19="","",IF(OR(E19="",F19=""),"Eksik tarih",IF(G19="Tamamlandı",IF(H19="","Eksik kapanış",MAX(0,H19-F19)),MAX(0,'Panel'!$N$5-F19))))</x:f>
      </x:c>
      <x:c r="M19" s="2" t="str">
        <x:f>IF(AND(A19&lt;&gt;"",B19='Panel'!$C$5,G19&lt;&gt;"Tamamlandı",E19&lt;='Panel'!$N$5),COUNTIFS($B$7:B19,B19,$A$7:A19,"&lt;&gt;",$G$7:G19,"&lt;&gt;Tamamlandı",$E$7:E19,"&lt;="&amp;'Panel'!$N$5),"")</x:f>
      </x:c>
      <x:c r="N19" s="2" t="str">
        <x:f>IF(AND(A19&lt;&gt;"",B19='Panel'!$C$5,G19="Tamamlandı",H19&gt;='Panel'!$N$5-WEEKDAY('Panel'!$N$5,2)+1,H19&lt;='Panel'!$N$5),COUNTIFS($B$7:B19,B19,$G$7:G19,"Tamamlandı",$H$7:H19,"&gt;="&amp;('Panel'!$N$5-WEEKDAY('Panel'!$N$5,2)+1),$H$7:H19,"&lt;="&amp;'Panel'!$N$5),"")</x:f>
      </x:c>
    </x:row>
    <x:row r="20" ht="22" customHeight="1">
      <x:c r="A20" s="6"/>
      <x:c r="B20" s="6"/>
      <x:c r="C20" s="6"/>
      <x:c r="D20" s="6"/>
      <x:c r="E20" s="7"/>
      <x:c r="F20" s="7"/>
      <x:c r="G20" s="6"/>
      <x:c r="H20" s="7"/>
      <x:c r="I20" s="6"/>
      <x:c r="J20" s="6"/>
      <x:c r="K20" s="6"/>
      <x:c r="L20" s="2" t="str">
        <x:f>IF(A20="","",IF(OR(E20="",F20=""),"Eksik tarih",IF(G20="Tamamlandı",IF(H20="","Eksik kapanış",MAX(0,H20-F20)),MAX(0,'Panel'!$N$5-F20))))</x:f>
      </x:c>
      <x:c r="M20" s="2" t="str">
        <x:f>IF(AND(A20&lt;&gt;"",B20='Panel'!$C$5,G20&lt;&gt;"Tamamlandı",E20&lt;='Panel'!$N$5),COUNTIFS($B$7:B20,B20,$A$7:A20,"&lt;&gt;",$G$7:G20,"&lt;&gt;Tamamlandı",$E$7:E20,"&lt;="&amp;'Panel'!$N$5),"")</x:f>
      </x:c>
      <x:c r="N20" s="2" t="str">
        <x:f>IF(AND(A20&lt;&gt;"",B20='Panel'!$C$5,G20="Tamamlandı",H20&gt;='Panel'!$N$5-WEEKDAY('Panel'!$N$5,2)+1,H20&lt;='Panel'!$N$5),COUNTIFS($B$7:B20,B20,$G$7:G20,"Tamamlandı",$H$7:H20,"&gt;="&amp;('Panel'!$N$5-WEEKDAY('Panel'!$N$5,2)+1),$H$7:H20,"&lt;="&amp;'Panel'!$N$5),"")</x:f>
      </x:c>
    </x:row>
    <x:row r="21" ht="22" customHeight="1">
      <x:c r="A21" s="6"/>
      <x:c r="B21" s="6"/>
      <x:c r="C21" s="6"/>
      <x:c r="D21" s="6"/>
      <x:c r="E21" s="7"/>
      <x:c r="F21" s="7"/>
      <x:c r="G21" s="6"/>
      <x:c r="H21" s="7"/>
      <x:c r="I21" s="6"/>
      <x:c r="J21" s="6"/>
      <x:c r="K21" s="6"/>
      <x:c r="L21" s="2" t="str">
        <x:f>IF(A21="","",IF(OR(E21="",F21=""),"Eksik tarih",IF(G21="Tamamlandı",IF(H21="","Eksik kapanış",MAX(0,H21-F21)),MAX(0,'Panel'!$N$5-F21))))</x:f>
      </x:c>
      <x:c r="M21" s="2" t="str">
        <x:f>IF(AND(A21&lt;&gt;"",B21='Panel'!$C$5,G21&lt;&gt;"Tamamlandı",E21&lt;='Panel'!$N$5),COUNTIFS($B$7:B21,B21,$A$7:A21,"&lt;&gt;",$G$7:G21,"&lt;&gt;Tamamlandı",$E$7:E21,"&lt;="&amp;'Panel'!$N$5),"")</x:f>
      </x:c>
      <x:c r="N21" s="2" t="str">
        <x:f>IF(AND(A21&lt;&gt;"",B21='Panel'!$C$5,G21="Tamamlandı",H21&gt;='Panel'!$N$5-WEEKDAY('Panel'!$N$5,2)+1,H21&lt;='Panel'!$N$5),COUNTIFS($B$7:B21,B21,$G$7:G21,"Tamamlandı",$H$7:H21,"&gt;="&amp;('Panel'!$N$5-WEEKDAY('Panel'!$N$5,2)+1),$H$7:H21,"&lt;="&amp;'Panel'!$N$5),"")</x:f>
      </x:c>
    </x:row>
    <x:row r="22" ht="22" customHeight="1">
      <x:c r="A22" s="6"/>
      <x:c r="B22" s="6"/>
      <x:c r="C22" s="6"/>
      <x:c r="D22" s="6"/>
      <x:c r="E22" s="7"/>
      <x:c r="F22" s="7"/>
      <x:c r="G22" s="6"/>
      <x:c r="H22" s="7"/>
      <x:c r="I22" s="6"/>
      <x:c r="J22" s="6"/>
      <x:c r="K22" s="6"/>
      <x:c r="L22" s="2" t="str">
        <x:f>IF(A22="","",IF(OR(E22="",F22=""),"Eksik tarih",IF(G22="Tamamlandı",IF(H22="","Eksik kapanış",MAX(0,H22-F22)),MAX(0,'Panel'!$N$5-F22))))</x:f>
      </x:c>
      <x:c r="M22" s="2" t="str">
        <x:f>IF(AND(A22&lt;&gt;"",B22='Panel'!$C$5,G22&lt;&gt;"Tamamlandı",E22&lt;='Panel'!$N$5),COUNTIFS($B$7:B22,B22,$A$7:A22,"&lt;&gt;",$G$7:G22,"&lt;&gt;Tamamlandı",$E$7:E22,"&lt;="&amp;'Panel'!$N$5),"")</x:f>
      </x:c>
      <x:c r="N22" s="2" t="str">
        <x:f>IF(AND(A22&lt;&gt;"",B22='Panel'!$C$5,G22="Tamamlandı",H22&gt;='Panel'!$N$5-WEEKDAY('Panel'!$N$5,2)+1,H22&lt;='Panel'!$N$5),COUNTIFS($B$7:B22,B22,$G$7:G22,"Tamamlandı",$H$7:H22,"&gt;="&amp;('Panel'!$N$5-WEEKDAY('Panel'!$N$5,2)+1),$H$7:H22,"&lt;="&amp;'Panel'!$N$5),"")</x:f>
      </x:c>
    </x:row>
    <x:row r="23" ht="22" customHeight="1">
      <x:c r="A23" s="6"/>
      <x:c r="B23" s="6"/>
      <x:c r="C23" s="6"/>
      <x:c r="D23" s="6"/>
      <x:c r="E23" s="7"/>
      <x:c r="F23" s="7"/>
      <x:c r="G23" s="6"/>
      <x:c r="H23" s="7"/>
      <x:c r="I23" s="6"/>
      <x:c r="J23" s="6"/>
      <x:c r="K23" s="6"/>
      <x:c r="L23" s="2" t="str">
        <x:f>IF(A23="","",IF(OR(E23="",F23=""),"Eksik tarih",IF(G23="Tamamlandı",IF(H23="","Eksik kapanış",MAX(0,H23-F23)),MAX(0,'Panel'!$N$5-F23))))</x:f>
      </x:c>
      <x:c r="M23" s="2" t="str">
        <x:f>IF(AND(A23&lt;&gt;"",B23='Panel'!$C$5,G23&lt;&gt;"Tamamlandı",E23&lt;='Panel'!$N$5),COUNTIFS($B$7:B23,B23,$A$7:A23,"&lt;&gt;",$G$7:G23,"&lt;&gt;Tamamlandı",$E$7:E23,"&lt;="&amp;'Panel'!$N$5),"")</x:f>
      </x:c>
      <x:c r="N23" s="2" t="str">
        <x:f>IF(AND(A23&lt;&gt;"",B23='Panel'!$C$5,G23="Tamamlandı",H23&gt;='Panel'!$N$5-WEEKDAY('Panel'!$N$5,2)+1,H23&lt;='Panel'!$N$5),COUNTIFS($B$7:B23,B23,$G$7:G23,"Tamamlandı",$H$7:H23,"&gt;="&amp;('Panel'!$N$5-WEEKDAY('Panel'!$N$5,2)+1),$H$7:H23,"&lt;="&amp;'Panel'!$N$5),"")</x:f>
      </x:c>
    </x:row>
    <x:row r="24" ht="22" customHeight="1">
      <x:c r="A24" s="6"/>
      <x:c r="B24" s="6"/>
      <x:c r="C24" s="6"/>
      <x:c r="D24" s="6"/>
      <x:c r="E24" s="7"/>
      <x:c r="F24" s="7"/>
      <x:c r="G24" s="6"/>
      <x:c r="H24" s="7"/>
      <x:c r="I24" s="6"/>
      <x:c r="J24" s="6"/>
      <x:c r="K24" s="6"/>
      <x:c r="L24" s="2" t="str">
        <x:f>IF(A24="","",IF(OR(E24="",F24=""),"Eksik tarih",IF(G24="Tamamlandı",IF(H24="","Eksik kapanış",MAX(0,H24-F24)),MAX(0,'Panel'!$N$5-F24))))</x:f>
      </x:c>
      <x:c r="M24" s="2" t="str">
        <x:f>IF(AND(A24&lt;&gt;"",B24='Panel'!$C$5,G24&lt;&gt;"Tamamlandı",E24&lt;='Panel'!$N$5),COUNTIFS($B$7:B24,B24,$A$7:A24,"&lt;&gt;",$G$7:G24,"&lt;&gt;Tamamlandı",$E$7:E24,"&lt;="&amp;'Panel'!$N$5),"")</x:f>
      </x:c>
      <x:c r="N24" s="2" t="str">
        <x:f>IF(AND(A24&lt;&gt;"",B24='Panel'!$C$5,G24="Tamamlandı",H24&gt;='Panel'!$N$5-WEEKDAY('Panel'!$N$5,2)+1,H24&lt;='Panel'!$N$5),COUNTIFS($B$7:B24,B24,$G$7:G24,"Tamamlandı",$H$7:H24,"&gt;="&amp;('Panel'!$N$5-WEEKDAY('Panel'!$N$5,2)+1),$H$7:H24,"&lt;="&amp;'Panel'!$N$5),"")</x:f>
      </x:c>
    </x:row>
    <x:row r="25" ht="22" customHeight="1">
      <x:c r="A25" s="6"/>
      <x:c r="B25" s="6"/>
      <x:c r="C25" s="6"/>
      <x:c r="D25" s="6"/>
      <x:c r="E25" s="7"/>
      <x:c r="F25" s="7"/>
      <x:c r="G25" s="6"/>
      <x:c r="H25" s="7"/>
      <x:c r="I25" s="6"/>
      <x:c r="J25" s="6"/>
      <x:c r="K25" s="6"/>
      <x:c r="L25" s="2" t="str">
        <x:f>IF(A25="","",IF(OR(E25="",F25=""),"Eksik tarih",IF(G25="Tamamlandı",IF(H25="","Eksik kapanış",MAX(0,H25-F25)),MAX(0,'Panel'!$N$5-F25))))</x:f>
      </x:c>
      <x:c r="M25" s="2" t="str">
        <x:f>IF(AND(A25&lt;&gt;"",B25='Panel'!$C$5,G25&lt;&gt;"Tamamlandı",E25&lt;='Panel'!$N$5),COUNTIFS($B$7:B25,B25,$A$7:A25,"&lt;&gt;",$G$7:G25,"&lt;&gt;Tamamlandı",$E$7:E25,"&lt;="&amp;'Panel'!$N$5),"")</x:f>
      </x:c>
      <x:c r="N25" s="2" t="str">
        <x:f>IF(AND(A25&lt;&gt;"",B25='Panel'!$C$5,G25="Tamamlandı",H25&gt;='Panel'!$N$5-WEEKDAY('Panel'!$N$5,2)+1,H25&lt;='Panel'!$N$5),COUNTIFS($B$7:B25,B25,$G$7:G25,"Tamamlandı",$H$7:H25,"&gt;="&amp;('Panel'!$N$5-WEEKDAY('Panel'!$N$5,2)+1),$H$7:H25,"&lt;="&amp;'Panel'!$N$5),"")</x:f>
      </x:c>
    </x:row>
    <x:row r="26" ht="22" customHeight="1">
      <x:c r="A26" s="6"/>
      <x:c r="B26" s="6"/>
      <x:c r="C26" s="6"/>
      <x:c r="D26" s="6"/>
      <x:c r="E26" s="7"/>
      <x:c r="F26" s="7"/>
      <x:c r="G26" s="6"/>
      <x:c r="H26" s="7"/>
      <x:c r="I26" s="6"/>
      <x:c r="J26" s="6"/>
      <x:c r="K26" s="6"/>
      <x:c r="L26" s="2" t="str">
        <x:f>IF(A26="","",IF(OR(E26="",F26=""),"Eksik tarih",IF(G26="Tamamlandı",IF(H26="","Eksik kapanış",MAX(0,H26-F26)),MAX(0,'Panel'!$N$5-F26))))</x:f>
      </x:c>
      <x:c r="M26" s="2" t="str">
        <x:f>IF(AND(A26&lt;&gt;"",B26='Panel'!$C$5,G26&lt;&gt;"Tamamlandı",E26&lt;='Panel'!$N$5),COUNTIFS($B$7:B26,B26,$A$7:A26,"&lt;&gt;",$G$7:G26,"&lt;&gt;Tamamlandı",$E$7:E26,"&lt;="&amp;'Panel'!$N$5),"")</x:f>
      </x:c>
      <x:c r="N26" s="2" t="str">
        <x:f>IF(AND(A26&lt;&gt;"",B26='Panel'!$C$5,G26="Tamamlandı",H26&gt;='Panel'!$N$5-WEEKDAY('Panel'!$N$5,2)+1,H26&lt;='Panel'!$N$5),COUNTIFS($B$7:B26,B26,$G$7:G26,"Tamamlandı",$H$7:H26,"&gt;="&amp;('Panel'!$N$5-WEEKDAY('Panel'!$N$5,2)+1),$H$7:H26,"&lt;="&amp;'Panel'!$N$5),"")</x:f>
      </x:c>
    </x:row>
    <x:row r="27" ht="22" customHeight="1">
      <x:c r="A27" s="6"/>
      <x:c r="B27" s="6"/>
      <x:c r="C27" s="6"/>
      <x:c r="D27" s="6"/>
      <x:c r="E27" s="7"/>
      <x:c r="F27" s="7"/>
      <x:c r="G27" s="6"/>
      <x:c r="H27" s="7"/>
      <x:c r="I27" s="6"/>
      <x:c r="J27" s="6"/>
      <x:c r="K27" s="6"/>
      <x:c r="L27" s="2" t="str">
        <x:f>IF(A27="","",IF(OR(E27="",F27=""),"Eksik tarih",IF(G27="Tamamlandı",IF(H27="","Eksik kapanış",MAX(0,H27-F27)),MAX(0,'Panel'!$N$5-F27))))</x:f>
      </x:c>
      <x:c r="M27" s="2" t="str">
        <x:f>IF(AND(A27&lt;&gt;"",B27='Panel'!$C$5,G27&lt;&gt;"Tamamlandı",E27&lt;='Panel'!$N$5),COUNTIFS($B$7:B27,B27,$A$7:A27,"&lt;&gt;",$G$7:G27,"&lt;&gt;Tamamlandı",$E$7:E27,"&lt;="&amp;'Panel'!$N$5),"")</x:f>
      </x:c>
      <x:c r="N27" s="2" t="str">
        <x:f>IF(AND(A27&lt;&gt;"",B27='Panel'!$C$5,G27="Tamamlandı",H27&gt;='Panel'!$N$5-WEEKDAY('Panel'!$N$5,2)+1,H27&lt;='Panel'!$N$5),COUNTIFS($B$7:B27,B27,$G$7:G27,"Tamamlandı",$H$7:H27,"&gt;="&amp;('Panel'!$N$5-WEEKDAY('Panel'!$N$5,2)+1),$H$7:H27,"&lt;="&amp;'Panel'!$N$5),"")</x:f>
      </x:c>
    </x:row>
    <x:row r="28" ht="22" customHeight="1">
      <x:c r="A28" s="6"/>
      <x:c r="B28" s="6"/>
      <x:c r="C28" s="6"/>
      <x:c r="D28" s="6"/>
      <x:c r="E28" s="7"/>
      <x:c r="F28" s="7"/>
      <x:c r="G28" s="6"/>
      <x:c r="H28" s="7"/>
      <x:c r="I28" s="6"/>
      <x:c r="J28" s="6"/>
      <x:c r="K28" s="6"/>
      <x:c r="L28" s="2" t="str">
        <x:f>IF(A28="","",IF(OR(E28="",F28=""),"Eksik tarih",IF(G28="Tamamlandı",IF(H28="","Eksik kapanış",MAX(0,H28-F28)),MAX(0,'Panel'!$N$5-F28))))</x:f>
      </x:c>
      <x:c r="M28" s="2" t="str">
        <x:f>IF(AND(A28&lt;&gt;"",B28='Panel'!$C$5,G28&lt;&gt;"Tamamlandı",E28&lt;='Panel'!$N$5),COUNTIFS($B$7:B28,B28,$A$7:A28,"&lt;&gt;",$G$7:G28,"&lt;&gt;Tamamlandı",$E$7:E28,"&lt;="&amp;'Panel'!$N$5),"")</x:f>
      </x:c>
      <x:c r="N28" s="2" t="str">
        <x:f>IF(AND(A28&lt;&gt;"",B28='Panel'!$C$5,G28="Tamamlandı",H28&gt;='Panel'!$N$5-WEEKDAY('Panel'!$N$5,2)+1,H28&lt;='Panel'!$N$5),COUNTIFS($B$7:B28,B28,$G$7:G28,"Tamamlandı",$H$7:H28,"&gt;="&amp;('Panel'!$N$5-WEEKDAY('Panel'!$N$5,2)+1),$H$7:H28,"&lt;="&amp;'Panel'!$N$5),"")</x:f>
      </x:c>
    </x:row>
    <x:row r="29" ht="22" customHeight="1">
      <x:c r="A29" s="6"/>
      <x:c r="B29" s="6"/>
      <x:c r="C29" s="6"/>
      <x:c r="D29" s="6"/>
      <x:c r="E29" s="7"/>
      <x:c r="F29" s="7"/>
      <x:c r="G29" s="6"/>
      <x:c r="H29" s="7"/>
      <x:c r="I29" s="6"/>
      <x:c r="J29" s="6"/>
      <x:c r="K29" s="6"/>
      <x:c r="L29" s="2" t="str">
        <x:f>IF(A29="","",IF(OR(E29="",F29=""),"Eksik tarih",IF(G29="Tamamlandı",IF(H29="","Eksik kapanış",MAX(0,H29-F29)),MAX(0,'Panel'!$N$5-F29))))</x:f>
      </x:c>
      <x:c r="M29" s="2" t="str">
        <x:f>IF(AND(A29&lt;&gt;"",B29='Panel'!$C$5,G29&lt;&gt;"Tamamlandı",E29&lt;='Panel'!$N$5),COUNTIFS($B$7:B29,B29,$A$7:A29,"&lt;&gt;",$G$7:G29,"&lt;&gt;Tamamlandı",$E$7:E29,"&lt;="&amp;'Panel'!$N$5),"")</x:f>
      </x:c>
      <x:c r="N29" s="2" t="str">
        <x:f>IF(AND(A29&lt;&gt;"",B29='Panel'!$C$5,G29="Tamamlandı",H29&gt;='Panel'!$N$5-WEEKDAY('Panel'!$N$5,2)+1,H29&lt;='Panel'!$N$5),COUNTIFS($B$7:B29,B29,$G$7:G29,"Tamamlandı",$H$7:H29,"&gt;="&amp;('Panel'!$N$5-WEEKDAY('Panel'!$N$5,2)+1),$H$7:H29,"&lt;="&amp;'Panel'!$N$5),"")</x:f>
      </x:c>
    </x:row>
    <x:row r="30" ht="22" customHeight="1">
      <x:c r="A30" s="6"/>
      <x:c r="B30" s="6"/>
      <x:c r="C30" s="6"/>
      <x:c r="D30" s="6"/>
      <x:c r="E30" s="7"/>
      <x:c r="F30" s="7"/>
      <x:c r="G30" s="6"/>
      <x:c r="H30" s="7"/>
      <x:c r="I30" s="6"/>
      <x:c r="J30" s="6"/>
      <x:c r="K30" s="6"/>
      <x:c r="L30" s="2" t="str">
        <x:f>IF(A30="","",IF(OR(E30="",F30=""),"Eksik tarih",IF(G30="Tamamlandı",IF(H30="","Eksik kapanış",MAX(0,H30-F30)),MAX(0,'Panel'!$N$5-F30))))</x:f>
      </x:c>
      <x:c r="M30" s="2" t="str">
        <x:f>IF(AND(A30&lt;&gt;"",B30='Panel'!$C$5,G30&lt;&gt;"Tamamlandı",E30&lt;='Panel'!$N$5),COUNTIFS($B$7:B30,B30,$A$7:A30,"&lt;&gt;",$G$7:G30,"&lt;&gt;Tamamlandı",$E$7:E30,"&lt;="&amp;'Panel'!$N$5),"")</x:f>
      </x:c>
      <x:c r="N30" s="2" t="str">
        <x:f>IF(AND(A30&lt;&gt;"",B30='Panel'!$C$5,G30="Tamamlandı",H30&gt;='Panel'!$N$5-WEEKDAY('Panel'!$N$5,2)+1,H30&lt;='Panel'!$N$5),COUNTIFS($B$7:B30,B30,$G$7:G30,"Tamamlandı",$H$7:H30,"&gt;="&amp;('Panel'!$N$5-WEEKDAY('Panel'!$N$5,2)+1),$H$7:H30,"&lt;="&amp;'Panel'!$N$5),"")</x:f>
      </x:c>
    </x:row>
    <x:row r="31" ht="22" customHeight="1">
      <x:c r="A31" s="6"/>
      <x:c r="B31" s="6"/>
      <x:c r="C31" s="6"/>
      <x:c r="D31" s="6"/>
      <x:c r="E31" s="7"/>
      <x:c r="F31" s="7"/>
      <x:c r="G31" s="6"/>
      <x:c r="H31" s="7"/>
      <x:c r="I31" s="6"/>
      <x:c r="J31" s="6"/>
      <x:c r="K31" s="6"/>
      <x:c r="L31" s="2" t="str">
        <x:f>IF(A31="","",IF(OR(E31="",F31=""),"Eksik tarih",IF(G31="Tamamlandı",IF(H31="","Eksik kapanış",MAX(0,H31-F31)),MAX(0,'Panel'!$N$5-F31))))</x:f>
      </x:c>
      <x:c r="M31" s="2" t="str">
        <x:f>IF(AND(A31&lt;&gt;"",B31='Panel'!$C$5,G31&lt;&gt;"Tamamlandı",E31&lt;='Panel'!$N$5),COUNTIFS($B$7:B31,B31,$A$7:A31,"&lt;&gt;",$G$7:G31,"&lt;&gt;Tamamlandı",$E$7:E31,"&lt;="&amp;'Panel'!$N$5),"")</x:f>
      </x:c>
      <x:c r="N31" s="2" t="str">
        <x:f>IF(AND(A31&lt;&gt;"",B31='Panel'!$C$5,G31="Tamamlandı",H31&gt;='Panel'!$N$5-WEEKDAY('Panel'!$N$5,2)+1,H31&lt;='Panel'!$N$5),COUNTIFS($B$7:B31,B31,$G$7:G31,"Tamamlandı",$H$7:H31,"&gt;="&amp;('Panel'!$N$5-WEEKDAY('Panel'!$N$5,2)+1),$H$7:H31,"&lt;="&amp;'Panel'!$N$5),"")</x:f>
      </x:c>
    </x:row>
    <x:row r="32" ht="22" customHeight="1">
      <x:c r="A32" s="6"/>
      <x:c r="B32" s="6"/>
      <x:c r="C32" s="6"/>
      <x:c r="D32" s="6"/>
      <x:c r="E32" s="7"/>
      <x:c r="F32" s="7"/>
      <x:c r="G32" s="6"/>
      <x:c r="H32" s="7"/>
      <x:c r="I32" s="6"/>
      <x:c r="J32" s="6"/>
      <x:c r="K32" s="6"/>
      <x:c r="L32" s="2" t="str">
        <x:f>IF(A32="","",IF(OR(E32="",F32=""),"Eksik tarih",IF(G32="Tamamlandı",IF(H32="","Eksik kapanış",MAX(0,H32-F32)),MAX(0,'Panel'!$N$5-F32))))</x:f>
      </x:c>
      <x:c r="M32" s="2" t="str">
        <x:f>IF(AND(A32&lt;&gt;"",B32='Panel'!$C$5,G32&lt;&gt;"Tamamlandı",E32&lt;='Panel'!$N$5),COUNTIFS($B$7:B32,B32,$A$7:A32,"&lt;&gt;",$G$7:G32,"&lt;&gt;Tamamlandı",$E$7:E32,"&lt;="&amp;'Panel'!$N$5),"")</x:f>
      </x:c>
      <x:c r="N32" s="2" t="str">
        <x:f>IF(AND(A32&lt;&gt;"",B32='Panel'!$C$5,G32="Tamamlandı",H32&gt;='Panel'!$N$5-WEEKDAY('Panel'!$N$5,2)+1,H32&lt;='Panel'!$N$5),COUNTIFS($B$7:B32,B32,$G$7:G32,"Tamamlandı",$H$7:H32,"&gt;="&amp;('Panel'!$N$5-WEEKDAY('Panel'!$N$5,2)+1),$H$7:H32,"&lt;="&amp;'Panel'!$N$5),"")</x:f>
      </x:c>
    </x:row>
    <x:row r="33" ht="22" customHeight="1">
      <x:c r="A33" s="6"/>
      <x:c r="B33" s="6"/>
      <x:c r="C33" s="6"/>
      <x:c r="D33" s="6"/>
      <x:c r="E33" s="7"/>
      <x:c r="F33" s="7"/>
      <x:c r="G33" s="6"/>
      <x:c r="H33" s="7"/>
      <x:c r="I33" s="6"/>
      <x:c r="J33" s="6"/>
      <x:c r="K33" s="6"/>
      <x:c r="L33" s="2" t="str">
        <x:f>IF(A33="","",IF(OR(E33="",F33=""),"Eksik tarih",IF(G33="Tamamlandı",IF(H33="","Eksik kapanış",MAX(0,H33-F33)),MAX(0,'Panel'!$N$5-F33))))</x:f>
      </x:c>
      <x:c r="M33" s="2" t="str">
        <x:f>IF(AND(A33&lt;&gt;"",B33='Panel'!$C$5,G33&lt;&gt;"Tamamlandı",E33&lt;='Panel'!$N$5),COUNTIFS($B$7:B33,B33,$A$7:A33,"&lt;&gt;",$G$7:G33,"&lt;&gt;Tamamlandı",$E$7:E33,"&lt;="&amp;'Panel'!$N$5),"")</x:f>
      </x:c>
      <x:c r="N33" s="2" t="str">
        <x:f>IF(AND(A33&lt;&gt;"",B33='Panel'!$C$5,G33="Tamamlandı",H33&gt;='Panel'!$N$5-WEEKDAY('Panel'!$N$5,2)+1,H33&lt;='Panel'!$N$5),COUNTIFS($B$7:B33,B33,$G$7:G33,"Tamamlandı",$H$7:H33,"&gt;="&amp;('Panel'!$N$5-WEEKDAY('Panel'!$N$5,2)+1),$H$7:H33,"&lt;="&amp;'Panel'!$N$5),"")</x:f>
      </x:c>
    </x:row>
    <x:row r="34" ht="22" customHeight="1">
      <x:c r="A34" s="6"/>
      <x:c r="B34" s="6"/>
      <x:c r="C34" s="6"/>
      <x:c r="D34" s="6"/>
      <x:c r="E34" s="7"/>
      <x:c r="F34" s="7"/>
      <x:c r="G34" s="6"/>
      <x:c r="H34" s="7"/>
      <x:c r="I34" s="6"/>
      <x:c r="J34" s="6"/>
      <x:c r="K34" s="6"/>
      <x:c r="L34" s="2" t="str">
        <x:f>IF(A34="","",IF(OR(E34="",F34=""),"Eksik tarih",IF(G34="Tamamlandı",IF(H34="","Eksik kapanış",MAX(0,H34-F34)),MAX(0,'Panel'!$N$5-F34))))</x:f>
      </x:c>
      <x:c r="M34" s="2" t="str">
        <x:f>IF(AND(A34&lt;&gt;"",B34='Panel'!$C$5,G34&lt;&gt;"Tamamlandı",E34&lt;='Panel'!$N$5),COUNTIFS($B$7:B34,B34,$A$7:A34,"&lt;&gt;",$G$7:G34,"&lt;&gt;Tamamlandı",$E$7:E34,"&lt;="&amp;'Panel'!$N$5),"")</x:f>
      </x:c>
      <x:c r="N34" s="2" t="str">
        <x:f>IF(AND(A34&lt;&gt;"",B34='Panel'!$C$5,G34="Tamamlandı",H34&gt;='Panel'!$N$5-WEEKDAY('Panel'!$N$5,2)+1,H34&lt;='Panel'!$N$5),COUNTIFS($B$7:B34,B34,$G$7:G34,"Tamamlandı",$H$7:H34,"&gt;="&amp;('Panel'!$N$5-WEEKDAY('Panel'!$N$5,2)+1),$H$7:H34,"&lt;="&amp;'Panel'!$N$5),"")</x:f>
      </x:c>
    </x:row>
    <x:row r="35" ht="22" customHeight="1">
      <x:c r="A35" s="6"/>
      <x:c r="B35" s="6"/>
      <x:c r="C35" s="6"/>
      <x:c r="D35" s="6"/>
      <x:c r="E35" s="7"/>
      <x:c r="F35" s="7"/>
      <x:c r="G35" s="6"/>
      <x:c r="H35" s="7"/>
      <x:c r="I35" s="6"/>
      <x:c r="J35" s="6"/>
      <x:c r="K35" s="6"/>
      <x:c r="L35" s="2" t="str">
        <x:f>IF(A35="","",IF(OR(E35="",F35=""),"Eksik tarih",IF(G35="Tamamlandı",IF(H35="","Eksik kapanış",MAX(0,H35-F35)),MAX(0,'Panel'!$N$5-F35))))</x:f>
      </x:c>
      <x:c r="M35" s="2" t="str">
        <x:f>IF(AND(A35&lt;&gt;"",B35='Panel'!$C$5,G35&lt;&gt;"Tamamlandı",E35&lt;='Panel'!$N$5),COUNTIFS($B$7:B35,B35,$A$7:A35,"&lt;&gt;",$G$7:G35,"&lt;&gt;Tamamlandı",$E$7:E35,"&lt;="&amp;'Panel'!$N$5),"")</x:f>
      </x:c>
      <x:c r="N35" s="2" t="str">
        <x:f>IF(AND(A35&lt;&gt;"",B35='Panel'!$C$5,G35="Tamamlandı",H35&gt;='Panel'!$N$5-WEEKDAY('Panel'!$N$5,2)+1,H35&lt;='Panel'!$N$5),COUNTIFS($B$7:B35,B35,$G$7:G35,"Tamamlandı",$H$7:H35,"&gt;="&amp;('Panel'!$N$5-WEEKDAY('Panel'!$N$5,2)+1),$H$7:H35,"&lt;="&amp;'Panel'!$N$5),"")</x:f>
      </x:c>
    </x:row>
    <x:row r="36" ht="22" customHeight="1">
      <x:c r="A36" s="6"/>
      <x:c r="B36" s="6"/>
      <x:c r="C36" s="6"/>
      <x:c r="D36" s="6"/>
      <x:c r="E36" s="7"/>
      <x:c r="F36" s="7"/>
      <x:c r="G36" s="6"/>
      <x:c r="H36" s="7"/>
      <x:c r="I36" s="6"/>
      <x:c r="J36" s="6"/>
      <x:c r="K36" s="6"/>
      <x:c r="L36" s="2" t="str">
        <x:f>IF(A36="","",IF(OR(E36="",F36=""),"Eksik tarih",IF(G36="Tamamlandı",IF(H36="","Eksik kapanış",MAX(0,H36-F36)),MAX(0,'Panel'!$N$5-F36))))</x:f>
      </x:c>
      <x:c r="M36" s="2" t="str">
        <x:f>IF(AND(A36&lt;&gt;"",B36='Panel'!$C$5,G36&lt;&gt;"Tamamlandı",E36&lt;='Panel'!$N$5),COUNTIFS($B$7:B36,B36,$A$7:A36,"&lt;&gt;",$G$7:G36,"&lt;&gt;Tamamlandı",$E$7:E36,"&lt;="&amp;'Panel'!$N$5),"")</x:f>
      </x:c>
      <x:c r="N36" s="2" t="str">
        <x:f>IF(AND(A36&lt;&gt;"",B36='Panel'!$C$5,G36="Tamamlandı",H36&gt;='Panel'!$N$5-WEEKDAY('Panel'!$N$5,2)+1,H36&lt;='Panel'!$N$5),COUNTIFS($B$7:B36,B36,$G$7:G36,"Tamamlandı",$H$7:H36,"&gt;="&amp;('Panel'!$N$5-WEEKDAY('Panel'!$N$5,2)+1),$H$7:H36,"&lt;="&amp;'Panel'!$N$5),"")</x:f>
      </x:c>
    </x:row>
    <x:row r="37" ht="22" customHeight="1">
      <x:c r="A37" s="6"/>
      <x:c r="B37" s="6"/>
      <x:c r="C37" s="6"/>
      <x:c r="D37" s="6"/>
      <x:c r="E37" s="7"/>
      <x:c r="F37" s="7"/>
      <x:c r="G37" s="6"/>
      <x:c r="H37" s="7"/>
      <x:c r="I37" s="6"/>
      <x:c r="J37" s="6"/>
      <x:c r="K37" s="6"/>
      <x:c r="L37" s="2" t="str">
        <x:f>IF(A37="","",IF(OR(E37="",F37=""),"Eksik tarih",IF(G37="Tamamlandı",IF(H37="","Eksik kapanış",MAX(0,H37-F37)),MAX(0,'Panel'!$N$5-F37))))</x:f>
      </x:c>
      <x:c r="M37" s="2" t="str">
        <x:f>IF(AND(A37&lt;&gt;"",B37='Panel'!$C$5,G37&lt;&gt;"Tamamlandı",E37&lt;='Panel'!$N$5),COUNTIFS($B$7:B37,B37,$A$7:A37,"&lt;&gt;",$G$7:G37,"&lt;&gt;Tamamlandı",$E$7:E37,"&lt;="&amp;'Panel'!$N$5),"")</x:f>
      </x:c>
      <x:c r="N37" s="2" t="str">
        <x:f>IF(AND(A37&lt;&gt;"",B37='Panel'!$C$5,G37="Tamamlandı",H37&gt;='Panel'!$N$5-WEEKDAY('Panel'!$N$5,2)+1,H37&lt;='Panel'!$N$5),COUNTIFS($B$7:B37,B37,$G$7:G37,"Tamamlandı",$H$7:H37,"&gt;="&amp;('Panel'!$N$5-WEEKDAY('Panel'!$N$5,2)+1),$H$7:H37,"&lt;="&amp;'Panel'!$N$5),"")</x:f>
      </x:c>
    </x:row>
    <x:row r="38" ht="22" customHeight="1">
      <x:c r="A38" s="6"/>
      <x:c r="B38" s="6"/>
      <x:c r="C38" s="6"/>
      <x:c r="D38" s="6"/>
      <x:c r="E38" s="7"/>
      <x:c r="F38" s="7"/>
      <x:c r="G38" s="6"/>
      <x:c r="H38" s="7"/>
      <x:c r="I38" s="6"/>
      <x:c r="J38" s="6"/>
      <x:c r="K38" s="6"/>
      <x:c r="L38" s="2" t="str">
        <x:f>IF(A38="","",IF(OR(E38="",F38=""),"Eksik tarih",IF(G38="Tamamlandı",IF(H38="","Eksik kapanış",MAX(0,H38-F38)),MAX(0,'Panel'!$N$5-F38))))</x:f>
      </x:c>
      <x:c r="M38" s="2" t="str">
        <x:f>IF(AND(A38&lt;&gt;"",B38='Panel'!$C$5,G38&lt;&gt;"Tamamlandı",E38&lt;='Panel'!$N$5),COUNTIFS($B$7:B38,B38,$A$7:A38,"&lt;&gt;",$G$7:G38,"&lt;&gt;Tamamlandı",$E$7:E38,"&lt;="&amp;'Panel'!$N$5),"")</x:f>
      </x:c>
      <x:c r="N38" s="2" t="str">
        <x:f>IF(AND(A38&lt;&gt;"",B38='Panel'!$C$5,G38="Tamamlandı",H38&gt;='Panel'!$N$5-WEEKDAY('Panel'!$N$5,2)+1,H38&lt;='Panel'!$N$5),COUNTIFS($B$7:B38,B38,$G$7:G38,"Tamamlandı",$H$7:H38,"&gt;="&amp;('Panel'!$N$5-WEEKDAY('Panel'!$N$5,2)+1),$H$7:H38,"&lt;="&amp;'Panel'!$N$5),"")</x:f>
      </x:c>
    </x:row>
    <x:row r="39" ht="22" customHeight="1">
      <x:c r="A39" s="6"/>
      <x:c r="B39" s="6"/>
      <x:c r="C39" s="6"/>
      <x:c r="D39" s="6"/>
      <x:c r="E39" s="7"/>
      <x:c r="F39" s="7"/>
      <x:c r="G39" s="6"/>
      <x:c r="H39" s="7"/>
      <x:c r="I39" s="6"/>
      <x:c r="J39" s="6"/>
      <x:c r="K39" s="6"/>
      <x:c r="L39" s="2" t="str">
        <x:f>IF(A39="","",IF(OR(E39="",F39=""),"Eksik tarih",IF(G39="Tamamlandı",IF(H39="","Eksik kapanış",MAX(0,H39-F39)),MAX(0,'Panel'!$N$5-F39))))</x:f>
      </x:c>
      <x:c r="M39" s="2" t="str">
        <x:f>IF(AND(A39&lt;&gt;"",B39='Panel'!$C$5,G39&lt;&gt;"Tamamlandı",E39&lt;='Panel'!$N$5),COUNTIFS($B$7:B39,B39,$A$7:A39,"&lt;&gt;",$G$7:G39,"&lt;&gt;Tamamlandı",$E$7:E39,"&lt;="&amp;'Panel'!$N$5),"")</x:f>
      </x:c>
      <x:c r="N39" s="2" t="str">
        <x:f>IF(AND(A39&lt;&gt;"",B39='Panel'!$C$5,G39="Tamamlandı",H39&gt;='Panel'!$N$5-WEEKDAY('Panel'!$N$5,2)+1,H39&lt;='Panel'!$N$5),COUNTIFS($B$7:B39,B39,$G$7:G39,"Tamamlandı",$H$7:H39,"&gt;="&amp;('Panel'!$N$5-WEEKDAY('Panel'!$N$5,2)+1),$H$7:H39,"&lt;="&amp;'Panel'!$N$5),"")</x:f>
      </x:c>
    </x:row>
    <x:row r="40" ht="22" customHeight="1">
      <x:c r="A40" s="6"/>
      <x:c r="B40" s="6"/>
      <x:c r="C40" s="6"/>
      <x:c r="D40" s="6"/>
      <x:c r="E40" s="7"/>
      <x:c r="F40" s="7"/>
      <x:c r="G40" s="6"/>
      <x:c r="H40" s="7"/>
      <x:c r="I40" s="6"/>
      <x:c r="J40" s="6"/>
      <x:c r="K40" s="6"/>
      <x:c r="L40" s="2" t="str">
        <x:f>IF(A40="","",IF(OR(E40="",F40=""),"Eksik tarih",IF(G40="Tamamlandı",IF(H40="","Eksik kapanış",MAX(0,H40-F40)),MAX(0,'Panel'!$N$5-F40))))</x:f>
      </x:c>
      <x:c r="M40" s="2" t="str">
        <x:f>IF(AND(A40&lt;&gt;"",B40='Panel'!$C$5,G40&lt;&gt;"Tamamlandı",E40&lt;='Panel'!$N$5),COUNTIFS($B$7:B40,B40,$A$7:A40,"&lt;&gt;",$G$7:G40,"&lt;&gt;Tamamlandı",$E$7:E40,"&lt;="&amp;'Panel'!$N$5),"")</x:f>
      </x:c>
      <x:c r="N40" s="2" t="str">
        <x:f>IF(AND(A40&lt;&gt;"",B40='Panel'!$C$5,G40="Tamamlandı",H40&gt;='Panel'!$N$5-WEEKDAY('Panel'!$N$5,2)+1,H40&lt;='Panel'!$N$5),COUNTIFS($B$7:B40,B40,$G$7:G40,"Tamamlandı",$H$7:H40,"&gt;="&amp;('Panel'!$N$5-WEEKDAY('Panel'!$N$5,2)+1),$H$7:H40,"&lt;="&amp;'Panel'!$N$5),"")</x:f>
      </x:c>
    </x:row>
    <x:row r="41" ht="22" customHeight="1">
      <x:c r="A41" s="6"/>
      <x:c r="B41" s="6"/>
      <x:c r="C41" s="6"/>
      <x:c r="D41" s="6"/>
      <x:c r="E41" s="7"/>
      <x:c r="F41" s="7"/>
      <x:c r="G41" s="6"/>
      <x:c r="H41" s="7"/>
      <x:c r="I41" s="6"/>
      <x:c r="J41" s="6"/>
      <x:c r="K41" s="6"/>
      <x:c r="L41" s="2" t="str">
        <x:f>IF(A41="","",IF(OR(E41="",F41=""),"Eksik tarih",IF(G41="Tamamlandı",IF(H41="","Eksik kapanış",MAX(0,H41-F41)),MAX(0,'Panel'!$N$5-F41))))</x:f>
      </x:c>
      <x:c r="M41" s="2" t="str">
        <x:f>IF(AND(A41&lt;&gt;"",B41='Panel'!$C$5,G41&lt;&gt;"Tamamlandı",E41&lt;='Panel'!$N$5),COUNTIFS($B$7:B41,B41,$A$7:A41,"&lt;&gt;",$G$7:G41,"&lt;&gt;Tamamlandı",$E$7:E41,"&lt;="&amp;'Panel'!$N$5),"")</x:f>
      </x:c>
      <x:c r="N41" s="2" t="str">
        <x:f>IF(AND(A41&lt;&gt;"",B41='Panel'!$C$5,G41="Tamamlandı",H41&gt;='Panel'!$N$5-WEEKDAY('Panel'!$N$5,2)+1,H41&lt;='Panel'!$N$5),COUNTIFS($B$7:B41,B41,$G$7:G41,"Tamamlandı",$H$7:H41,"&gt;="&amp;('Panel'!$N$5-WEEKDAY('Panel'!$N$5,2)+1),$H$7:H41,"&lt;="&amp;'Panel'!$N$5),"")</x:f>
      </x:c>
    </x:row>
    <x:row r="42" ht="22" customHeight="1">
      <x:c r="A42" s="6"/>
      <x:c r="B42" s="6"/>
      <x:c r="C42" s="6"/>
      <x:c r="D42" s="6"/>
      <x:c r="E42" s="7"/>
      <x:c r="F42" s="7"/>
      <x:c r="G42" s="6"/>
      <x:c r="H42" s="7"/>
      <x:c r="I42" s="6"/>
      <x:c r="J42" s="6"/>
      <x:c r="K42" s="6"/>
      <x:c r="L42" s="2" t="str">
        <x:f>IF(A42="","",IF(OR(E42="",F42=""),"Eksik tarih",IF(G42="Tamamlandı",IF(H42="","Eksik kapanış",MAX(0,H42-F42)),MAX(0,'Panel'!$N$5-F42))))</x:f>
      </x:c>
      <x:c r="M42" s="2" t="str">
        <x:f>IF(AND(A42&lt;&gt;"",B42='Panel'!$C$5,G42&lt;&gt;"Tamamlandı",E42&lt;='Panel'!$N$5),COUNTIFS($B$7:B42,B42,$A$7:A42,"&lt;&gt;",$G$7:G42,"&lt;&gt;Tamamlandı",$E$7:E42,"&lt;="&amp;'Panel'!$N$5),"")</x:f>
      </x:c>
      <x:c r="N42" s="2" t="str">
        <x:f>IF(AND(A42&lt;&gt;"",B42='Panel'!$C$5,G42="Tamamlandı",H42&gt;='Panel'!$N$5-WEEKDAY('Panel'!$N$5,2)+1,H42&lt;='Panel'!$N$5),COUNTIFS($B$7:B42,B42,$G$7:G42,"Tamamlandı",$H$7:H42,"&gt;="&amp;('Panel'!$N$5-WEEKDAY('Panel'!$N$5,2)+1),$H$7:H42,"&lt;="&amp;'Panel'!$N$5),"")</x:f>
      </x:c>
    </x:row>
    <x:row r="43" ht="22" customHeight="1">
      <x:c r="A43" s="6"/>
      <x:c r="B43" s="6"/>
      <x:c r="C43" s="6"/>
      <x:c r="D43" s="6"/>
      <x:c r="E43" s="7"/>
      <x:c r="F43" s="7"/>
      <x:c r="G43" s="6"/>
      <x:c r="H43" s="7"/>
      <x:c r="I43" s="6"/>
      <x:c r="J43" s="6"/>
      <x:c r="K43" s="6"/>
      <x:c r="L43" s="2" t="str">
        <x:f>IF(A43="","",IF(OR(E43="",F43=""),"Eksik tarih",IF(G43="Tamamlandı",IF(H43="","Eksik kapanış",MAX(0,H43-F43)),MAX(0,'Panel'!$N$5-F43))))</x:f>
      </x:c>
      <x:c r="M43" s="2" t="str">
        <x:f>IF(AND(A43&lt;&gt;"",B43='Panel'!$C$5,G43&lt;&gt;"Tamamlandı",E43&lt;='Panel'!$N$5),COUNTIFS($B$7:B43,B43,$A$7:A43,"&lt;&gt;",$G$7:G43,"&lt;&gt;Tamamlandı",$E$7:E43,"&lt;="&amp;'Panel'!$N$5),"")</x:f>
      </x:c>
      <x:c r="N43" s="2" t="str">
        <x:f>IF(AND(A43&lt;&gt;"",B43='Panel'!$C$5,G43="Tamamlandı",H43&gt;='Panel'!$N$5-WEEKDAY('Panel'!$N$5,2)+1,H43&lt;='Panel'!$N$5),COUNTIFS($B$7:B43,B43,$G$7:G43,"Tamamlandı",$H$7:H43,"&gt;="&amp;('Panel'!$N$5-WEEKDAY('Panel'!$N$5,2)+1),$H$7:H43,"&lt;="&amp;'Panel'!$N$5),"")</x:f>
      </x:c>
    </x:row>
    <x:row r="44" ht="22" customHeight="1">
      <x:c r="A44" s="6"/>
      <x:c r="B44" s="6"/>
      <x:c r="C44" s="6"/>
      <x:c r="D44" s="6"/>
      <x:c r="E44" s="7"/>
      <x:c r="F44" s="7"/>
      <x:c r="G44" s="6"/>
      <x:c r="H44" s="7"/>
      <x:c r="I44" s="6"/>
      <x:c r="J44" s="6"/>
      <x:c r="K44" s="6"/>
      <x:c r="L44" s="2" t="str">
        <x:f>IF(A44="","",IF(OR(E44="",F44=""),"Eksik tarih",IF(G44="Tamamlandı",IF(H44="","Eksik kapanış",MAX(0,H44-F44)),MAX(0,'Panel'!$N$5-F44))))</x:f>
      </x:c>
      <x:c r="M44" s="2" t="str">
        <x:f>IF(AND(A44&lt;&gt;"",B44='Panel'!$C$5,G44&lt;&gt;"Tamamlandı",E44&lt;='Panel'!$N$5),COUNTIFS($B$7:B44,B44,$A$7:A44,"&lt;&gt;",$G$7:G44,"&lt;&gt;Tamamlandı",$E$7:E44,"&lt;="&amp;'Panel'!$N$5),"")</x:f>
      </x:c>
      <x:c r="N44" s="2" t="str">
        <x:f>IF(AND(A44&lt;&gt;"",B44='Panel'!$C$5,G44="Tamamlandı",H44&gt;='Panel'!$N$5-WEEKDAY('Panel'!$N$5,2)+1,H44&lt;='Panel'!$N$5),COUNTIFS($B$7:B44,B44,$G$7:G44,"Tamamlandı",$H$7:H44,"&gt;="&amp;('Panel'!$N$5-WEEKDAY('Panel'!$N$5,2)+1),$H$7:H44,"&lt;="&amp;'Panel'!$N$5),"")</x:f>
      </x:c>
    </x:row>
    <x:row r="45" ht="22" customHeight="1">
      <x:c r="A45" s="6"/>
      <x:c r="B45" s="6"/>
      <x:c r="C45" s="6"/>
      <x:c r="D45" s="6"/>
      <x:c r="E45" s="7"/>
      <x:c r="F45" s="7"/>
      <x:c r="G45" s="6"/>
      <x:c r="H45" s="7"/>
      <x:c r="I45" s="6"/>
      <x:c r="J45" s="6"/>
      <x:c r="K45" s="6"/>
      <x:c r="L45" s="2" t="str">
        <x:f>IF(A45="","",IF(OR(E45="",F45=""),"Eksik tarih",IF(G45="Tamamlandı",IF(H45="","Eksik kapanış",MAX(0,H45-F45)),MAX(0,'Panel'!$N$5-F45))))</x:f>
      </x:c>
      <x:c r="M45" s="2" t="str">
        <x:f>IF(AND(A45&lt;&gt;"",B45='Panel'!$C$5,G45&lt;&gt;"Tamamlandı",E45&lt;='Panel'!$N$5),COUNTIFS($B$7:B45,B45,$A$7:A45,"&lt;&gt;",$G$7:G45,"&lt;&gt;Tamamlandı",$E$7:E45,"&lt;="&amp;'Panel'!$N$5),"")</x:f>
      </x:c>
      <x:c r="N45" s="2" t="str">
        <x:f>IF(AND(A45&lt;&gt;"",B45='Panel'!$C$5,G45="Tamamlandı",H45&gt;='Panel'!$N$5-WEEKDAY('Panel'!$N$5,2)+1,H45&lt;='Panel'!$N$5),COUNTIFS($B$7:B45,B45,$G$7:G45,"Tamamlandı",$H$7:H45,"&gt;="&amp;('Panel'!$N$5-WEEKDAY('Panel'!$N$5,2)+1),$H$7:H45,"&lt;="&amp;'Panel'!$N$5),"")</x:f>
      </x:c>
    </x:row>
    <x:row r="46" ht="22" customHeight="1">
      <x:c r="A46" s="6"/>
      <x:c r="B46" s="6"/>
      <x:c r="C46" s="6"/>
      <x:c r="D46" s="6"/>
      <x:c r="E46" s="7"/>
      <x:c r="F46" s="7"/>
      <x:c r="G46" s="6"/>
      <x:c r="H46" s="7"/>
      <x:c r="I46" s="6"/>
      <x:c r="J46" s="6"/>
      <x:c r="K46" s="6"/>
      <x:c r="L46" s="2" t="str">
        <x:f>IF(A46="","",IF(OR(E46="",F46=""),"Eksik tarih",IF(G46="Tamamlandı",IF(H46="","Eksik kapanış",MAX(0,H46-F46)),MAX(0,'Panel'!$N$5-F46))))</x:f>
      </x:c>
      <x:c r="M46" s="2" t="str">
        <x:f>IF(AND(A46&lt;&gt;"",B46='Panel'!$C$5,G46&lt;&gt;"Tamamlandı",E46&lt;='Panel'!$N$5),COUNTIFS($B$7:B46,B46,$A$7:A46,"&lt;&gt;",$G$7:G46,"&lt;&gt;Tamamlandı",$E$7:E46,"&lt;="&amp;'Panel'!$N$5),"")</x:f>
      </x:c>
      <x:c r="N46" s="2" t="str">
        <x:f>IF(AND(A46&lt;&gt;"",B46='Panel'!$C$5,G46="Tamamlandı",H46&gt;='Panel'!$N$5-WEEKDAY('Panel'!$N$5,2)+1,H46&lt;='Panel'!$N$5),COUNTIFS($B$7:B46,B46,$G$7:G46,"Tamamlandı",$H$7:H46,"&gt;="&amp;('Panel'!$N$5-WEEKDAY('Panel'!$N$5,2)+1),$H$7:H46,"&lt;="&amp;'Panel'!$N$5),"")</x:f>
      </x:c>
    </x:row>
    <x:row r="47" ht="22" customHeight="1">
      <x:c r="A47" s="6"/>
      <x:c r="B47" s="6"/>
      <x:c r="C47" s="6"/>
      <x:c r="D47" s="6"/>
      <x:c r="E47" s="7"/>
      <x:c r="F47" s="7"/>
      <x:c r="G47" s="6"/>
      <x:c r="H47" s="7"/>
      <x:c r="I47" s="6"/>
      <x:c r="J47" s="6"/>
      <x:c r="K47" s="6"/>
      <x:c r="L47" s="2" t="str">
        <x:f>IF(A47="","",IF(OR(E47="",F47=""),"Eksik tarih",IF(G47="Tamamlandı",IF(H47="","Eksik kapanış",MAX(0,H47-F47)),MAX(0,'Panel'!$N$5-F47))))</x:f>
      </x:c>
      <x:c r="M47" s="2" t="str">
        <x:f>IF(AND(A47&lt;&gt;"",B47='Panel'!$C$5,G47&lt;&gt;"Tamamlandı",E47&lt;='Panel'!$N$5),COUNTIFS($B$7:B47,B47,$A$7:A47,"&lt;&gt;",$G$7:G47,"&lt;&gt;Tamamlandı",$E$7:E47,"&lt;="&amp;'Panel'!$N$5),"")</x:f>
      </x:c>
      <x:c r="N47" s="2" t="str">
        <x:f>IF(AND(A47&lt;&gt;"",B47='Panel'!$C$5,G47="Tamamlandı",H47&gt;='Panel'!$N$5-WEEKDAY('Panel'!$N$5,2)+1,H47&lt;='Panel'!$N$5),COUNTIFS($B$7:B47,B47,$G$7:G47,"Tamamlandı",$H$7:H47,"&gt;="&amp;('Panel'!$N$5-WEEKDAY('Panel'!$N$5,2)+1),$H$7:H47,"&lt;="&amp;'Panel'!$N$5),"")</x:f>
      </x:c>
    </x:row>
    <x:row r="48" ht="22" customHeight="1">
      <x:c r="A48" s="6"/>
      <x:c r="B48" s="6"/>
      <x:c r="C48" s="6"/>
      <x:c r="D48" s="6"/>
      <x:c r="E48" s="7"/>
      <x:c r="F48" s="7"/>
      <x:c r="G48" s="6"/>
      <x:c r="H48" s="7"/>
      <x:c r="I48" s="6"/>
      <x:c r="J48" s="6"/>
      <x:c r="K48" s="6"/>
      <x:c r="L48" s="2" t="str">
        <x:f>IF(A48="","",IF(OR(E48="",F48=""),"Eksik tarih",IF(G48="Tamamlandı",IF(H48="","Eksik kapanış",MAX(0,H48-F48)),MAX(0,'Panel'!$N$5-F48))))</x:f>
      </x:c>
      <x:c r="M48" s="2" t="str">
        <x:f>IF(AND(A48&lt;&gt;"",B48='Panel'!$C$5,G48&lt;&gt;"Tamamlandı",E48&lt;='Panel'!$N$5),COUNTIFS($B$7:B48,B48,$A$7:A48,"&lt;&gt;",$G$7:G48,"&lt;&gt;Tamamlandı",$E$7:E48,"&lt;="&amp;'Panel'!$N$5),"")</x:f>
      </x:c>
      <x:c r="N48" s="2" t="str">
        <x:f>IF(AND(A48&lt;&gt;"",B48='Panel'!$C$5,G48="Tamamlandı",H48&gt;='Panel'!$N$5-WEEKDAY('Panel'!$N$5,2)+1,H48&lt;='Panel'!$N$5),COUNTIFS($B$7:B48,B48,$G$7:G48,"Tamamlandı",$H$7:H48,"&gt;="&amp;('Panel'!$N$5-WEEKDAY('Panel'!$N$5,2)+1),$H$7:H48,"&lt;="&amp;'Panel'!$N$5),"")</x:f>
      </x:c>
    </x:row>
    <x:row r="49" ht="22" customHeight="1">
      <x:c r="A49" s="6"/>
      <x:c r="B49" s="6"/>
      <x:c r="C49" s="6"/>
      <x:c r="D49" s="6"/>
      <x:c r="E49" s="7"/>
      <x:c r="F49" s="7"/>
      <x:c r="G49" s="6"/>
      <x:c r="H49" s="7"/>
      <x:c r="I49" s="6"/>
      <x:c r="J49" s="6"/>
      <x:c r="K49" s="6"/>
      <x:c r="L49" s="2" t="str">
        <x:f>IF(A49="","",IF(OR(E49="",F49=""),"Eksik tarih",IF(G49="Tamamlandı",IF(H49="","Eksik kapanış",MAX(0,H49-F49)),MAX(0,'Panel'!$N$5-F49))))</x:f>
      </x:c>
      <x:c r="M49" s="2" t="str">
        <x:f>IF(AND(A49&lt;&gt;"",B49='Panel'!$C$5,G49&lt;&gt;"Tamamlandı",E49&lt;='Panel'!$N$5),COUNTIFS($B$7:B49,B49,$A$7:A49,"&lt;&gt;",$G$7:G49,"&lt;&gt;Tamamlandı",$E$7:E49,"&lt;="&amp;'Panel'!$N$5),"")</x:f>
      </x:c>
      <x:c r="N49" s="2" t="str">
        <x:f>IF(AND(A49&lt;&gt;"",B49='Panel'!$C$5,G49="Tamamlandı",H49&gt;='Panel'!$N$5-WEEKDAY('Panel'!$N$5,2)+1,H49&lt;='Panel'!$N$5),COUNTIFS($B$7:B49,B49,$G$7:G49,"Tamamlandı",$H$7:H49,"&gt;="&amp;('Panel'!$N$5-WEEKDAY('Panel'!$N$5,2)+1),$H$7:H49,"&lt;="&amp;'Panel'!$N$5),"")</x:f>
      </x:c>
    </x:row>
    <x:row r="50" ht="22" customHeight="1">
      <x:c r="A50" s="6"/>
      <x:c r="B50" s="6"/>
      <x:c r="C50" s="6"/>
      <x:c r="D50" s="6"/>
      <x:c r="E50" s="7"/>
      <x:c r="F50" s="7"/>
      <x:c r="G50" s="6"/>
      <x:c r="H50" s="7"/>
      <x:c r="I50" s="6"/>
      <x:c r="J50" s="6"/>
      <x:c r="K50" s="6"/>
      <x:c r="L50" s="2" t="str">
        <x:f>IF(A50="","",IF(OR(E50="",F50=""),"Eksik tarih",IF(G50="Tamamlandı",IF(H50="","Eksik kapanış",MAX(0,H50-F50)),MAX(0,'Panel'!$N$5-F50))))</x:f>
      </x:c>
      <x:c r="M50" s="2" t="str">
        <x:f>IF(AND(A50&lt;&gt;"",B50='Panel'!$C$5,G50&lt;&gt;"Tamamlandı",E50&lt;='Panel'!$N$5),COUNTIFS($B$7:B50,B50,$A$7:A50,"&lt;&gt;",$G$7:G50,"&lt;&gt;Tamamlandı",$E$7:E50,"&lt;="&amp;'Panel'!$N$5),"")</x:f>
      </x:c>
      <x:c r="N50" s="2" t="str">
        <x:f>IF(AND(A50&lt;&gt;"",B50='Panel'!$C$5,G50="Tamamlandı",H50&gt;='Panel'!$N$5-WEEKDAY('Panel'!$N$5,2)+1,H50&lt;='Panel'!$N$5),COUNTIFS($B$7:B50,B50,$G$7:G50,"Tamamlandı",$H$7:H50,"&gt;="&amp;('Panel'!$N$5-WEEKDAY('Panel'!$N$5,2)+1),$H$7:H50,"&lt;="&amp;'Panel'!$N$5),"")</x:f>
      </x:c>
    </x:row>
    <x:row r="51" ht="22" customHeight="1">
      <x:c r="A51" s="6"/>
      <x:c r="B51" s="6"/>
      <x:c r="C51" s="6"/>
      <x:c r="D51" s="6"/>
      <x:c r="E51" s="7"/>
      <x:c r="F51" s="7"/>
      <x:c r="G51" s="6"/>
      <x:c r="H51" s="7"/>
      <x:c r="I51" s="6"/>
      <x:c r="J51" s="6"/>
      <x:c r="K51" s="6"/>
      <x:c r="L51" s="2" t="str">
        <x:f>IF(A51="","",IF(OR(E51="",F51=""),"Eksik tarih",IF(G51="Tamamlandı",IF(H51="","Eksik kapanış",MAX(0,H51-F51)),MAX(0,'Panel'!$N$5-F51))))</x:f>
      </x:c>
      <x:c r="M51" s="2" t="str">
        <x:f>IF(AND(A51&lt;&gt;"",B51='Panel'!$C$5,G51&lt;&gt;"Tamamlandı",E51&lt;='Panel'!$N$5),COUNTIFS($B$7:B51,B51,$A$7:A51,"&lt;&gt;",$G$7:G51,"&lt;&gt;Tamamlandı",$E$7:E51,"&lt;="&amp;'Panel'!$N$5),"")</x:f>
      </x:c>
      <x:c r="N51" s="2" t="str">
        <x:f>IF(AND(A51&lt;&gt;"",B51='Panel'!$C$5,G51="Tamamlandı",H51&gt;='Panel'!$N$5-WEEKDAY('Panel'!$N$5,2)+1,H51&lt;='Panel'!$N$5),COUNTIFS($B$7:B51,B51,$G$7:G51,"Tamamlandı",$H$7:H51,"&gt;="&amp;('Panel'!$N$5-WEEKDAY('Panel'!$N$5,2)+1),$H$7:H51,"&lt;="&amp;'Panel'!$N$5),"")</x:f>
      </x:c>
    </x:row>
    <x:row r="52" ht="22" customHeight="1">
      <x:c r="A52" s="6"/>
      <x:c r="B52" s="6"/>
      <x:c r="C52" s="6"/>
      <x:c r="D52" s="6"/>
      <x:c r="E52" s="7"/>
      <x:c r="F52" s="7"/>
      <x:c r="G52" s="6"/>
      <x:c r="H52" s="7"/>
      <x:c r="I52" s="6"/>
      <x:c r="J52" s="6"/>
      <x:c r="K52" s="6"/>
      <x:c r="L52" s="2" t="str">
        <x:f>IF(A52="","",IF(OR(E52="",F52=""),"Eksik tarih",IF(G52="Tamamlandı",IF(H52="","Eksik kapanış",MAX(0,H52-F52)),MAX(0,'Panel'!$N$5-F52))))</x:f>
      </x:c>
      <x:c r="M52" s="2" t="str">
        <x:f>IF(AND(A52&lt;&gt;"",B52='Panel'!$C$5,G52&lt;&gt;"Tamamlandı",E52&lt;='Panel'!$N$5),COUNTIFS($B$7:B52,B52,$A$7:A52,"&lt;&gt;",$G$7:G52,"&lt;&gt;Tamamlandı",$E$7:E52,"&lt;="&amp;'Panel'!$N$5),"")</x:f>
      </x:c>
      <x:c r="N52" s="2" t="str">
        <x:f>IF(AND(A52&lt;&gt;"",B52='Panel'!$C$5,G52="Tamamlandı",H52&gt;='Panel'!$N$5-WEEKDAY('Panel'!$N$5,2)+1,H52&lt;='Panel'!$N$5),COUNTIFS($B$7:B52,B52,$G$7:G52,"Tamamlandı",$H$7:H52,"&gt;="&amp;('Panel'!$N$5-WEEKDAY('Panel'!$N$5,2)+1),$H$7:H52,"&lt;="&amp;'Panel'!$N$5),"")</x:f>
      </x:c>
    </x:row>
    <x:row r="53" ht="22" customHeight="1">
      <x:c r="A53" s="6"/>
      <x:c r="B53" s="6"/>
      <x:c r="C53" s="6"/>
      <x:c r="D53" s="6"/>
      <x:c r="E53" s="7"/>
      <x:c r="F53" s="7"/>
      <x:c r="G53" s="6"/>
      <x:c r="H53" s="7"/>
      <x:c r="I53" s="6"/>
      <x:c r="J53" s="6"/>
      <x:c r="K53" s="6"/>
      <x:c r="L53" s="2" t="str">
        <x:f>IF(A53="","",IF(OR(E53="",F53=""),"Eksik tarih",IF(G53="Tamamlandı",IF(H53="","Eksik kapanış",MAX(0,H53-F53)),MAX(0,'Panel'!$N$5-F53))))</x:f>
      </x:c>
      <x:c r="M53" s="2" t="str">
        <x:f>IF(AND(A53&lt;&gt;"",B53='Panel'!$C$5,G53&lt;&gt;"Tamamlandı",E53&lt;='Panel'!$N$5),COUNTIFS($B$7:B53,B53,$A$7:A53,"&lt;&gt;",$G$7:G53,"&lt;&gt;Tamamlandı",$E$7:E53,"&lt;="&amp;'Panel'!$N$5),"")</x:f>
      </x:c>
      <x:c r="N53" s="2" t="str">
        <x:f>IF(AND(A53&lt;&gt;"",B53='Panel'!$C$5,G53="Tamamlandı",H53&gt;='Panel'!$N$5-WEEKDAY('Panel'!$N$5,2)+1,H53&lt;='Panel'!$N$5),COUNTIFS($B$7:B53,B53,$G$7:G53,"Tamamlandı",$H$7:H53,"&gt;="&amp;('Panel'!$N$5-WEEKDAY('Panel'!$N$5,2)+1),$H$7:H53,"&lt;="&amp;'Panel'!$N$5),"")</x:f>
      </x:c>
    </x:row>
    <x:row r="54" ht="22" customHeight="1">
      <x:c r="A54" s="6"/>
      <x:c r="B54" s="6"/>
      <x:c r="C54" s="6"/>
      <x:c r="D54" s="6"/>
      <x:c r="E54" s="7"/>
      <x:c r="F54" s="7"/>
      <x:c r="G54" s="6"/>
      <x:c r="H54" s="7"/>
      <x:c r="I54" s="6"/>
      <x:c r="J54" s="6"/>
      <x:c r="K54" s="6"/>
      <x:c r="L54" s="2" t="str">
        <x:f>IF(A54="","",IF(OR(E54="",F54=""),"Eksik tarih",IF(G54="Tamamlandı",IF(H54="","Eksik kapanış",MAX(0,H54-F54)),MAX(0,'Panel'!$N$5-F54))))</x:f>
      </x:c>
      <x:c r="M54" s="2" t="str">
        <x:f>IF(AND(A54&lt;&gt;"",B54='Panel'!$C$5,G54&lt;&gt;"Tamamlandı",E54&lt;='Panel'!$N$5),COUNTIFS($B$7:B54,B54,$A$7:A54,"&lt;&gt;",$G$7:G54,"&lt;&gt;Tamamlandı",$E$7:E54,"&lt;="&amp;'Panel'!$N$5),"")</x:f>
      </x:c>
      <x:c r="N54" s="2" t="str">
        <x:f>IF(AND(A54&lt;&gt;"",B54='Panel'!$C$5,G54="Tamamlandı",H54&gt;='Panel'!$N$5-WEEKDAY('Panel'!$N$5,2)+1,H54&lt;='Panel'!$N$5),COUNTIFS($B$7:B54,B54,$G$7:G54,"Tamamlandı",$H$7:H54,"&gt;="&amp;('Panel'!$N$5-WEEKDAY('Panel'!$N$5,2)+1),$H$7:H54,"&lt;="&amp;'Panel'!$N$5),"")</x:f>
      </x:c>
    </x:row>
    <x:row r="55" ht="22" customHeight="1">
      <x:c r="A55" s="6"/>
      <x:c r="B55" s="6"/>
      <x:c r="C55" s="6"/>
      <x:c r="D55" s="6"/>
      <x:c r="E55" s="7"/>
      <x:c r="F55" s="7"/>
      <x:c r="G55" s="6"/>
      <x:c r="H55" s="7"/>
      <x:c r="I55" s="6"/>
      <x:c r="J55" s="6"/>
      <x:c r="K55" s="6"/>
      <x:c r="L55" s="2" t="str">
        <x:f>IF(A55="","",IF(OR(E55="",F55=""),"Eksik tarih",IF(G55="Tamamlandı",IF(H55="","Eksik kapanış",MAX(0,H55-F55)),MAX(0,'Panel'!$N$5-F55))))</x:f>
      </x:c>
      <x:c r="M55" s="2" t="str">
        <x:f>IF(AND(A55&lt;&gt;"",B55='Panel'!$C$5,G55&lt;&gt;"Tamamlandı",E55&lt;='Panel'!$N$5),COUNTIFS($B$7:B55,B55,$A$7:A55,"&lt;&gt;",$G$7:G55,"&lt;&gt;Tamamlandı",$E$7:E55,"&lt;="&amp;'Panel'!$N$5),"")</x:f>
      </x:c>
      <x:c r="N55" s="2" t="str">
        <x:f>IF(AND(A55&lt;&gt;"",B55='Panel'!$C$5,G55="Tamamlandı",H55&gt;='Panel'!$N$5-WEEKDAY('Panel'!$N$5,2)+1,H55&lt;='Panel'!$N$5),COUNTIFS($B$7:B55,B55,$G$7:G55,"Tamamlandı",$H$7:H55,"&gt;="&amp;('Panel'!$N$5-WEEKDAY('Panel'!$N$5,2)+1),$H$7:H55,"&lt;="&amp;'Panel'!$N$5),"")</x:f>
      </x:c>
    </x:row>
    <x:row r="56" ht="22" customHeight="1">
      <x:c r="A56" s="6"/>
      <x:c r="B56" s="6"/>
      <x:c r="C56" s="6"/>
      <x:c r="D56" s="6"/>
      <x:c r="E56" s="7"/>
      <x:c r="F56" s="7"/>
      <x:c r="G56" s="6"/>
      <x:c r="H56" s="7"/>
      <x:c r="I56" s="6"/>
      <x:c r="J56" s="6"/>
      <x:c r="K56" s="6"/>
      <x:c r="L56" s="2" t="str">
        <x:f>IF(A56="","",IF(OR(E56="",F56=""),"Eksik tarih",IF(G56="Tamamlandı",IF(H56="","Eksik kapanış",MAX(0,H56-F56)),MAX(0,'Panel'!$N$5-F56))))</x:f>
      </x:c>
      <x:c r="M56" s="2" t="str">
        <x:f>IF(AND(A56&lt;&gt;"",B56='Panel'!$C$5,G56&lt;&gt;"Tamamlandı",E56&lt;='Panel'!$N$5),COUNTIFS($B$7:B56,B56,$A$7:A56,"&lt;&gt;",$G$7:G56,"&lt;&gt;Tamamlandı",$E$7:E56,"&lt;="&amp;'Panel'!$N$5),"")</x:f>
      </x:c>
      <x:c r="N56" s="2" t="str">
        <x:f>IF(AND(A56&lt;&gt;"",B56='Panel'!$C$5,G56="Tamamlandı",H56&gt;='Panel'!$N$5-WEEKDAY('Panel'!$N$5,2)+1,H56&lt;='Panel'!$N$5),COUNTIFS($B$7:B56,B56,$G$7:G56,"Tamamlandı",$H$7:H56,"&gt;="&amp;('Panel'!$N$5-WEEKDAY('Panel'!$N$5,2)+1),$H$7:H56,"&lt;="&amp;'Panel'!$N$5),"")</x:f>
      </x:c>
    </x:row>
    <x:row r="57" ht="22" customHeight="1">
      <x:c r="A57" s="6"/>
      <x:c r="B57" s="6"/>
      <x:c r="C57" s="6"/>
      <x:c r="D57" s="6"/>
      <x:c r="E57" s="7"/>
      <x:c r="F57" s="7"/>
      <x:c r="G57" s="6"/>
      <x:c r="H57" s="7"/>
      <x:c r="I57" s="6"/>
      <x:c r="J57" s="6"/>
      <x:c r="K57" s="6"/>
      <x:c r="L57" s="2" t="str">
        <x:f>IF(A57="","",IF(OR(E57="",F57=""),"Eksik tarih",IF(G57="Tamamlandı",IF(H57="","Eksik kapanış",MAX(0,H57-F57)),MAX(0,'Panel'!$N$5-F57))))</x:f>
      </x:c>
      <x:c r="M57" s="2" t="str">
        <x:f>IF(AND(A57&lt;&gt;"",B57='Panel'!$C$5,G57&lt;&gt;"Tamamlandı",E57&lt;='Panel'!$N$5),COUNTIFS($B$7:B57,B57,$A$7:A57,"&lt;&gt;",$G$7:G57,"&lt;&gt;Tamamlandı",$E$7:E57,"&lt;="&amp;'Panel'!$N$5),"")</x:f>
      </x:c>
      <x:c r="N57" s="2" t="str">
        <x:f>IF(AND(A57&lt;&gt;"",B57='Panel'!$C$5,G57="Tamamlandı",H57&gt;='Panel'!$N$5-WEEKDAY('Panel'!$N$5,2)+1,H57&lt;='Panel'!$N$5),COUNTIFS($B$7:B57,B57,$G$7:G57,"Tamamlandı",$H$7:H57,"&gt;="&amp;('Panel'!$N$5-WEEKDAY('Panel'!$N$5,2)+1),$H$7:H57,"&lt;="&amp;'Panel'!$N$5),"")</x:f>
      </x:c>
    </x:row>
    <x:row r="58" ht="22" customHeight="1">
      <x:c r="A58" s="6"/>
      <x:c r="B58" s="6"/>
      <x:c r="C58" s="6"/>
      <x:c r="D58" s="6"/>
      <x:c r="E58" s="7"/>
      <x:c r="F58" s="7"/>
      <x:c r="G58" s="6"/>
      <x:c r="H58" s="7"/>
      <x:c r="I58" s="6"/>
      <x:c r="J58" s="6"/>
      <x:c r="K58" s="6"/>
      <x:c r="L58" s="2" t="str">
        <x:f>IF(A58="","",IF(OR(E58="",F58=""),"Eksik tarih",IF(G58="Tamamlandı",IF(H58="","Eksik kapanış",MAX(0,H58-F58)),MAX(0,'Panel'!$N$5-F58))))</x:f>
      </x:c>
      <x:c r="M58" s="2" t="str">
        <x:f>IF(AND(A58&lt;&gt;"",B58='Panel'!$C$5,G58&lt;&gt;"Tamamlandı",E58&lt;='Panel'!$N$5),COUNTIFS($B$7:B58,B58,$A$7:A58,"&lt;&gt;",$G$7:G58,"&lt;&gt;Tamamlandı",$E$7:E58,"&lt;="&amp;'Panel'!$N$5),"")</x:f>
      </x:c>
      <x:c r="N58" s="2" t="str">
        <x:f>IF(AND(A58&lt;&gt;"",B58='Panel'!$C$5,G58="Tamamlandı",H58&gt;='Panel'!$N$5-WEEKDAY('Panel'!$N$5,2)+1,H58&lt;='Panel'!$N$5),COUNTIFS($B$7:B58,B58,$G$7:G58,"Tamamlandı",$H$7:H58,"&gt;="&amp;('Panel'!$N$5-WEEKDAY('Panel'!$N$5,2)+1),$H$7:H58,"&lt;="&amp;'Panel'!$N$5),"")</x:f>
      </x:c>
    </x:row>
    <x:row r="59" ht="22" customHeight="1">
      <x:c r="A59" s="6"/>
      <x:c r="B59" s="6"/>
      <x:c r="C59" s="6"/>
      <x:c r="D59" s="6"/>
      <x:c r="E59" s="7"/>
      <x:c r="F59" s="7"/>
      <x:c r="G59" s="6"/>
      <x:c r="H59" s="7"/>
      <x:c r="I59" s="6"/>
      <x:c r="J59" s="6"/>
      <x:c r="K59" s="6"/>
      <x:c r="L59" s="2" t="str">
        <x:f>IF(A59="","",IF(OR(E59="",F59=""),"Eksik tarih",IF(G59="Tamamlandı",IF(H59="","Eksik kapanış",MAX(0,H59-F59)),MAX(0,'Panel'!$N$5-F59))))</x:f>
      </x:c>
      <x:c r="M59" s="2" t="str">
        <x:f>IF(AND(A59&lt;&gt;"",B59='Panel'!$C$5,G59&lt;&gt;"Tamamlandı",E59&lt;='Panel'!$N$5),COUNTIFS($B$7:B59,B59,$A$7:A59,"&lt;&gt;",$G$7:G59,"&lt;&gt;Tamamlandı",$E$7:E59,"&lt;="&amp;'Panel'!$N$5),"")</x:f>
      </x:c>
      <x:c r="N59" s="2" t="str">
        <x:f>IF(AND(A59&lt;&gt;"",B59='Panel'!$C$5,G59="Tamamlandı",H59&gt;='Panel'!$N$5-WEEKDAY('Panel'!$N$5,2)+1,H59&lt;='Panel'!$N$5),COUNTIFS($B$7:B59,B59,$G$7:G59,"Tamamlandı",$H$7:H59,"&gt;="&amp;('Panel'!$N$5-WEEKDAY('Panel'!$N$5,2)+1),$H$7:H59,"&lt;="&amp;'Panel'!$N$5),"")</x:f>
      </x:c>
    </x:row>
    <x:row r="60" ht="22" customHeight="1">
      <x:c r="A60" s="6"/>
      <x:c r="B60" s="6"/>
      <x:c r="C60" s="6"/>
      <x:c r="D60" s="6"/>
      <x:c r="E60" s="7"/>
      <x:c r="F60" s="7"/>
      <x:c r="G60" s="6"/>
      <x:c r="H60" s="7"/>
      <x:c r="I60" s="6"/>
      <x:c r="J60" s="6"/>
      <x:c r="K60" s="6"/>
      <x:c r="L60" s="2" t="str">
        <x:f>IF(A60="","",IF(OR(E60="",F60=""),"Eksik tarih",IF(G60="Tamamlandı",IF(H60="","Eksik kapanış",MAX(0,H60-F60)),MAX(0,'Panel'!$N$5-F60))))</x:f>
      </x:c>
      <x:c r="M60" s="2" t="str">
        <x:f>IF(AND(A60&lt;&gt;"",B60='Panel'!$C$5,G60&lt;&gt;"Tamamlandı",E60&lt;='Panel'!$N$5),COUNTIFS($B$7:B60,B60,$A$7:A60,"&lt;&gt;",$G$7:G60,"&lt;&gt;Tamamlandı",$E$7:E60,"&lt;="&amp;'Panel'!$N$5),"")</x:f>
      </x:c>
      <x:c r="N60" s="2" t="str">
        <x:f>IF(AND(A60&lt;&gt;"",B60='Panel'!$C$5,G60="Tamamlandı",H60&gt;='Panel'!$N$5-WEEKDAY('Panel'!$N$5,2)+1,H60&lt;='Panel'!$N$5),COUNTIFS($B$7:B60,B60,$G$7:G60,"Tamamlandı",$H$7:H60,"&gt;="&amp;('Panel'!$N$5-WEEKDAY('Panel'!$N$5,2)+1),$H$7:H60,"&lt;="&amp;'Panel'!$N$5),"")</x:f>
      </x:c>
    </x:row>
    <x:row r="61" ht="22" customHeight="1">
      <x:c r="A61" s="6"/>
      <x:c r="B61" s="6"/>
      <x:c r="C61" s="6"/>
      <x:c r="D61" s="6"/>
      <x:c r="E61" s="7"/>
      <x:c r="F61" s="7"/>
      <x:c r="G61" s="6"/>
      <x:c r="H61" s="7"/>
      <x:c r="I61" s="6"/>
      <x:c r="J61" s="6"/>
      <x:c r="K61" s="6"/>
      <x:c r="L61" s="2" t="str">
        <x:f>IF(A61="","",IF(OR(E61="",F61=""),"Eksik tarih",IF(G61="Tamamlandı",IF(H61="","Eksik kapanış",MAX(0,H61-F61)),MAX(0,'Panel'!$N$5-F61))))</x:f>
      </x:c>
      <x:c r="M61" s="2" t="str">
        <x:f>IF(AND(A61&lt;&gt;"",B61='Panel'!$C$5,G61&lt;&gt;"Tamamlandı",E61&lt;='Panel'!$N$5),COUNTIFS($B$7:B61,B61,$A$7:A61,"&lt;&gt;",$G$7:G61,"&lt;&gt;Tamamlandı",$E$7:E61,"&lt;="&amp;'Panel'!$N$5),"")</x:f>
      </x:c>
      <x:c r="N61" s="2" t="str">
        <x:f>IF(AND(A61&lt;&gt;"",B61='Panel'!$C$5,G61="Tamamlandı",H61&gt;='Panel'!$N$5-WEEKDAY('Panel'!$N$5,2)+1,H61&lt;='Panel'!$N$5),COUNTIFS($B$7:B61,B61,$G$7:G61,"Tamamlandı",$H$7:H61,"&gt;="&amp;('Panel'!$N$5-WEEKDAY('Panel'!$N$5,2)+1),$H$7:H61,"&lt;="&amp;'Panel'!$N$5),"")</x:f>
      </x:c>
    </x:row>
    <x:row r="62" ht="22" customHeight="1">
      <x:c r="A62" s="6"/>
      <x:c r="B62" s="6"/>
      <x:c r="C62" s="6"/>
      <x:c r="D62" s="6"/>
      <x:c r="E62" s="7"/>
      <x:c r="F62" s="7"/>
      <x:c r="G62" s="6"/>
      <x:c r="H62" s="7"/>
      <x:c r="I62" s="6"/>
      <x:c r="J62" s="6"/>
      <x:c r="K62" s="6"/>
      <x:c r="L62" s="2" t="str">
        <x:f>IF(A62="","",IF(OR(E62="",F62=""),"Eksik tarih",IF(G62="Tamamlandı",IF(H62="","Eksik kapanış",MAX(0,H62-F62)),MAX(0,'Panel'!$N$5-F62))))</x:f>
      </x:c>
      <x:c r="M62" s="2" t="str">
        <x:f>IF(AND(A62&lt;&gt;"",B62='Panel'!$C$5,G62&lt;&gt;"Tamamlandı",E62&lt;='Panel'!$N$5),COUNTIFS($B$7:B62,B62,$A$7:A62,"&lt;&gt;",$G$7:G62,"&lt;&gt;Tamamlandı",$E$7:E62,"&lt;="&amp;'Panel'!$N$5),"")</x:f>
      </x:c>
      <x:c r="N62" s="2" t="str">
        <x:f>IF(AND(A62&lt;&gt;"",B62='Panel'!$C$5,G62="Tamamlandı",H62&gt;='Panel'!$N$5-WEEKDAY('Panel'!$N$5,2)+1,H62&lt;='Panel'!$N$5),COUNTIFS($B$7:B62,B62,$G$7:G62,"Tamamlandı",$H$7:H62,"&gt;="&amp;('Panel'!$N$5-WEEKDAY('Panel'!$N$5,2)+1),$H$7:H62,"&lt;="&amp;'Panel'!$N$5),"")</x:f>
      </x:c>
    </x:row>
    <x:row r="63" ht="22" customHeight="1">
      <x:c r="A63" s="6"/>
      <x:c r="B63" s="6"/>
      <x:c r="C63" s="6"/>
      <x:c r="D63" s="6"/>
      <x:c r="E63" s="7"/>
      <x:c r="F63" s="7"/>
      <x:c r="G63" s="6"/>
      <x:c r="H63" s="7"/>
      <x:c r="I63" s="6"/>
      <x:c r="J63" s="6"/>
      <x:c r="K63" s="6"/>
      <x:c r="L63" s="2" t="str">
        <x:f>IF(A63="","",IF(OR(E63="",F63=""),"Eksik tarih",IF(G63="Tamamlandı",IF(H63="","Eksik kapanış",MAX(0,H63-F63)),MAX(0,'Panel'!$N$5-F63))))</x:f>
      </x:c>
      <x:c r="M63" s="2" t="str">
        <x:f>IF(AND(A63&lt;&gt;"",B63='Panel'!$C$5,G63&lt;&gt;"Tamamlandı",E63&lt;='Panel'!$N$5),COUNTIFS($B$7:B63,B63,$A$7:A63,"&lt;&gt;",$G$7:G63,"&lt;&gt;Tamamlandı",$E$7:E63,"&lt;="&amp;'Panel'!$N$5),"")</x:f>
      </x:c>
      <x:c r="N63" s="2" t="str">
        <x:f>IF(AND(A63&lt;&gt;"",B63='Panel'!$C$5,G63="Tamamlandı",H63&gt;='Panel'!$N$5-WEEKDAY('Panel'!$N$5,2)+1,H63&lt;='Panel'!$N$5),COUNTIFS($B$7:B63,B63,$G$7:G63,"Tamamlandı",$H$7:H63,"&gt;="&amp;('Panel'!$N$5-WEEKDAY('Panel'!$N$5,2)+1),$H$7:H63,"&lt;="&amp;'Panel'!$N$5),"")</x:f>
      </x:c>
    </x:row>
    <x:row r="64" ht="22" customHeight="1">
      <x:c r="A64" s="6"/>
      <x:c r="B64" s="6"/>
      <x:c r="C64" s="6"/>
      <x:c r="D64" s="6"/>
      <x:c r="E64" s="7"/>
      <x:c r="F64" s="7"/>
      <x:c r="G64" s="6"/>
      <x:c r="H64" s="7"/>
      <x:c r="I64" s="6"/>
      <x:c r="J64" s="6"/>
      <x:c r="K64" s="6"/>
      <x:c r="L64" s="2" t="str">
        <x:f>IF(A64="","",IF(OR(E64="",F64=""),"Eksik tarih",IF(G64="Tamamlandı",IF(H64="","Eksik kapanış",MAX(0,H64-F64)),MAX(0,'Panel'!$N$5-F64))))</x:f>
      </x:c>
      <x:c r="M64" s="2" t="str">
        <x:f>IF(AND(A64&lt;&gt;"",B64='Panel'!$C$5,G64&lt;&gt;"Tamamlandı",E64&lt;='Panel'!$N$5),COUNTIFS($B$7:B64,B64,$A$7:A64,"&lt;&gt;",$G$7:G64,"&lt;&gt;Tamamlandı",$E$7:E64,"&lt;="&amp;'Panel'!$N$5),"")</x:f>
      </x:c>
      <x:c r="N64" s="2" t="str">
        <x:f>IF(AND(A64&lt;&gt;"",B64='Panel'!$C$5,G64="Tamamlandı",H64&gt;='Panel'!$N$5-WEEKDAY('Panel'!$N$5,2)+1,H64&lt;='Panel'!$N$5),COUNTIFS($B$7:B64,B64,$G$7:G64,"Tamamlandı",$H$7:H64,"&gt;="&amp;('Panel'!$N$5-WEEKDAY('Panel'!$N$5,2)+1),$H$7:H64,"&lt;="&amp;'Panel'!$N$5),"")</x:f>
      </x:c>
    </x:row>
    <x:row r="65" ht="22" customHeight="1">
      <x:c r="A65" s="6"/>
      <x:c r="B65" s="6"/>
      <x:c r="C65" s="6"/>
      <x:c r="D65" s="6"/>
      <x:c r="E65" s="7"/>
      <x:c r="F65" s="7"/>
      <x:c r="G65" s="6"/>
      <x:c r="H65" s="7"/>
      <x:c r="I65" s="6"/>
      <x:c r="J65" s="6"/>
      <x:c r="K65" s="6"/>
      <x:c r="L65" s="2" t="str">
        <x:f>IF(A65="","",IF(OR(E65="",F65=""),"Eksik tarih",IF(G65="Tamamlandı",IF(H65="","Eksik kapanış",MAX(0,H65-F65)),MAX(0,'Panel'!$N$5-F65))))</x:f>
      </x:c>
      <x:c r="M65" s="2" t="str">
        <x:f>IF(AND(A65&lt;&gt;"",B65='Panel'!$C$5,G65&lt;&gt;"Tamamlandı",E65&lt;='Panel'!$N$5),COUNTIFS($B$7:B65,B65,$A$7:A65,"&lt;&gt;",$G$7:G65,"&lt;&gt;Tamamlandı",$E$7:E65,"&lt;="&amp;'Panel'!$N$5),"")</x:f>
      </x:c>
      <x:c r="N65" s="2" t="str">
        <x:f>IF(AND(A65&lt;&gt;"",B65='Panel'!$C$5,G65="Tamamlandı",H65&gt;='Panel'!$N$5-WEEKDAY('Panel'!$N$5,2)+1,H65&lt;='Panel'!$N$5),COUNTIFS($B$7:B65,B65,$G$7:G65,"Tamamlandı",$H$7:H65,"&gt;="&amp;('Panel'!$N$5-WEEKDAY('Panel'!$N$5,2)+1),$H$7:H65,"&lt;="&amp;'Panel'!$N$5),"")</x:f>
      </x:c>
    </x:row>
    <x:row r="66" ht="22" customHeight="1">
      <x:c r="A66" s="6"/>
      <x:c r="B66" s="6"/>
      <x:c r="C66" s="6"/>
      <x:c r="D66" s="6"/>
      <x:c r="E66" s="7"/>
      <x:c r="F66" s="7"/>
      <x:c r="G66" s="6"/>
      <x:c r="H66" s="7"/>
      <x:c r="I66" s="6"/>
      <x:c r="J66" s="6"/>
      <x:c r="K66" s="6"/>
      <x:c r="L66" s="2" t="str">
        <x:f>IF(A66="","",IF(OR(E66="",F66=""),"Eksik tarih",IF(G66="Tamamlandı",IF(H66="","Eksik kapanış",MAX(0,H66-F66)),MAX(0,'Panel'!$N$5-F66))))</x:f>
      </x:c>
      <x:c r="M66" s="2" t="str">
        <x:f>IF(AND(A66&lt;&gt;"",B66='Panel'!$C$5,G66&lt;&gt;"Tamamlandı",E66&lt;='Panel'!$N$5),COUNTIFS($B$7:B66,B66,$A$7:A66,"&lt;&gt;",$G$7:G66,"&lt;&gt;Tamamlandı",$E$7:E66,"&lt;="&amp;'Panel'!$N$5),"")</x:f>
      </x:c>
      <x:c r="N66" s="2" t="str">
        <x:f>IF(AND(A66&lt;&gt;"",B66='Panel'!$C$5,G66="Tamamlandı",H66&gt;='Panel'!$N$5-WEEKDAY('Panel'!$N$5,2)+1,H66&lt;='Panel'!$N$5),COUNTIFS($B$7:B66,B66,$G$7:G66,"Tamamlandı",$H$7:H66,"&gt;="&amp;('Panel'!$N$5-WEEKDAY('Panel'!$N$5,2)+1),$H$7:H66,"&lt;="&amp;'Panel'!$N$5),"")</x:f>
      </x:c>
    </x:row>
    <x:row r="67" ht="22" customHeight="1">
      <x:c r="A67" s="6"/>
      <x:c r="B67" s="6"/>
      <x:c r="C67" s="6"/>
      <x:c r="D67" s="6"/>
      <x:c r="E67" s="7"/>
      <x:c r="F67" s="7"/>
      <x:c r="G67" s="6"/>
      <x:c r="H67" s="7"/>
      <x:c r="I67" s="6"/>
      <x:c r="J67" s="6"/>
      <x:c r="K67" s="6"/>
      <x:c r="L67" s="2" t="str">
        <x:f>IF(A67="","",IF(OR(E67="",F67=""),"Eksik tarih",IF(G67="Tamamlandı",IF(H67="","Eksik kapanış",MAX(0,H67-F67)),MAX(0,'Panel'!$N$5-F67))))</x:f>
      </x:c>
      <x:c r="M67" s="2" t="str">
        <x:f>IF(AND(A67&lt;&gt;"",B67='Panel'!$C$5,G67&lt;&gt;"Tamamlandı",E67&lt;='Panel'!$N$5),COUNTIFS($B$7:B67,B67,$A$7:A67,"&lt;&gt;",$G$7:G67,"&lt;&gt;Tamamlandı",$E$7:E67,"&lt;="&amp;'Panel'!$N$5),"")</x:f>
      </x:c>
      <x:c r="N67" s="2" t="str">
        <x:f>IF(AND(A67&lt;&gt;"",B67='Panel'!$C$5,G67="Tamamlandı",H67&gt;='Panel'!$N$5-WEEKDAY('Panel'!$N$5,2)+1,H67&lt;='Panel'!$N$5),COUNTIFS($B$7:B67,B67,$G$7:G67,"Tamamlandı",$H$7:H67,"&gt;="&amp;('Panel'!$N$5-WEEKDAY('Panel'!$N$5,2)+1),$H$7:H67,"&lt;="&amp;'Panel'!$N$5),"")</x:f>
      </x:c>
    </x:row>
    <x:row r="68" ht="22" customHeight="1">
      <x:c r="A68" s="6"/>
      <x:c r="B68" s="6"/>
      <x:c r="C68" s="6"/>
      <x:c r="D68" s="6"/>
      <x:c r="E68" s="7"/>
      <x:c r="F68" s="7"/>
      <x:c r="G68" s="6"/>
      <x:c r="H68" s="7"/>
      <x:c r="I68" s="6"/>
      <x:c r="J68" s="6"/>
      <x:c r="K68" s="6"/>
      <x:c r="L68" s="2" t="str">
        <x:f>IF(A68="","",IF(OR(E68="",F68=""),"Eksik tarih",IF(G68="Tamamlandı",IF(H68="","Eksik kapanış",MAX(0,H68-F68)),MAX(0,'Panel'!$N$5-F68))))</x:f>
      </x:c>
      <x:c r="M68" s="2" t="str">
        <x:f>IF(AND(A68&lt;&gt;"",B68='Panel'!$C$5,G68&lt;&gt;"Tamamlandı",E68&lt;='Panel'!$N$5),COUNTIFS($B$7:B68,B68,$A$7:A68,"&lt;&gt;",$G$7:G68,"&lt;&gt;Tamamlandı",$E$7:E68,"&lt;="&amp;'Panel'!$N$5),"")</x:f>
      </x:c>
      <x:c r="N68" s="2" t="str">
        <x:f>IF(AND(A68&lt;&gt;"",B68='Panel'!$C$5,G68="Tamamlandı",H68&gt;='Panel'!$N$5-WEEKDAY('Panel'!$N$5,2)+1,H68&lt;='Panel'!$N$5),COUNTIFS($B$7:B68,B68,$G$7:G68,"Tamamlandı",$H$7:H68,"&gt;="&amp;('Panel'!$N$5-WEEKDAY('Panel'!$N$5,2)+1),$H$7:H68,"&lt;="&amp;'Panel'!$N$5),"")</x:f>
      </x:c>
    </x:row>
    <x:row r="69" ht="22" customHeight="1">
      <x:c r="A69" s="6"/>
      <x:c r="B69" s="6"/>
      <x:c r="C69" s="6"/>
      <x:c r="D69" s="6"/>
      <x:c r="E69" s="7"/>
      <x:c r="F69" s="7"/>
      <x:c r="G69" s="6"/>
      <x:c r="H69" s="7"/>
      <x:c r="I69" s="6"/>
      <x:c r="J69" s="6"/>
      <x:c r="K69" s="6"/>
      <x:c r="L69" s="2" t="str">
        <x:f>IF(A69="","",IF(OR(E69="",F69=""),"Eksik tarih",IF(G69="Tamamlandı",IF(H69="","Eksik kapanış",MAX(0,H69-F69)),MAX(0,'Panel'!$N$5-F69))))</x:f>
      </x:c>
      <x:c r="M69" s="2" t="str">
        <x:f>IF(AND(A69&lt;&gt;"",B69='Panel'!$C$5,G69&lt;&gt;"Tamamlandı",E69&lt;='Panel'!$N$5),COUNTIFS($B$7:B69,B69,$A$7:A69,"&lt;&gt;",$G$7:G69,"&lt;&gt;Tamamlandı",$E$7:E69,"&lt;="&amp;'Panel'!$N$5),"")</x:f>
      </x:c>
      <x:c r="N69" s="2" t="str">
        <x:f>IF(AND(A69&lt;&gt;"",B69='Panel'!$C$5,G69="Tamamlandı",H69&gt;='Panel'!$N$5-WEEKDAY('Panel'!$N$5,2)+1,H69&lt;='Panel'!$N$5),COUNTIFS($B$7:B69,B69,$G$7:G69,"Tamamlandı",$H$7:H69,"&gt;="&amp;('Panel'!$N$5-WEEKDAY('Panel'!$N$5,2)+1),$H$7:H69,"&lt;="&amp;'Panel'!$N$5),"")</x:f>
      </x:c>
    </x:row>
    <x:row r="70" ht="22" customHeight="1">
      <x:c r="A70" s="6"/>
      <x:c r="B70" s="6"/>
      <x:c r="C70" s="6"/>
      <x:c r="D70" s="6"/>
      <x:c r="E70" s="7"/>
      <x:c r="F70" s="7"/>
      <x:c r="G70" s="6"/>
      <x:c r="H70" s="7"/>
      <x:c r="I70" s="6"/>
      <x:c r="J70" s="6"/>
      <x:c r="K70" s="6"/>
      <x:c r="L70" s="2" t="str">
        <x:f>IF(A70="","",IF(OR(E70="",F70=""),"Eksik tarih",IF(G70="Tamamlandı",IF(H70="","Eksik kapanış",MAX(0,H70-F70)),MAX(0,'Panel'!$N$5-F70))))</x:f>
      </x:c>
      <x:c r="M70" s="2" t="str">
        <x:f>IF(AND(A70&lt;&gt;"",B70='Panel'!$C$5,G70&lt;&gt;"Tamamlandı",E70&lt;='Panel'!$N$5),COUNTIFS($B$7:B70,B70,$A$7:A70,"&lt;&gt;",$G$7:G70,"&lt;&gt;Tamamlandı",$E$7:E70,"&lt;="&amp;'Panel'!$N$5),"")</x:f>
      </x:c>
      <x:c r="N70" s="2" t="str">
        <x:f>IF(AND(A70&lt;&gt;"",B70='Panel'!$C$5,G70="Tamamlandı",H70&gt;='Panel'!$N$5-WEEKDAY('Panel'!$N$5,2)+1,H70&lt;='Panel'!$N$5),COUNTIFS($B$7:B70,B70,$G$7:G70,"Tamamlandı",$H$7:H70,"&gt;="&amp;('Panel'!$N$5-WEEKDAY('Panel'!$N$5,2)+1),$H$7:H70,"&lt;="&amp;'Panel'!$N$5),"")</x:f>
      </x:c>
    </x:row>
    <x:row r="71" ht="22" customHeight="1">
      <x:c r="A71" s="6"/>
      <x:c r="B71" s="6"/>
      <x:c r="C71" s="6"/>
      <x:c r="D71" s="6"/>
      <x:c r="E71" s="7"/>
      <x:c r="F71" s="7"/>
      <x:c r="G71" s="6"/>
      <x:c r="H71" s="7"/>
      <x:c r="I71" s="6"/>
      <x:c r="J71" s="6"/>
      <x:c r="K71" s="6"/>
      <x:c r="L71" s="2" t="str">
        <x:f>IF(A71="","",IF(OR(E71="",F71=""),"Eksik tarih",IF(G71="Tamamlandı",IF(H71="","Eksik kapanış",MAX(0,H71-F71)),MAX(0,'Panel'!$N$5-F71))))</x:f>
      </x:c>
      <x:c r="M71" s="2" t="str">
        <x:f>IF(AND(A71&lt;&gt;"",B71='Panel'!$C$5,G71&lt;&gt;"Tamamlandı",E71&lt;='Panel'!$N$5),COUNTIFS($B$7:B71,B71,$A$7:A71,"&lt;&gt;",$G$7:G71,"&lt;&gt;Tamamlandı",$E$7:E71,"&lt;="&amp;'Panel'!$N$5),"")</x:f>
      </x:c>
      <x:c r="N71" s="2" t="str">
        <x:f>IF(AND(A71&lt;&gt;"",B71='Panel'!$C$5,G71="Tamamlandı",H71&gt;='Panel'!$N$5-WEEKDAY('Panel'!$N$5,2)+1,H71&lt;='Panel'!$N$5),COUNTIFS($B$7:B71,B71,$G$7:G71,"Tamamlandı",$H$7:H71,"&gt;="&amp;('Panel'!$N$5-WEEKDAY('Panel'!$N$5,2)+1),$H$7:H71,"&lt;="&amp;'Panel'!$N$5),"")</x:f>
      </x:c>
    </x:row>
    <x:row r="72" ht="22" customHeight="1">
      <x:c r="A72" s="6"/>
      <x:c r="B72" s="6"/>
      <x:c r="C72" s="6"/>
      <x:c r="D72" s="6"/>
      <x:c r="E72" s="7"/>
      <x:c r="F72" s="7"/>
      <x:c r="G72" s="6"/>
      <x:c r="H72" s="7"/>
      <x:c r="I72" s="6"/>
      <x:c r="J72" s="6"/>
      <x:c r="K72" s="6"/>
      <x:c r="L72" s="2" t="str">
        <x:f>IF(A72="","",IF(OR(E72="",F72=""),"Eksik tarih",IF(G72="Tamamlandı",IF(H72="","Eksik kapanış",MAX(0,H72-F72)),MAX(0,'Panel'!$N$5-F72))))</x:f>
      </x:c>
      <x:c r="M72" s="2" t="str">
        <x:f>IF(AND(A72&lt;&gt;"",B72='Panel'!$C$5,G72&lt;&gt;"Tamamlandı",E72&lt;='Panel'!$N$5),COUNTIFS($B$7:B72,B72,$A$7:A72,"&lt;&gt;",$G$7:G72,"&lt;&gt;Tamamlandı",$E$7:E72,"&lt;="&amp;'Panel'!$N$5),"")</x:f>
      </x:c>
      <x:c r="N72" s="2" t="str">
        <x:f>IF(AND(A72&lt;&gt;"",B72='Panel'!$C$5,G72="Tamamlandı",H72&gt;='Panel'!$N$5-WEEKDAY('Panel'!$N$5,2)+1,H72&lt;='Panel'!$N$5),COUNTIFS($B$7:B72,B72,$G$7:G72,"Tamamlandı",$H$7:H72,"&gt;="&amp;('Panel'!$N$5-WEEKDAY('Panel'!$N$5,2)+1),$H$7:H72,"&lt;="&amp;'Panel'!$N$5),"")</x:f>
      </x:c>
    </x:row>
    <x:row r="73" ht="22" customHeight="1">
      <x:c r="A73" s="6"/>
      <x:c r="B73" s="6"/>
      <x:c r="C73" s="6"/>
      <x:c r="D73" s="6"/>
      <x:c r="E73" s="7"/>
      <x:c r="F73" s="7"/>
      <x:c r="G73" s="6"/>
      <x:c r="H73" s="7"/>
      <x:c r="I73" s="6"/>
      <x:c r="J73" s="6"/>
      <x:c r="K73" s="6"/>
      <x:c r="L73" s="2" t="str">
        <x:f>IF(A73="","",IF(OR(E73="",F73=""),"Eksik tarih",IF(G73="Tamamlandı",IF(H73="","Eksik kapanış",MAX(0,H73-F73)),MAX(0,'Panel'!$N$5-F73))))</x:f>
      </x:c>
      <x:c r="M73" s="2" t="str">
        <x:f>IF(AND(A73&lt;&gt;"",B73='Panel'!$C$5,G73&lt;&gt;"Tamamlandı",E73&lt;='Panel'!$N$5),COUNTIFS($B$7:B73,B73,$A$7:A73,"&lt;&gt;",$G$7:G73,"&lt;&gt;Tamamlandı",$E$7:E73,"&lt;="&amp;'Panel'!$N$5),"")</x:f>
      </x:c>
      <x:c r="N73" s="2" t="str">
        <x:f>IF(AND(A73&lt;&gt;"",B73='Panel'!$C$5,G73="Tamamlandı",H73&gt;='Panel'!$N$5-WEEKDAY('Panel'!$N$5,2)+1,H73&lt;='Panel'!$N$5),COUNTIFS($B$7:B73,B73,$G$7:G73,"Tamamlandı",$H$7:H73,"&gt;="&amp;('Panel'!$N$5-WEEKDAY('Panel'!$N$5,2)+1),$H$7:H73,"&lt;="&amp;'Panel'!$N$5),"")</x:f>
      </x:c>
    </x:row>
    <x:row r="74" ht="22" customHeight="1">
      <x:c r="A74" s="6"/>
      <x:c r="B74" s="6"/>
      <x:c r="C74" s="6"/>
      <x:c r="D74" s="6"/>
      <x:c r="E74" s="7"/>
      <x:c r="F74" s="7"/>
      <x:c r="G74" s="6"/>
      <x:c r="H74" s="7"/>
      <x:c r="I74" s="6"/>
      <x:c r="J74" s="6"/>
      <x:c r="K74" s="6"/>
      <x:c r="L74" s="2" t="str">
        <x:f>IF(A74="","",IF(OR(E74="",F74=""),"Eksik tarih",IF(G74="Tamamlandı",IF(H74="","Eksik kapanış",MAX(0,H74-F74)),MAX(0,'Panel'!$N$5-F74))))</x:f>
      </x:c>
      <x:c r="M74" s="2" t="str">
        <x:f>IF(AND(A74&lt;&gt;"",B74='Panel'!$C$5,G74&lt;&gt;"Tamamlandı",E74&lt;='Panel'!$N$5),COUNTIFS($B$7:B74,B74,$A$7:A74,"&lt;&gt;",$G$7:G74,"&lt;&gt;Tamamlandı",$E$7:E74,"&lt;="&amp;'Panel'!$N$5),"")</x:f>
      </x:c>
      <x:c r="N74" s="2" t="str">
        <x:f>IF(AND(A74&lt;&gt;"",B74='Panel'!$C$5,G74="Tamamlandı",H74&gt;='Panel'!$N$5-WEEKDAY('Panel'!$N$5,2)+1,H74&lt;='Panel'!$N$5),COUNTIFS($B$7:B74,B74,$G$7:G74,"Tamamlandı",$H$7:H74,"&gt;="&amp;('Panel'!$N$5-WEEKDAY('Panel'!$N$5,2)+1),$H$7:H74,"&lt;="&amp;'Panel'!$N$5),"")</x:f>
      </x:c>
    </x:row>
    <x:row r="75" ht="22" customHeight="1">
      <x:c r="A75" s="6"/>
      <x:c r="B75" s="6"/>
      <x:c r="C75" s="6"/>
      <x:c r="D75" s="6"/>
      <x:c r="E75" s="7"/>
      <x:c r="F75" s="7"/>
      <x:c r="G75" s="6"/>
      <x:c r="H75" s="7"/>
      <x:c r="I75" s="6"/>
      <x:c r="J75" s="6"/>
      <x:c r="K75" s="6"/>
      <x:c r="L75" s="2" t="str">
        <x:f>IF(A75="","",IF(OR(E75="",F75=""),"Eksik tarih",IF(G75="Tamamlandı",IF(H75="","Eksik kapanış",MAX(0,H75-F75)),MAX(0,'Panel'!$N$5-F75))))</x:f>
      </x:c>
      <x:c r="M75" s="2" t="str">
        <x:f>IF(AND(A75&lt;&gt;"",B75='Panel'!$C$5,G75&lt;&gt;"Tamamlandı",E75&lt;='Panel'!$N$5),COUNTIFS($B$7:B75,B75,$A$7:A75,"&lt;&gt;",$G$7:G75,"&lt;&gt;Tamamlandı",$E$7:E75,"&lt;="&amp;'Panel'!$N$5),"")</x:f>
      </x:c>
      <x:c r="N75" s="2" t="str">
        <x:f>IF(AND(A75&lt;&gt;"",B75='Panel'!$C$5,G75="Tamamlandı",H75&gt;='Panel'!$N$5-WEEKDAY('Panel'!$N$5,2)+1,H75&lt;='Panel'!$N$5),COUNTIFS($B$7:B75,B75,$G$7:G75,"Tamamlandı",$H$7:H75,"&gt;="&amp;('Panel'!$N$5-WEEKDAY('Panel'!$N$5,2)+1),$H$7:H75,"&lt;="&amp;'Panel'!$N$5),"")</x:f>
      </x:c>
    </x:row>
    <x:row r="76" ht="22" customHeight="1">
      <x:c r="A76" s="6"/>
      <x:c r="B76" s="6"/>
      <x:c r="C76" s="6"/>
      <x:c r="D76" s="6"/>
      <x:c r="E76" s="7"/>
      <x:c r="F76" s="7"/>
      <x:c r="G76" s="6"/>
      <x:c r="H76" s="7"/>
      <x:c r="I76" s="6"/>
      <x:c r="J76" s="6"/>
      <x:c r="K76" s="6"/>
      <x:c r="L76" s="2" t="str">
        <x:f>IF(A76="","",IF(OR(E76="",F76=""),"Eksik tarih",IF(G76="Tamamlandı",IF(H76="","Eksik kapanış",MAX(0,H76-F76)),MAX(0,'Panel'!$N$5-F76))))</x:f>
      </x:c>
      <x:c r="M76" s="2" t="str">
        <x:f>IF(AND(A76&lt;&gt;"",B76='Panel'!$C$5,G76&lt;&gt;"Tamamlandı",E76&lt;='Panel'!$N$5),COUNTIFS($B$7:B76,B76,$A$7:A76,"&lt;&gt;",$G$7:G76,"&lt;&gt;Tamamlandı",$E$7:E76,"&lt;="&amp;'Panel'!$N$5),"")</x:f>
      </x:c>
      <x:c r="N76" s="2" t="str">
        <x:f>IF(AND(A76&lt;&gt;"",B76='Panel'!$C$5,G76="Tamamlandı",H76&gt;='Panel'!$N$5-WEEKDAY('Panel'!$N$5,2)+1,H76&lt;='Panel'!$N$5),COUNTIFS($B$7:B76,B76,$G$7:G76,"Tamamlandı",$H$7:H76,"&gt;="&amp;('Panel'!$N$5-WEEKDAY('Panel'!$N$5,2)+1),$H$7:H76,"&lt;="&amp;'Panel'!$N$5),"")</x:f>
      </x:c>
    </x:row>
    <x:row r="77" ht="22" customHeight="1">
      <x:c r="A77" s="6"/>
      <x:c r="B77" s="6"/>
      <x:c r="C77" s="6"/>
      <x:c r="D77" s="6"/>
      <x:c r="E77" s="7"/>
      <x:c r="F77" s="7"/>
      <x:c r="G77" s="6"/>
      <x:c r="H77" s="7"/>
      <x:c r="I77" s="6"/>
      <x:c r="J77" s="6"/>
      <x:c r="K77" s="6"/>
      <x:c r="L77" s="2" t="str">
        <x:f>IF(A77="","",IF(OR(E77="",F77=""),"Eksik tarih",IF(G77="Tamamlandı",IF(H77="","Eksik kapanış",MAX(0,H77-F77)),MAX(0,'Panel'!$N$5-F77))))</x:f>
      </x:c>
      <x:c r="M77" s="2" t="str">
        <x:f>IF(AND(A77&lt;&gt;"",B77='Panel'!$C$5,G77&lt;&gt;"Tamamlandı",E77&lt;='Panel'!$N$5),COUNTIFS($B$7:B77,B77,$A$7:A77,"&lt;&gt;",$G$7:G77,"&lt;&gt;Tamamlandı",$E$7:E77,"&lt;="&amp;'Panel'!$N$5),"")</x:f>
      </x:c>
      <x:c r="N77" s="2" t="str">
        <x:f>IF(AND(A77&lt;&gt;"",B77='Panel'!$C$5,G77="Tamamlandı",H77&gt;='Panel'!$N$5-WEEKDAY('Panel'!$N$5,2)+1,H77&lt;='Panel'!$N$5),COUNTIFS($B$7:B77,B77,$G$7:G77,"Tamamlandı",$H$7:H77,"&gt;="&amp;('Panel'!$N$5-WEEKDAY('Panel'!$N$5,2)+1),$H$7:H77,"&lt;="&amp;'Panel'!$N$5),"")</x:f>
      </x:c>
    </x:row>
    <x:row r="78" ht="22" customHeight="1">
      <x:c r="A78" s="6"/>
      <x:c r="B78" s="6"/>
      <x:c r="C78" s="6"/>
      <x:c r="D78" s="6"/>
      <x:c r="E78" s="7"/>
      <x:c r="F78" s="7"/>
      <x:c r="G78" s="6"/>
      <x:c r="H78" s="7"/>
      <x:c r="I78" s="6"/>
      <x:c r="J78" s="6"/>
      <x:c r="K78" s="6"/>
      <x:c r="L78" s="2" t="str">
        <x:f>IF(A78="","",IF(OR(E78="",F78=""),"Eksik tarih",IF(G78="Tamamlandı",IF(H78="","Eksik kapanış",MAX(0,H78-F78)),MAX(0,'Panel'!$N$5-F78))))</x:f>
      </x:c>
      <x:c r="M78" s="2" t="str">
        <x:f>IF(AND(A78&lt;&gt;"",B78='Panel'!$C$5,G78&lt;&gt;"Tamamlandı",E78&lt;='Panel'!$N$5),COUNTIFS($B$7:B78,B78,$A$7:A78,"&lt;&gt;",$G$7:G78,"&lt;&gt;Tamamlandı",$E$7:E78,"&lt;="&amp;'Panel'!$N$5),"")</x:f>
      </x:c>
      <x:c r="N78" s="2" t="str">
        <x:f>IF(AND(A78&lt;&gt;"",B78='Panel'!$C$5,G78="Tamamlandı",H78&gt;='Panel'!$N$5-WEEKDAY('Panel'!$N$5,2)+1,H78&lt;='Panel'!$N$5),COUNTIFS($B$7:B78,B78,$G$7:G78,"Tamamlandı",$H$7:H78,"&gt;="&amp;('Panel'!$N$5-WEEKDAY('Panel'!$N$5,2)+1),$H$7:H78,"&lt;="&amp;'Panel'!$N$5),"")</x:f>
      </x:c>
    </x:row>
    <x:row r="79" ht="22" customHeight="1">
      <x:c r="A79" s="6"/>
      <x:c r="B79" s="6"/>
      <x:c r="C79" s="6"/>
      <x:c r="D79" s="6"/>
      <x:c r="E79" s="7"/>
      <x:c r="F79" s="7"/>
      <x:c r="G79" s="6"/>
      <x:c r="H79" s="7"/>
      <x:c r="I79" s="6"/>
      <x:c r="J79" s="6"/>
      <x:c r="K79" s="6"/>
      <x:c r="L79" s="2" t="str">
        <x:f>IF(A79="","",IF(OR(E79="",F79=""),"Eksik tarih",IF(G79="Tamamlandı",IF(H79="","Eksik kapanış",MAX(0,H79-F79)),MAX(0,'Panel'!$N$5-F79))))</x:f>
      </x:c>
      <x:c r="M79" s="2" t="str">
        <x:f>IF(AND(A79&lt;&gt;"",B79='Panel'!$C$5,G79&lt;&gt;"Tamamlandı",E79&lt;='Panel'!$N$5),COUNTIFS($B$7:B79,B79,$A$7:A79,"&lt;&gt;",$G$7:G79,"&lt;&gt;Tamamlandı",$E$7:E79,"&lt;="&amp;'Panel'!$N$5),"")</x:f>
      </x:c>
      <x:c r="N79" s="2" t="str">
        <x:f>IF(AND(A79&lt;&gt;"",B79='Panel'!$C$5,G79="Tamamlandı",H79&gt;='Panel'!$N$5-WEEKDAY('Panel'!$N$5,2)+1,H79&lt;='Panel'!$N$5),COUNTIFS($B$7:B79,B79,$G$7:G79,"Tamamlandı",$H$7:H79,"&gt;="&amp;('Panel'!$N$5-WEEKDAY('Panel'!$N$5,2)+1),$H$7:H79,"&lt;="&amp;'Panel'!$N$5),"")</x:f>
      </x:c>
    </x:row>
    <x:row r="80" ht="22" customHeight="1">
      <x:c r="A80" s="6"/>
      <x:c r="B80" s="6"/>
      <x:c r="C80" s="6"/>
      <x:c r="D80" s="6"/>
      <x:c r="E80" s="7"/>
      <x:c r="F80" s="7"/>
      <x:c r="G80" s="6"/>
      <x:c r="H80" s="7"/>
      <x:c r="I80" s="6"/>
      <x:c r="J80" s="6"/>
      <x:c r="K80" s="6"/>
      <x:c r="L80" s="2" t="str">
        <x:f>IF(A80="","",IF(OR(E80="",F80=""),"Eksik tarih",IF(G80="Tamamlandı",IF(H80="","Eksik kapanış",MAX(0,H80-F80)),MAX(0,'Panel'!$N$5-F80))))</x:f>
      </x:c>
      <x:c r="M80" s="2" t="str">
        <x:f>IF(AND(A80&lt;&gt;"",B80='Panel'!$C$5,G80&lt;&gt;"Tamamlandı",E80&lt;='Panel'!$N$5),COUNTIFS($B$7:B80,B80,$A$7:A80,"&lt;&gt;",$G$7:G80,"&lt;&gt;Tamamlandı",$E$7:E80,"&lt;="&amp;'Panel'!$N$5),"")</x:f>
      </x:c>
      <x:c r="N80" s="2" t="str">
        <x:f>IF(AND(A80&lt;&gt;"",B80='Panel'!$C$5,G80="Tamamlandı",H80&gt;='Panel'!$N$5-WEEKDAY('Panel'!$N$5,2)+1,H80&lt;='Panel'!$N$5),COUNTIFS($B$7:B80,B80,$G$7:G80,"Tamamlandı",$H$7:H80,"&gt;="&amp;('Panel'!$N$5-WEEKDAY('Panel'!$N$5,2)+1),$H$7:H80,"&lt;="&amp;'Panel'!$N$5),"")</x:f>
      </x:c>
    </x:row>
    <x:row r="81" ht="22" customHeight="1">
      <x:c r="A81" s="6"/>
      <x:c r="B81" s="6"/>
      <x:c r="C81" s="6"/>
      <x:c r="D81" s="6"/>
      <x:c r="E81" s="7"/>
      <x:c r="F81" s="7"/>
      <x:c r="G81" s="6"/>
      <x:c r="H81" s="7"/>
      <x:c r="I81" s="6"/>
      <x:c r="J81" s="6"/>
      <x:c r="K81" s="6"/>
      <x:c r="L81" s="2" t="str">
        <x:f>IF(A81="","",IF(OR(E81="",F81=""),"Eksik tarih",IF(G81="Tamamlandı",IF(H81="","Eksik kapanış",MAX(0,H81-F81)),MAX(0,'Panel'!$N$5-F81))))</x:f>
      </x:c>
      <x:c r="M81" s="2" t="str">
        <x:f>IF(AND(A81&lt;&gt;"",B81='Panel'!$C$5,G81&lt;&gt;"Tamamlandı",E81&lt;='Panel'!$N$5),COUNTIFS($B$7:B81,B81,$A$7:A81,"&lt;&gt;",$G$7:G81,"&lt;&gt;Tamamlandı",$E$7:E81,"&lt;="&amp;'Panel'!$N$5),"")</x:f>
      </x:c>
      <x:c r="N81" s="2" t="str">
        <x:f>IF(AND(A81&lt;&gt;"",B81='Panel'!$C$5,G81="Tamamlandı",H81&gt;='Panel'!$N$5-WEEKDAY('Panel'!$N$5,2)+1,H81&lt;='Panel'!$N$5),COUNTIFS($B$7:B81,B81,$G$7:G81,"Tamamlandı",$H$7:H81,"&gt;="&amp;('Panel'!$N$5-WEEKDAY('Panel'!$N$5,2)+1),$H$7:H81,"&lt;="&amp;'Panel'!$N$5),"")</x:f>
      </x:c>
    </x:row>
    <x:row r="82" ht="22" customHeight="1">
      <x:c r="A82" s="6"/>
      <x:c r="B82" s="6"/>
      <x:c r="C82" s="6"/>
      <x:c r="D82" s="6"/>
      <x:c r="E82" s="7"/>
      <x:c r="F82" s="7"/>
      <x:c r="G82" s="6"/>
      <x:c r="H82" s="7"/>
      <x:c r="I82" s="6"/>
      <x:c r="J82" s="6"/>
      <x:c r="K82" s="6"/>
      <x:c r="L82" s="2" t="str">
        <x:f>IF(A82="","",IF(OR(E82="",F82=""),"Eksik tarih",IF(G82="Tamamlandı",IF(H82="","Eksik kapanış",MAX(0,H82-F82)),MAX(0,'Panel'!$N$5-F82))))</x:f>
      </x:c>
      <x:c r="M82" s="2" t="str">
        <x:f>IF(AND(A82&lt;&gt;"",B82='Panel'!$C$5,G82&lt;&gt;"Tamamlandı",E82&lt;='Panel'!$N$5),COUNTIFS($B$7:B82,B82,$A$7:A82,"&lt;&gt;",$G$7:G82,"&lt;&gt;Tamamlandı",$E$7:E82,"&lt;="&amp;'Panel'!$N$5),"")</x:f>
      </x:c>
      <x:c r="N82" s="2" t="str">
        <x:f>IF(AND(A82&lt;&gt;"",B82='Panel'!$C$5,G82="Tamamlandı",H82&gt;='Panel'!$N$5-WEEKDAY('Panel'!$N$5,2)+1,H82&lt;='Panel'!$N$5),COUNTIFS($B$7:B82,B82,$G$7:G82,"Tamamlandı",$H$7:H82,"&gt;="&amp;('Panel'!$N$5-WEEKDAY('Panel'!$N$5,2)+1),$H$7:H82,"&lt;="&amp;'Panel'!$N$5),"")</x:f>
      </x:c>
    </x:row>
    <x:row r="83" ht="22" customHeight="1">
      <x:c r="A83" s="6"/>
      <x:c r="B83" s="6"/>
      <x:c r="C83" s="6"/>
      <x:c r="D83" s="6"/>
      <x:c r="E83" s="7"/>
      <x:c r="F83" s="7"/>
      <x:c r="G83" s="6"/>
      <x:c r="H83" s="7"/>
      <x:c r="I83" s="6"/>
      <x:c r="J83" s="6"/>
      <x:c r="K83" s="6"/>
      <x:c r="L83" s="2" t="str">
        <x:f>IF(A83="","",IF(OR(E83="",F83=""),"Eksik tarih",IF(G83="Tamamlandı",IF(H83="","Eksik kapanış",MAX(0,H83-F83)),MAX(0,'Panel'!$N$5-F83))))</x:f>
      </x:c>
      <x:c r="M83" s="2" t="str">
        <x:f>IF(AND(A83&lt;&gt;"",B83='Panel'!$C$5,G83&lt;&gt;"Tamamlandı",E83&lt;='Panel'!$N$5),COUNTIFS($B$7:B83,B83,$A$7:A83,"&lt;&gt;",$G$7:G83,"&lt;&gt;Tamamlandı",$E$7:E83,"&lt;="&amp;'Panel'!$N$5),"")</x:f>
      </x:c>
      <x:c r="N83" s="2" t="str">
        <x:f>IF(AND(A83&lt;&gt;"",B83='Panel'!$C$5,G83="Tamamlandı",H83&gt;='Panel'!$N$5-WEEKDAY('Panel'!$N$5,2)+1,H83&lt;='Panel'!$N$5),COUNTIFS($B$7:B83,B83,$G$7:G83,"Tamamlandı",$H$7:H83,"&gt;="&amp;('Panel'!$N$5-WEEKDAY('Panel'!$N$5,2)+1),$H$7:H83,"&lt;="&amp;'Panel'!$N$5),"")</x:f>
      </x:c>
    </x:row>
    <x:row r="84" ht="22" customHeight="1">
      <x:c r="A84" s="6"/>
      <x:c r="B84" s="6"/>
      <x:c r="C84" s="6"/>
      <x:c r="D84" s="6"/>
      <x:c r="E84" s="7"/>
      <x:c r="F84" s="7"/>
      <x:c r="G84" s="6"/>
      <x:c r="H84" s="7"/>
      <x:c r="I84" s="6"/>
      <x:c r="J84" s="6"/>
      <x:c r="K84" s="6"/>
      <x:c r="L84" s="2" t="str">
        <x:f>IF(A84="","",IF(OR(E84="",F84=""),"Eksik tarih",IF(G84="Tamamlandı",IF(H84="","Eksik kapanış",MAX(0,H84-F84)),MAX(0,'Panel'!$N$5-F84))))</x:f>
      </x:c>
      <x:c r="M84" s="2" t="str">
        <x:f>IF(AND(A84&lt;&gt;"",B84='Panel'!$C$5,G84&lt;&gt;"Tamamlandı",E84&lt;='Panel'!$N$5),COUNTIFS($B$7:B84,B84,$A$7:A84,"&lt;&gt;",$G$7:G84,"&lt;&gt;Tamamlandı",$E$7:E84,"&lt;="&amp;'Panel'!$N$5),"")</x:f>
      </x:c>
      <x:c r="N84" s="2" t="str">
        <x:f>IF(AND(A84&lt;&gt;"",B84='Panel'!$C$5,G84="Tamamlandı",H84&gt;='Panel'!$N$5-WEEKDAY('Panel'!$N$5,2)+1,H84&lt;='Panel'!$N$5),COUNTIFS($B$7:B84,B84,$G$7:G84,"Tamamlandı",$H$7:H84,"&gt;="&amp;('Panel'!$N$5-WEEKDAY('Panel'!$N$5,2)+1),$H$7:H84,"&lt;="&amp;'Panel'!$N$5),"")</x:f>
      </x:c>
    </x:row>
    <x:row r="85" ht="22" customHeight="1">
      <x:c r="A85" s="6"/>
      <x:c r="B85" s="6"/>
      <x:c r="C85" s="6"/>
      <x:c r="D85" s="6"/>
      <x:c r="E85" s="7"/>
      <x:c r="F85" s="7"/>
      <x:c r="G85" s="6"/>
      <x:c r="H85" s="7"/>
      <x:c r="I85" s="6"/>
      <x:c r="J85" s="6"/>
      <x:c r="K85" s="6"/>
      <x:c r="L85" s="2" t="str">
        <x:f>IF(A85="","",IF(OR(E85="",F85=""),"Eksik tarih",IF(G85="Tamamlandı",IF(H85="","Eksik kapanış",MAX(0,H85-F85)),MAX(0,'Panel'!$N$5-F85))))</x:f>
      </x:c>
      <x:c r="M85" s="2" t="str">
        <x:f>IF(AND(A85&lt;&gt;"",B85='Panel'!$C$5,G85&lt;&gt;"Tamamlandı",E85&lt;='Panel'!$N$5),COUNTIFS($B$7:B85,B85,$A$7:A85,"&lt;&gt;",$G$7:G85,"&lt;&gt;Tamamlandı",$E$7:E85,"&lt;="&amp;'Panel'!$N$5),"")</x:f>
      </x:c>
      <x:c r="N85" s="2" t="str">
        <x:f>IF(AND(A85&lt;&gt;"",B85='Panel'!$C$5,G85="Tamamlandı",H85&gt;='Panel'!$N$5-WEEKDAY('Panel'!$N$5,2)+1,H85&lt;='Panel'!$N$5),COUNTIFS($B$7:B85,B85,$G$7:G85,"Tamamlandı",$H$7:H85,"&gt;="&amp;('Panel'!$N$5-WEEKDAY('Panel'!$N$5,2)+1),$H$7:H85,"&lt;="&amp;'Panel'!$N$5),"")</x:f>
      </x:c>
    </x:row>
    <x:row r="86" ht="22" customHeight="1">
      <x:c r="A86" s="6"/>
      <x:c r="B86" s="6"/>
      <x:c r="C86" s="6"/>
      <x:c r="D86" s="6"/>
      <x:c r="E86" s="7"/>
      <x:c r="F86" s="7"/>
      <x:c r="G86" s="6"/>
      <x:c r="H86" s="7"/>
      <x:c r="I86" s="6"/>
      <x:c r="J86" s="6"/>
      <x:c r="K86" s="6"/>
      <x:c r="L86" s="2" t="str">
        <x:f>IF(A86="","",IF(OR(E86="",F86=""),"Eksik tarih",IF(G86="Tamamlandı",IF(H86="","Eksik kapanış",MAX(0,H86-F86)),MAX(0,'Panel'!$N$5-F86))))</x:f>
      </x:c>
      <x:c r="M86" s="2" t="str">
        <x:f>IF(AND(A86&lt;&gt;"",B86='Panel'!$C$5,G86&lt;&gt;"Tamamlandı",E86&lt;='Panel'!$N$5),COUNTIFS($B$7:B86,B86,$A$7:A86,"&lt;&gt;",$G$7:G86,"&lt;&gt;Tamamlandı",$E$7:E86,"&lt;="&amp;'Panel'!$N$5),"")</x:f>
      </x:c>
      <x:c r="N86" s="2" t="str">
        <x:f>IF(AND(A86&lt;&gt;"",B86='Panel'!$C$5,G86="Tamamlandı",H86&gt;='Panel'!$N$5-WEEKDAY('Panel'!$N$5,2)+1,H86&lt;='Panel'!$N$5),COUNTIFS($B$7:B86,B86,$G$7:G86,"Tamamlandı",$H$7:H86,"&gt;="&amp;('Panel'!$N$5-WEEKDAY('Panel'!$N$5,2)+1),$H$7:H86,"&lt;="&amp;'Panel'!$N$5),"")</x:f>
      </x:c>
    </x:row>
    <x:row r="87" ht="22" customHeight="1">
      <x:c r="A87" s="6"/>
      <x:c r="B87" s="6"/>
      <x:c r="C87" s="6"/>
      <x:c r="D87" s="6"/>
      <x:c r="E87" s="7"/>
      <x:c r="F87" s="7"/>
      <x:c r="G87" s="6"/>
      <x:c r="H87" s="7"/>
      <x:c r="I87" s="6"/>
      <x:c r="J87" s="6"/>
      <x:c r="K87" s="6"/>
      <x:c r="L87" s="2" t="str">
        <x:f>IF(A87="","",IF(OR(E87="",F87=""),"Eksik tarih",IF(G87="Tamamlandı",IF(H87="","Eksik kapanış",MAX(0,H87-F87)),MAX(0,'Panel'!$N$5-F87))))</x:f>
      </x:c>
      <x:c r="M87" s="2" t="str">
        <x:f>IF(AND(A87&lt;&gt;"",B87='Panel'!$C$5,G87&lt;&gt;"Tamamlandı",E87&lt;='Panel'!$N$5),COUNTIFS($B$7:B87,B87,$A$7:A87,"&lt;&gt;",$G$7:G87,"&lt;&gt;Tamamlandı",$E$7:E87,"&lt;="&amp;'Panel'!$N$5),"")</x:f>
      </x:c>
      <x:c r="N87" s="2" t="str">
        <x:f>IF(AND(A87&lt;&gt;"",B87='Panel'!$C$5,G87="Tamamlandı",H87&gt;='Panel'!$N$5-WEEKDAY('Panel'!$N$5,2)+1,H87&lt;='Panel'!$N$5),COUNTIFS($B$7:B87,B87,$G$7:G87,"Tamamlandı",$H$7:H87,"&gt;="&amp;('Panel'!$N$5-WEEKDAY('Panel'!$N$5,2)+1),$H$7:H87,"&lt;="&amp;'Panel'!$N$5),"")</x:f>
      </x:c>
    </x:row>
    <x:row r="88" ht="22" customHeight="1">
      <x:c r="A88" s="6"/>
      <x:c r="B88" s="6"/>
      <x:c r="C88" s="6"/>
      <x:c r="D88" s="6"/>
      <x:c r="E88" s="7"/>
      <x:c r="F88" s="7"/>
      <x:c r="G88" s="6"/>
      <x:c r="H88" s="7"/>
      <x:c r="I88" s="6"/>
      <x:c r="J88" s="6"/>
      <x:c r="K88" s="6"/>
      <x:c r="L88" s="2" t="str">
        <x:f>IF(A88="","",IF(OR(E88="",F88=""),"Eksik tarih",IF(G88="Tamamlandı",IF(H88="","Eksik kapanış",MAX(0,H88-F88)),MAX(0,'Panel'!$N$5-F88))))</x:f>
      </x:c>
      <x:c r="M88" s="2" t="str">
        <x:f>IF(AND(A88&lt;&gt;"",B88='Panel'!$C$5,G88&lt;&gt;"Tamamlandı",E88&lt;='Panel'!$N$5),COUNTIFS($B$7:B88,B88,$A$7:A88,"&lt;&gt;",$G$7:G88,"&lt;&gt;Tamamlandı",$E$7:E88,"&lt;="&amp;'Panel'!$N$5),"")</x:f>
      </x:c>
      <x:c r="N88" s="2" t="str">
        <x:f>IF(AND(A88&lt;&gt;"",B88='Panel'!$C$5,G88="Tamamlandı",H88&gt;='Panel'!$N$5-WEEKDAY('Panel'!$N$5,2)+1,H88&lt;='Panel'!$N$5),COUNTIFS($B$7:B88,B88,$G$7:G88,"Tamamlandı",$H$7:H88,"&gt;="&amp;('Panel'!$N$5-WEEKDAY('Panel'!$N$5,2)+1),$H$7:H88,"&lt;="&amp;'Panel'!$N$5),"")</x:f>
      </x:c>
    </x:row>
    <x:row r="89" ht="22" customHeight="1">
      <x:c r="A89" s="6"/>
      <x:c r="B89" s="6"/>
      <x:c r="C89" s="6"/>
      <x:c r="D89" s="6"/>
      <x:c r="E89" s="7"/>
      <x:c r="F89" s="7"/>
      <x:c r="G89" s="6"/>
      <x:c r="H89" s="7"/>
      <x:c r="I89" s="6"/>
      <x:c r="J89" s="6"/>
      <x:c r="K89" s="6"/>
      <x:c r="L89" s="2" t="str">
        <x:f>IF(A89="","",IF(OR(E89="",F89=""),"Eksik tarih",IF(G89="Tamamlandı",IF(H89="","Eksik kapanış",MAX(0,H89-F89)),MAX(0,'Panel'!$N$5-F89))))</x:f>
      </x:c>
      <x:c r="M89" s="2" t="str">
        <x:f>IF(AND(A89&lt;&gt;"",B89='Panel'!$C$5,G89&lt;&gt;"Tamamlandı",E89&lt;='Panel'!$N$5),COUNTIFS($B$7:B89,B89,$A$7:A89,"&lt;&gt;",$G$7:G89,"&lt;&gt;Tamamlandı",$E$7:E89,"&lt;="&amp;'Panel'!$N$5),"")</x:f>
      </x:c>
      <x:c r="N89" s="2" t="str">
        <x:f>IF(AND(A89&lt;&gt;"",B89='Panel'!$C$5,G89="Tamamlandı",H89&gt;='Panel'!$N$5-WEEKDAY('Panel'!$N$5,2)+1,H89&lt;='Panel'!$N$5),COUNTIFS($B$7:B89,B89,$G$7:G89,"Tamamlandı",$H$7:H89,"&gt;="&amp;('Panel'!$N$5-WEEKDAY('Panel'!$N$5,2)+1),$H$7:H89,"&lt;="&amp;'Panel'!$N$5),"")</x:f>
      </x:c>
    </x:row>
    <x:row r="90" ht="22" customHeight="1">
      <x:c r="A90" s="6"/>
      <x:c r="B90" s="6"/>
      <x:c r="C90" s="6"/>
      <x:c r="D90" s="6"/>
      <x:c r="E90" s="7"/>
      <x:c r="F90" s="7"/>
      <x:c r="G90" s="6"/>
      <x:c r="H90" s="7"/>
      <x:c r="I90" s="6"/>
      <x:c r="J90" s="6"/>
      <x:c r="K90" s="6"/>
      <x:c r="L90" s="2" t="str">
        <x:f>IF(A90="","",IF(OR(E90="",F90=""),"Eksik tarih",IF(G90="Tamamlandı",IF(H90="","Eksik kapanış",MAX(0,H90-F90)),MAX(0,'Panel'!$N$5-F90))))</x:f>
      </x:c>
      <x:c r="M90" s="2" t="str">
        <x:f>IF(AND(A90&lt;&gt;"",B90='Panel'!$C$5,G90&lt;&gt;"Tamamlandı",E90&lt;='Panel'!$N$5),COUNTIFS($B$7:B90,B90,$A$7:A90,"&lt;&gt;",$G$7:G90,"&lt;&gt;Tamamlandı",$E$7:E90,"&lt;="&amp;'Panel'!$N$5),"")</x:f>
      </x:c>
      <x:c r="N90" s="2" t="str">
        <x:f>IF(AND(A90&lt;&gt;"",B90='Panel'!$C$5,G90="Tamamlandı",H90&gt;='Panel'!$N$5-WEEKDAY('Panel'!$N$5,2)+1,H90&lt;='Panel'!$N$5),COUNTIFS($B$7:B90,B90,$G$7:G90,"Tamamlandı",$H$7:H90,"&gt;="&amp;('Panel'!$N$5-WEEKDAY('Panel'!$N$5,2)+1),$H$7:H90,"&lt;="&amp;'Panel'!$N$5),"")</x:f>
      </x:c>
    </x:row>
    <x:row r="91" ht="22" customHeight="1">
      <x:c r="A91" s="6"/>
      <x:c r="B91" s="6"/>
      <x:c r="C91" s="6"/>
      <x:c r="D91" s="6"/>
      <x:c r="E91" s="7"/>
      <x:c r="F91" s="7"/>
      <x:c r="G91" s="6"/>
      <x:c r="H91" s="7"/>
      <x:c r="I91" s="6"/>
      <x:c r="J91" s="6"/>
      <x:c r="K91" s="6"/>
      <x:c r="L91" s="2" t="str">
        <x:f>IF(A91="","",IF(OR(E91="",F91=""),"Eksik tarih",IF(G91="Tamamlandı",IF(H91="","Eksik kapanış",MAX(0,H91-F91)),MAX(0,'Panel'!$N$5-F91))))</x:f>
      </x:c>
      <x:c r="M91" s="2" t="str">
        <x:f>IF(AND(A91&lt;&gt;"",B91='Panel'!$C$5,G91&lt;&gt;"Tamamlandı",E91&lt;='Panel'!$N$5),COUNTIFS($B$7:B91,B91,$A$7:A91,"&lt;&gt;",$G$7:G91,"&lt;&gt;Tamamlandı",$E$7:E91,"&lt;="&amp;'Panel'!$N$5),"")</x:f>
      </x:c>
      <x:c r="N91" s="2" t="str">
        <x:f>IF(AND(A91&lt;&gt;"",B91='Panel'!$C$5,G91="Tamamlandı",H91&gt;='Panel'!$N$5-WEEKDAY('Panel'!$N$5,2)+1,H91&lt;='Panel'!$N$5),COUNTIFS($B$7:B91,B91,$G$7:G91,"Tamamlandı",$H$7:H91,"&gt;="&amp;('Panel'!$N$5-WEEKDAY('Panel'!$N$5,2)+1),$H$7:H91,"&lt;="&amp;'Panel'!$N$5),"")</x:f>
      </x:c>
    </x:row>
    <x:row r="92" ht="22" customHeight="1">
      <x:c r="A92" s="6"/>
      <x:c r="B92" s="6"/>
      <x:c r="C92" s="6"/>
      <x:c r="D92" s="6"/>
      <x:c r="E92" s="7"/>
      <x:c r="F92" s="7"/>
      <x:c r="G92" s="6"/>
      <x:c r="H92" s="7"/>
      <x:c r="I92" s="6"/>
      <x:c r="J92" s="6"/>
      <x:c r="K92" s="6"/>
      <x:c r="L92" s="2" t="str">
        <x:f>IF(A92="","",IF(OR(E92="",F92=""),"Eksik tarih",IF(G92="Tamamlandı",IF(H92="","Eksik kapanış",MAX(0,H92-F92)),MAX(0,'Panel'!$N$5-F92))))</x:f>
      </x:c>
      <x:c r="M92" s="2" t="str">
        <x:f>IF(AND(A92&lt;&gt;"",B92='Panel'!$C$5,G92&lt;&gt;"Tamamlandı",E92&lt;='Panel'!$N$5),COUNTIFS($B$7:B92,B92,$A$7:A92,"&lt;&gt;",$G$7:G92,"&lt;&gt;Tamamlandı",$E$7:E92,"&lt;="&amp;'Panel'!$N$5),"")</x:f>
      </x:c>
      <x:c r="N92" s="2" t="str">
        <x:f>IF(AND(A92&lt;&gt;"",B92='Panel'!$C$5,G92="Tamamlandı",H92&gt;='Panel'!$N$5-WEEKDAY('Panel'!$N$5,2)+1,H92&lt;='Panel'!$N$5),COUNTIFS($B$7:B92,B92,$G$7:G92,"Tamamlandı",$H$7:H92,"&gt;="&amp;('Panel'!$N$5-WEEKDAY('Panel'!$N$5,2)+1),$H$7:H92,"&lt;="&amp;'Panel'!$N$5),"")</x:f>
      </x:c>
    </x:row>
    <x:row r="93" ht="22" customHeight="1">
      <x:c r="A93" s="6"/>
      <x:c r="B93" s="6"/>
      <x:c r="C93" s="6"/>
      <x:c r="D93" s="6"/>
      <x:c r="E93" s="7"/>
      <x:c r="F93" s="7"/>
      <x:c r="G93" s="6"/>
      <x:c r="H93" s="7"/>
      <x:c r="I93" s="6"/>
      <x:c r="J93" s="6"/>
      <x:c r="K93" s="6"/>
      <x:c r="L93" s="2" t="str">
        <x:f>IF(A93="","",IF(OR(E93="",F93=""),"Eksik tarih",IF(G93="Tamamlandı",IF(H93="","Eksik kapanış",MAX(0,H93-F93)),MAX(0,'Panel'!$N$5-F93))))</x:f>
      </x:c>
      <x:c r="M93" s="2" t="str">
        <x:f>IF(AND(A93&lt;&gt;"",B93='Panel'!$C$5,G93&lt;&gt;"Tamamlandı",E93&lt;='Panel'!$N$5),COUNTIFS($B$7:B93,B93,$A$7:A93,"&lt;&gt;",$G$7:G93,"&lt;&gt;Tamamlandı",$E$7:E93,"&lt;="&amp;'Panel'!$N$5),"")</x:f>
      </x:c>
      <x:c r="N93" s="2" t="str">
        <x:f>IF(AND(A93&lt;&gt;"",B93='Panel'!$C$5,G93="Tamamlandı",H93&gt;='Panel'!$N$5-WEEKDAY('Panel'!$N$5,2)+1,H93&lt;='Panel'!$N$5),COUNTIFS($B$7:B93,B93,$G$7:G93,"Tamamlandı",$H$7:H93,"&gt;="&amp;('Panel'!$N$5-WEEKDAY('Panel'!$N$5,2)+1),$H$7:H93,"&lt;="&amp;'Panel'!$N$5),"")</x:f>
      </x:c>
    </x:row>
    <x:row r="94" ht="22" customHeight="1">
      <x:c r="A94" s="6"/>
      <x:c r="B94" s="6"/>
      <x:c r="C94" s="6"/>
      <x:c r="D94" s="6"/>
      <x:c r="E94" s="7"/>
      <x:c r="F94" s="7"/>
      <x:c r="G94" s="6"/>
      <x:c r="H94" s="7"/>
      <x:c r="I94" s="6"/>
      <x:c r="J94" s="6"/>
      <x:c r="K94" s="6"/>
      <x:c r="L94" s="2" t="str">
        <x:f>IF(A94="","",IF(OR(E94="",F94=""),"Eksik tarih",IF(G94="Tamamlandı",IF(H94="","Eksik kapanış",MAX(0,H94-F94)),MAX(0,'Panel'!$N$5-F94))))</x:f>
      </x:c>
      <x:c r="M94" s="2" t="str">
        <x:f>IF(AND(A94&lt;&gt;"",B94='Panel'!$C$5,G94&lt;&gt;"Tamamlandı",E94&lt;='Panel'!$N$5),COUNTIFS($B$7:B94,B94,$A$7:A94,"&lt;&gt;",$G$7:G94,"&lt;&gt;Tamamlandı",$E$7:E94,"&lt;="&amp;'Panel'!$N$5),"")</x:f>
      </x:c>
      <x:c r="N94" s="2" t="str">
        <x:f>IF(AND(A94&lt;&gt;"",B94='Panel'!$C$5,G94="Tamamlandı",H94&gt;='Panel'!$N$5-WEEKDAY('Panel'!$N$5,2)+1,H94&lt;='Panel'!$N$5),COUNTIFS($B$7:B94,B94,$G$7:G94,"Tamamlandı",$H$7:H94,"&gt;="&amp;('Panel'!$N$5-WEEKDAY('Panel'!$N$5,2)+1),$H$7:H94,"&lt;="&amp;'Panel'!$N$5),"")</x:f>
      </x:c>
    </x:row>
    <x:row r="95" ht="22" customHeight="1">
      <x:c r="A95" s="6"/>
      <x:c r="B95" s="6"/>
      <x:c r="C95" s="6"/>
      <x:c r="D95" s="6"/>
      <x:c r="E95" s="7"/>
      <x:c r="F95" s="7"/>
      <x:c r="G95" s="6"/>
      <x:c r="H95" s="7"/>
      <x:c r="I95" s="6"/>
      <x:c r="J95" s="6"/>
      <x:c r="K95" s="6"/>
      <x:c r="L95" s="2" t="str">
        <x:f>IF(A95="","",IF(OR(E95="",F95=""),"Eksik tarih",IF(G95="Tamamlandı",IF(H95="","Eksik kapanış",MAX(0,H95-F95)),MAX(0,'Panel'!$N$5-F95))))</x:f>
      </x:c>
      <x:c r="M95" s="2" t="str">
        <x:f>IF(AND(A95&lt;&gt;"",B95='Panel'!$C$5,G95&lt;&gt;"Tamamlandı",E95&lt;='Panel'!$N$5),COUNTIFS($B$7:B95,B95,$A$7:A95,"&lt;&gt;",$G$7:G95,"&lt;&gt;Tamamlandı",$E$7:E95,"&lt;="&amp;'Panel'!$N$5),"")</x:f>
      </x:c>
      <x:c r="N95" s="2" t="str">
        <x:f>IF(AND(A95&lt;&gt;"",B95='Panel'!$C$5,G95="Tamamlandı",H95&gt;='Panel'!$N$5-WEEKDAY('Panel'!$N$5,2)+1,H95&lt;='Panel'!$N$5),COUNTIFS($B$7:B95,B95,$G$7:G95,"Tamamlandı",$H$7:H95,"&gt;="&amp;('Panel'!$N$5-WEEKDAY('Panel'!$N$5,2)+1),$H$7:H95,"&lt;="&amp;'Panel'!$N$5),"")</x:f>
      </x:c>
    </x:row>
    <x:row r="96" ht="22" customHeight="1">
      <x:c r="A96" s="6"/>
      <x:c r="B96" s="6"/>
      <x:c r="C96" s="6"/>
      <x:c r="D96" s="6"/>
      <x:c r="E96" s="7"/>
      <x:c r="F96" s="7"/>
      <x:c r="G96" s="6"/>
      <x:c r="H96" s="7"/>
      <x:c r="I96" s="6"/>
      <x:c r="J96" s="6"/>
      <x:c r="K96" s="6"/>
      <x:c r="L96" s="2" t="str">
        <x:f>IF(A96="","",IF(OR(E96="",F96=""),"Eksik tarih",IF(G96="Tamamlandı",IF(H96="","Eksik kapanış",MAX(0,H96-F96)),MAX(0,'Panel'!$N$5-F96))))</x:f>
      </x:c>
      <x:c r="M96" s="2" t="str">
        <x:f>IF(AND(A96&lt;&gt;"",B96='Panel'!$C$5,G96&lt;&gt;"Tamamlandı",E96&lt;='Panel'!$N$5),COUNTIFS($B$7:B96,B96,$A$7:A96,"&lt;&gt;",$G$7:G96,"&lt;&gt;Tamamlandı",$E$7:E96,"&lt;="&amp;'Panel'!$N$5),"")</x:f>
      </x:c>
      <x:c r="N96" s="2" t="str">
        <x:f>IF(AND(A96&lt;&gt;"",B96='Panel'!$C$5,G96="Tamamlandı",H96&gt;='Panel'!$N$5-WEEKDAY('Panel'!$N$5,2)+1,H96&lt;='Panel'!$N$5),COUNTIFS($B$7:B96,B96,$G$7:G96,"Tamamlandı",$H$7:H96,"&gt;="&amp;('Panel'!$N$5-WEEKDAY('Panel'!$N$5,2)+1),$H$7:H96,"&lt;="&amp;'Panel'!$N$5),"")</x:f>
      </x:c>
    </x:row>
    <x:row r="97" ht="22" customHeight="1">
      <x:c r="A97" s="6"/>
      <x:c r="B97" s="6"/>
      <x:c r="C97" s="6"/>
      <x:c r="D97" s="6"/>
      <x:c r="E97" s="7"/>
      <x:c r="F97" s="7"/>
      <x:c r="G97" s="6"/>
      <x:c r="H97" s="7"/>
      <x:c r="I97" s="6"/>
      <x:c r="J97" s="6"/>
      <x:c r="K97" s="6"/>
      <x:c r="L97" s="2" t="str">
        <x:f>IF(A97="","",IF(OR(E97="",F97=""),"Eksik tarih",IF(G97="Tamamlandı",IF(H97="","Eksik kapanış",MAX(0,H97-F97)),MAX(0,'Panel'!$N$5-F97))))</x:f>
      </x:c>
      <x:c r="M97" s="2" t="str">
        <x:f>IF(AND(A97&lt;&gt;"",B97='Panel'!$C$5,G97&lt;&gt;"Tamamlandı",E97&lt;='Panel'!$N$5),COUNTIFS($B$7:B97,B97,$A$7:A97,"&lt;&gt;",$G$7:G97,"&lt;&gt;Tamamlandı",$E$7:E97,"&lt;="&amp;'Panel'!$N$5),"")</x:f>
      </x:c>
      <x:c r="N97" s="2" t="str">
        <x:f>IF(AND(A97&lt;&gt;"",B97='Panel'!$C$5,G97="Tamamlandı",H97&gt;='Panel'!$N$5-WEEKDAY('Panel'!$N$5,2)+1,H97&lt;='Panel'!$N$5),COUNTIFS($B$7:B97,B97,$G$7:G97,"Tamamlandı",$H$7:H97,"&gt;="&amp;('Panel'!$N$5-WEEKDAY('Panel'!$N$5,2)+1),$H$7:H97,"&lt;="&amp;'Panel'!$N$5),"")</x:f>
      </x:c>
    </x:row>
    <x:row r="98" ht="22" customHeight="1">
      <x:c r="A98" s="6"/>
      <x:c r="B98" s="6"/>
      <x:c r="C98" s="6"/>
      <x:c r="D98" s="6"/>
      <x:c r="E98" s="7"/>
      <x:c r="F98" s="7"/>
      <x:c r="G98" s="6"/>
      <x:c r="H98" s="7"/>
      <x:c r="I98" s="6"/>
      <x:c r="J98" s="6"/>
      <x:c r="K98" s="6"/>
      <x:c r="L98" s="2" t="str">
        <x:f>IF(A98="","",IF(OR(E98="",F98=""),"Eksik tarih",IF(G98="Tamamlandı",IF(H98="","Eksik kapanış",MAX(0,H98-F98)),MAX(0,'Panel'!$N$5-F98))))</x:f>
      </x:c>
      <x:c r="M98" s="2" t="str">
        <x:f>IF(AND(A98&lt;&gt;"",B98='Panel'!$C$5,G98&lt;&gt;"Tamamlandı",E98&lt;='Panel'!$N$5),COUNTIFS($B$7:B98,B98,$A$7:A98,"&lt;&gt;",$G$7:G98,"&lt;&gt;Tamamlandı",$E$7:E98,"&lt;="&amp;'Panel'!$N$5),"")</x:f>
      </x:c>
      <x:c r="N98" s="2" t="str">
        <x:f>IF(AND(A98&lt;&gt;"",B98='Panel'!$C$5,G98="Tamamlandı",H98&gt;='Panel'!$N$5-WEEKDAY('Panel'!$N$5,2)+1,H98&lt;='Panel'!$N$5),COUNTIFS($B$7:B98,B98,$G$7:G98,"Tamamlandı",$H$7:H98,"&gt;="&amp;('Panel'!$N$5-WEEKDAY('Panel'!$N$5,2)+1),$H$7:H98,"&lt;="&amp;'Panel'!$N$5),"")</x:f>
      </x:c>
    </x:row>
    <x:row r="99" ht="22" customHeight="1">
      <x:c r="A99" s="6"/>
      <x:c r="B99" s="6"/>
      <x:c r="C99" s="6"/>
      <x:c r="D99" s="6"/>
      <x:c r="E99" s="7"/>
      <x:c r="F99" s="7"/>
      <x:c r="G99" s="6"/>
      <x:c r="H99" s="7"/>
      <x:c r="I99" s="6"/>
      <x:c r="J99" s="6"/>
      <x:c r="K99" s="6"/>
      <x:c r="L99" s="2" t="str">
        <x:f>IF(A99="","",IF(OR(E99="",F99=""),"Eksik tarih",IF(G99="Tamamlandı",IF(H99="","Eksik kapanış",MAX(0,H99-F99)),MAX(0,'Panel'!$N$5-F99))))</x:f>
      </x:c>
      <x:c r="M99" s="2" t="str">
        <x:f>IF(AND(A99&lt;&gt;"",B99='Panel'!$C$5,G99&lt;&gt;"Tamamlandı",E99&lt;='Panel'!$N$5),COUNTIFS($B$7:B99,B99,$A$7:A99,"&lt;&gt;",$G$7:G99,"&lt;&gt;Tamamlandı",$E$7:E99,"&lt;="&amp;'Panel'!$N$5),"")</x:f>
      </x:c>
      <x:c r="N99" s="2" t="str">
        <x:f>IF(AND(A99&lt;&gt;"",B99='Panel'!$C$5,G99="Tamamlandı",H99&gt;='Panel'!$N$5-WEEKDAY('Panel'!$N$5,2)+1,H99&lt;='Panel'!$N$5),COUNTIFS($B$7:B99,B99,$G$7:G99,"Tamamlandı",$H$7:H99,"&gt;="&amp;('Panel'!$N$5-WEEKDAY('Panel'!$N$5,2)+1),$H$7:H99,"&lt;="&amp;'Panel'!$N$5),"")</x:f>
      </x:c>
    </x:row>
    <x:row r="100" ht="22" customHeight="1">
      <x:c r="A100" s="6"/>
      <x:c r="B100" s="6"/>
      <x:c r="C100" s="6"/>
      <x:c r="D100" s="6"/>
      <x:c r="E100" s="7"/>
      <x:c r="F100" s="7"/>
      <x:c r="G100" s="6"/>
      <x:c r="H100" s="7"/>
      <x:c r="I100" s="6"/>
      <x:c r="J100" s="6"/>
      <x:c r="K100" s="6"/>
      <x:c r="L100" s="2" t="str">
        <x:f>IF(A100="","",IF(OR(E100="",F100=""),"Eksik tarih",IF(G100="Tamamlandı",IF(H100="","Eksik kapanış",MAX(0,H100-F100)),MAX(0,'Panel'!$N$5-F100))))</x:f>
      </x:c>
      <x:c r="M100" s="2" t="str">
        <x:f>IF(AND(A100&lt;&gt;"",B100='Panel'!$C$5,G100&lt;&gt;"Tamamlandı",E100&lt;='Panel'!$N$5),COUNTIFS($B$7:B100,B100,$A$7:A100,"&lt;&gt;",$G$7:G100,"&lt;&gt;Tamamlandı",$E$7:E100,"&lt;="&amp;'Panel'!$N$5),"")</x:f>
      </x:c>
      <x:c r="N100" s="2" t="str">
        <x:f>IF(AND(A100&lt;&gt;"",B100='Panel'!$C$5,G100="Tamamlandı",H100&gt;='Panel'!$N$5-WEEKDAY('Panel'!$N$5,2)+1,H100&lt;='Panel'!$N$5),COUNTIFS($B$7:B100,B100,$G$7:G100,"Tamamlandı",$H$7:H100,"&gt;="&amp;('Panel'!$N$5-WEEKDAY('Panel'!$N$5,2)+1),$H$7:H100,"&lt;="&amp;'Panel'!$N$5),"")</x:f>
      </x:c>
    </x:row>
    <x:row r="101" ht="22" customHeight="1">
      <x:c r="A101" s="6"/>
      <x:c r="B101" s="6"/>
      <x:c r="C101" s="6"/>
      <x:c r="D101" s="6"/>
      <x:c r="E101" s="7"/>
      <x:c r="F101" s="7"/>
      <x:c r="G101" s="6"/>
      <x:c r="H101" s="7"/>
      <x:c r="I101" s="6"/>
      <x:c r="J101" s="6"/>
      <x:c r="K101" s="6"/>
      <x:c r="L101" s="2" t="str">
        <x:f>IF(A101="","",IF(OR(E101="",F101=""),"Eksik tarih",IF(G101="Tamamlandı",IF(H101="","Eksik kapanış",MAX(0,H101-F101)),MAX(0,'Panel'!$N$5-F101))))</x:f>
      </x:c>
      <x:c r="M101" s="2" t="str">
        <x:f>IF(AND(A101&lt;&gt;"",B101='Panel'!$C$5,G101&lt;&gt;"Tamamlandı",E101&lt;='Panel'!$N$5),COUNTIFS($B$7:B101,B101,$A$7:A101,"&lt;&gt;",$G$7:G101,"&lt;&gt;Tamamlandı",$E$7:E101,"&lt;="&amp;'Panel'!$N$5),"")</x:f>
      </x:c>
      <x:c r="N101" s="2" t="str">
        <x:f>IF(AND(A101&lt;&gt;"",B101='Panel'!$C$5,G101="Tamamlandı",H101&gt;='Panel'!$N$5-WEEKDAY('Panel'!$N$5,2)+1,H101&lt;='Panel'!$N$5),COUNTIFS($B$7:B101,B101,$G$7:G101,"Tamamlandı",$H$7:H101,"&gt;="&amp;('Panel'!$N$5-WEEKDAY('Panel'!$N$5,2)+1),$H$7:H101,"&lt;="&amp;'Panel'!$N$5),"")</x:f>
      </x:c>
    </x:row>
    <x:row r="102" ht="22" customHeight="1">
      <x:c r="A102" s="6"/>
      <x:c r="B102" s="6"/>
      <x:c r="C102" s="6"/>
      <x:c r="D102" s="6"/>
      <x:c r="E102" s="7"/>
      <x:c r="F102" s="7"/>
      <x:c r="G102" s="6"/>
      <x:c r="H102" s="7"/>
      <x:c r="I102" s="6"/>
      <x:c r="J102" s="6"/>
      <x:c r="K102" s="6"/>
      <x:c r="L102" s="2" t="str">
        <x:f>IF(A102="","",IF(OR(E102="",F102=""),"Eksik tarih",IF(G102="Tamamlandı",IF(H102="","Eksik kapanış",MAX(0,H102-F102)),MAX(0,'Panel'!$N$5-F102))))</x:f>
      </x:c>
      <x:c r="M102" s="2" t="str">
        <x:f>IF(AND(A102&lt;&gt;"",B102='Panel'!$C$5,G102&lt;&gt;"Tamamlandı",E102&lt;='Panel'!$N$5),COUNTIFS($B$7:B102,B102,$A$7:A102,"&lt;&gt;",$G$7:G102,"&lt;&gt;Tamamlandı",$E$7:E102,"&lt;="&amp;'Panel'!$N$5),"")</x:f>
      </x:c>
      <x:c r="N102" s="2" t="str">
        <x:f>IF(AND(A102&lt;&gt;"",B102='Panel'!$C$5,G102="Tamamlandı",H102&gt;='Panel'!$N$5-WEEKDAY('Panel'!$N$5,2)+1,H102&lt;='Panel'!$N$5),COUNTIFS($B$7:B102,B102,$G$7:G102,"Tamamlandı",$H$7:H102,"&gt;="&amp;('Panel'!$N$5-WEEKDAY('Panel'!$N$5,2)+1),$H$7:H102,"&lt;="&amp;'Panel'!$N$5),"")</x:f>
      </x:c>
    </x:row>
    <x:row r="103" ht="22" customHeight="1">
      <x:c r="A103" s="6"/>
      <x:c r="B103" s="6"/>
      <x:c r="C103" s="6"/>
      <x:c r="D103" s="6"/>
      <x:c r="E103" s="7"/>
      <x:c r="F103" s="7"/>
      <x:c r="G103" s="6"/>
      <x:c r="H103" s="7"/>
      <x:c r="I103" s="6"/>
      <x:c r="J103" s="6"/>
      <x:c r="K103" s="6"/>
      <x:c r="L103" s="2" t="str">
        <x:f>IF(A103="","",IF(OR(E103="",F103=""),"Eksik tarih",IF(G103="Tamamlandı",IF(H103="","Eksik kapanış",MAX(0,H103-F103)),MAX(0,'Panel'!$N$5-F103))))</x:f>
      </x:c>
      <x:c r="M103" s="2" t="str">
        <x:f>IF(AND(A103&lt;&gt;"",B103='Panel'!$C$5,G103&lt;&gt;"Tamamlandı",E103&lt;='Panel'!$N$5),COUNTIFS($B$7:B103,B103,$A$7:A103,"&lt;&gt;",$G$7:G103,"&lt;&gt;Tamamlandı",$E$7:E103,"&lt;="&amp;'Panel'!$N$5),"")</x:f>
      </x:c>
      <x:c r="N103" s="2" t="str">
        <x:f>IF(AND(A103&lt;&gt;"",B103='Panel'!$C$5,G103="Tamamlandı",H103&gt;='Panel'!$N$5-WEEKDAY('Panel'!$N$5,2)+1,H103&lt;='Panel'!$N$5),COUNTIFS($B$7:B103,B103,$G$7:G103,"Tamamlandı",$H$7:H103,"&gt;="&amp;('Panel'!$N$5-WEEKDAY('Panel'!$N$5,2)+1),$H$7:H103,"&lt;="&amp;'Panel'!$N$5),"")</x:f>
      </x:c>
    </x:row>
    <x:row r="104" ht="22" customHeight="1">
      <x:c r="A104" s="6"/>
      <x:c r="B104" s="6"/>
      <x:c r="C104" s="6"/>
      <x:c r="D104" s="6"/>
      <x:c r="E104" s="7"/>
      <x:c r="F104" s="7"/>
      <x:c r="G104" s="6"/>
      <x:c r="H104" s="7"/>
      <x:c r="I104" s="6"/>
      <x:c r="J104" s="6"/>
      <x:c r="K104" s="6"/>
      <x:c r="L104" s="2" t="str">
        <x:f>IF(A104="","",IF(OR(E104="",F104=""),"Eksik tarih",IF(G104="Tamamlandı",IF(H104="","Eksik kapanış",MAX(0,H104-F104)),MAX(0,'Panel'!$N$5-F104))))</x:f>
      </x:c>
      <x:c r="M104" s="2" t="str">
        <x:f>IF(AND(A104&lt;&gt;"",B104='Panel'!$C$5,G104&lt;&gt;"Tamamlandı",E104&lt;='Panel'!$N$5),COUNTIFS($B$7:B104,B104,$A$7:A104,"&lt;&gt;",$G$7:G104,"&lt;&gt;Tamamlandı",$E$7:E104,"&lt;="&amp;'Panel'!$N$5),"")</x:f>
      </x:c>
      <x:c r="N104" s="2" t="str">
        <x:f>IF(AND(A104&lt;&gt;"",B104='Panel'!$C$5,G104="Tamamlandı",H104&gt;='Panel'!$N$5-WEEKDAY('Panel'!$N$5,2)+1,H104&lt;='Panel'!$N$5),COUNTIFS($B$7:B104,B104,$G$7:G104,"Tamamlandı",$H$7:H104,"&gt;="&amp;('Panel'!$N$5-WEEKDAY('Panel'!$N$5,2)+1),$H$7:H104,"&lt;="&amp;'Panel'!$N$5),"")</x:f>
      </x:c>
    </x:row>
    <x:row r="105" ht="22" customHeight="1">
      <x:c r="A105" s="6"/>
      <x:c r="B105" s="6"/>
      <x:c r="C105" s="6"/>
      <x:c r="D105" s="6"/>
      <x:c r="E105" s="7"/>
      <x:c r="F105" s="7"/>
      <x:c r="G105" s="6"/>
      <x:c r="H105" s="7"/>
      <x:c r="I105" s="6"/>
      <x:c r="J105" s="6"/>
      <x:c r="K105" s="6"/>
      <x:c r="L105" s="2" t="str">
        <x:f>IF(A105="","",IF(OR(E105="",F105=""),"Eksik tarih",IF(G105="Tamamlandı",IF(H105="","Eksik kapanış",MAX(0,H105-F105)),MAX(0,'Panel'!$N$5-F105))))</x:f>
      </x:c>
      <x:c r="M105" s="2" t="str">
        <x:f>IF(AND(A105&lt;&gt;"",B105='Panel'!$C$5,G105&lt;&gt;"Tamamlandı",E105&lt;='Panel'!$N$5),COUNTIFS($B$7:B105,B105,$A$7:A105,"&lt;&gt;",$G$7:G105,"&lt;&gt;Tamamlandı",$E$7:E105,"&lt;="&amp;'Panel'!$N$5),"")</x:f>
      </x:c>
      <x:c r="N105" s="2" t="str">
        <x:f>IF(AND(A105&lt;&gt;"",B105='Panel'!$C$5,G105="Tamamlandı",H105&gt;='Panel'!$N$5-WEEKDAY('Panel'!$N$5,2)+1,H105&lt;='Panel'!$N$5),COUNTIFS($B$7:B105,B105,$G$7:G105,"Tamamlandı",$H$7:H105,"&gt;="&amp;('Panel'!$N$5-WEEKDAY('Panel'!$N$5,2)+1),$H$7:H105,"&lt;="&amp;'Panel'!$N$5),"")</x:f>
      </x:c>
    </x:row>
    <x:row r="106" ht="22" customHeight="1">
      <x:c r="A106" s="6"/>
      <x:c r="B106" s="6"/>
      <x:c r="C106" s="6"/>
      <x:c r="D106" s="6"/>
      <x:c r="E106" s="7"/>
      <x:c r="F106" s="7"/>
      <x:c r="G106" s="6"/>
      <x:c r="H106" s="7"/>
      <x:c r="I106" s="6"/>
      <x:c r="J106" s="6"/>
      <x:c r="K106" s="6"/>
      <x:c r="L106" s="2" t="str">
        <x:f>IF(A106="","",IF(OR(E106="",F106=""),"Eksik tarih",IF(G106="Tamamlandı",IF(H106="","Eksik kapanış",MAX(0,H106-F106)),MAX(0,'Panel'!$N$5-F106))))</x:f>
      </x:c>
      <x:c r="M106" s="2" t="str">
        <x:f>IF(AND(A106&lt;&gt;"",B106='Panel'!$C$5,G106&lt;&gt;"Tamamlandı",E106&lt;='Panel'!$N$5),COUNTIFS($B$7:B106,B106,$A$7:A106,"&lt;&gt;",$G$7:G106,"&lt;&gt;Tamamlandı",$E$7:E106,"&lt;="&amp;'Panel'!$N$5),"")</x:f>
      </x:c>
      <x:c r="N106" s="2" t="str">
        <x:f>IF(AND(A106&lt;&gt;"",B106='Panel'!$C$5,G106="Tamamlandı",H106&gt;='Panel'!$N$5-WEEKDAY('Panel'!$N$5,2)+1,H106&lt;='Panel'!$N$5),COUNTIFS($B$7:B106,B106,$G$7:G106,"Tamamlandı",$H$7:H106,"&gt;="&amp;('Panel'!$N$5-WEEKDAY('Panel'!$N$5,2)+1),$H$7:H106,"&lt;="&amp;'Panel'!$N$5),"")</x:f>
      </x:c>
    </x:row>
    <x:row r="107" ht="22" customHeight="1">
      <x:c r="A107" s="6"/>
      <x:c r="B107" s="6"/>
      <x:c r="C107" s="6"/>
      <x:c r="D107" s="6"/>
      <x:c r="E107" s="7"/>
      <x:c r="F107" s="7"/>
      <x:c r="G107" s="6"/>
      <x:c r="H107" s="7"/>
      <x:c r="I107" s="6"/>
      <x:c r="J107" s="6"/>
      <x:c r="K107" s="6"/>
      <x:c r="L107" s="2" t="str">
        <x:f>IF(A107="","",IF(OR(E107="",F107=""),"Eksik tarih",IF(G107="Tamamlandı",IF(H107="","Eksik kapanış",MAX(0,H107-F107)),MAX(0,'Panel'!$N$5-F107))))</x:f>
      </x:c>
      <x:c r="M107" s="2" t="str">
        <x:f>IF(AND(A107&lt;&gt;"",B107='Panel'!$C$5,G107&lt;&gt;"Tamamlandı",E107&lt;='Panel'!$N$5),COUNTIFS($B$7:B107,B107,$A$7:A107,"&lt;&gt;",$G$7:G107,"&lt;&gt;Tamamlandı",$E$7:E107,"&lt;="&amp;'Panel'!$N$5),"")</x:f>
      </x:c>
      <x:c r="N107" s="2" t="str">
        <x:f>IF(AND(A107&lt;&gt;"",B107='Panel'!$C$5,G107="Tamamlandı",H107&gt;='Panel'!$N$5-WEEKDAY('Panel'!$N$5,2)+1,H107&lt;='Panel'!$N$5),COUNTIFS($B$7:B107,B107,$G$7:G107,"Tamamlandı",$H$7:H107,"&gt;="&amp;('Panel'!$N$5-WEEKDAY('Panel'!$N$5,2)+1),$H$7:H107,"&lt;="&amp;'Panel'!$N$5),"")</x:f>
      </x:c>
    </x:row>
    <x:row r="108" ht="22" customHeight="1">
      <x:c r="A108" s="6"/>
      <x:c r="B108" s="6"/>
      <x:c r="C108" s="6"/>
      <x:c r="D108" s="6"/>
      <x:c r="E108" s="7"/>
      <x:c r="F108" s="7"/>
      <x:c r="G108" s="6"/>
      <x:c r="H108" s="7"/>
      <x:c r="I108" s="6"/>
      <x:c r="J108" s="6"/>
      <x:c r="K108" s="6"/>
      <x:c r="L108" s="2" t="str">
        <x:f>IF(A108="","",IF(OR(E108="",F108=""),"Eksik tarih",IF(G108="Tamamlandı",IF(H108="","Eksik kapanış",MAX(0,H108-F108)),MAX(0,'Panel'!$N$5-F108))))</x:f>
      </x:c>
      <x:c r="M108" s="2" t="str">
        <x:f>IF(AND(A108&lt;&gt;"",B108='Panel'!$C$5,G108&lt;&gt;"Tamamlandı",E108&lt;='Panel'!$N$5),COUNTIFS($B$7:B108,B108,$A$7:A108,"&lt;&gt;",$G$7:G108,"&lt;&gt;Tamamlandı",$E$7:E108,"&lt;="&amp;'Panel'!$N$5),"")</x:f>
      </x:c>
      <x:c r="N108" s="2" t="str">
        <x:f>IF(AND(A108&lt;&gt;"",B108='Panel'!$C$5,G108="Tamamlandı",H108&gt;='Panel'!$N$5-WEEKDAY('Panel'!$N$5,2)+1,H108&lt;='Panel'!$N$5),COUNTIFS($B$7:B108,B108,$G$7:G108,"Tamamlandı",$H$7:H108,"&gt;="&amp;('Panel'!$N$5-WEEKDAY('Panel'!$N$5,2)+1),$H$7:H108,"&lt;="&amp;'Panel'!$N$5),"")</x:f>
      </x:c>
    </x:row>
    <x:row r="109" ht="22" customHeight="1">
      <x:c r="A109" s="6"/>
      <x:c r="B109" s="6"/>
      <x:c r="C109" s="6"/>
      <x:c r="D109" s="6"/>
      <x:c r="E109" s="7"/>
      <x:c r="F109" s="7"/>
      <x:c r="G109" s="6"/>
      <x:c r="H109" s="7"/>
      <x:c r="I109" s="6"/>
      <x:c r="J109" s="6"/>
      <x:c r="K109" s="6"/>
      <x:c r="L109" s="2" t="str">
        <x:f>IF(A109="","",IF(OR(E109="",F109=""),"Eksik tarih",IF(G109="Tamamlandı",IF(H109="","Eksik kapanış",MAX(0,H109-F109)),MAX(0,'Panel'!$N$5-F109))))</x:f>
      </x:c>
      <x:c r="M109" s="2" t="str">
        <x:f>IF(AND(A109&lt;&gt;"",B109='Panel'!$C$5,G109&lt;&gt;"Tamamlandı",E109&lt;='Panel'!$N$5),COUNTIFS($B$7:B109,B109,$A$7:A109,"&lt;&gt;",$G$7:G109,"&lt;&gt;Tamamlandı",$E$7:E109,"&lt;="&amp;'Panel'!$N$5),"")</x:f>
      </x:c>
      <x:c r="N109" s="2" t="str">
        <x:f>IF(AND(A109&lt;&gt;"",B109='Panel'!$C$5,G109="Tamamlandı",H109&gt;='Panel'!$N$5-WEEKDAY('Panel'!$N$5,2)+1,H109&lt;='Panel'!$N$5),COUNTIFS($B$7:B109,B109,$G$7:G109,"Tamamlandı",$H$7:H109,"&gt;="&amp;('Panel'!$N$5-WEEKDAY('Panel'!$N$5,2)+1),$H$7:H109,"&lt;="&amp;'Panel'!$N$5),"")</x:f>
      </x:c>
    </x:row>
    <x:row r="110" ht="22" customHeight="1">
      <x:c r="A110" s="6"/>
      <x:c r="B110" s="6"/>
      <x:c r="C110" s="6"/>
      <x:c r="D110" s="6"/>
      <x:c r="E110" s="7"/>
      <x:c r="F110" s="7"/>
      <x:c r="G110" s="6"/>
      <x:c r="H110" s="7"/>
      <x:c r="I110" s="6"/>
      <x:c r="J110" s="6"/>
      <x:c r="K110" s="6"/>
      <x:c r="L110" s="2" t="str">
        <x:f>IF(A110="","",IF(OR(E110="",F110=""),"Eksik tarih",IF(G110="Tamamlandı",IF(H110="","Eksik kapanış",MAX(0,H110-F110)),MAX(0,'Panel'!$N$5-F110))))</x:f>
      </x:c>
      <x:c r="M110" s="2" t="str">
        <x:f>IF(AND(A110&lt;&gt;"",B110='Panel'!$C$5,G110&lt;&gt;"Tamamlandı",E110&lt;='Panel'!$N$5),COUNTIFS($B$7:B110,B110,$A$7:A110,"&lt;&gt;",$G$7:G110,"&lt;&gt;Tamamlandı",$E$7:E110,"&lt;="&amp;'Panel'!$N$5),"")</x:f>
      </x:c>
      <x:c r="N110" s="2" t="str">
        <x:f>IF(AND(A110&lt;&gt;"",B110='Panel'!$C$5,G110="Tamamlandı",H110&gt;='Panel'!$N$5-WEEKDAY('Panel'!$N$5,2)+1,H110&lt;='Panel'!$N$5),COUNTIFS($B$7:B110,B110,$G$7:G110,"Tamamlandı",$H$7:H110,"&gt;="&amp;('Panel'!$N$5-WEEKDAY('Panel'!$N$5,2)+1),$H$7:H110,"&lt;="&amp;'Panel'!$N$5),"")</x:f>
      </x:c>
    </x:row>
    <x:row r="111" ht="22" customHeight="1">
      <x:c r="A111" s="6"/>
      <x:c r="B111" s="6"/>
      <x:c r="C111" s="6"/>
      <x:c r="D111" s="6"/>
      <x:c r="E111" s="7"/>
      <x:c r="F111" s="7"/>
      <x:c r="G111" s="6"/>
      <x:c r="H111" s="7"/>
      <x:c r="I111" s="6"/>
      <x:c r="J111" s="6"/>
      <x:c r="K111" s="6"/>
      <x:c r="L111" s="2" t="str">
        <x:f>IF(A111="","",IF(OR(E111="",F111=""),"Eksik tarih",IF(G111="Tamamlandı",IF(H111="","Eksik kapanış",MAX(0,H111-F111)),MAX(0,'Panel'!$N$5-F111))))</x:f>
      </x:c>
      <x:c r="M111" s="2" t="str">
        <x:f>IF(AND(A111&lt;&gt;"",B111='Panel'!$C$5,G111&lt;&gt;"Tamamlandı",E111&lt;='Panel'!$N$5),COUNTIFS($B$7:B111,B111,$A$7:A111,"&lt;&gt;",$G$7:G111,"&lt;&gt;Tamamlandı",$E$7:E111,"&lt;="&amp;'Panel'!$N$5),"")</x:f>
      </x:c>
      <x:c r="N111" s="2" t="str">
        <x:f>IF(AND(A111&lt;&gt;"",B111='Panel'!$C$5,G111="Tamamlandı",H111&gt;='Panel'!$N$5-WEEKDAY('Panel'!$N$5,2)+1,H111&lt;='Panel'!$N$5),COUNTIFS($B$7:B111,B111,$G$7:G111,"Tamamlandı",$H$7:H111,"&gt;="&amp;('Panel'!$N$5-WEEKDAY('Panel'!$N$5,2)+1),$H$7:H111,"&lt;="&amp;'Panel'!$N$5),"")</x:f>
      </x:c>
    </x:row>
    <x:row r="112" ht="22" customHeight="1">
      <x:c r="A112" s="6"/>
      <x:c r="B112" s="6"/>
      <x:c r="C112" s="6"/>
      <x:c r="D112" s="6"/>
      <x:c r="E112" s="7"/>
      <x:c r="F112" s="7"/>
      <x:c r="G112" s="6"/>
      <x:c r="H112" s="7"/>
      <x:c r="I112" s="6"/>
      <x:c r="J112" s="6"/>
      <x:c r="K112" s="6"/>
      <x:c r="L112" s="2" t="str">
        <x:f>IF(A112="","",IF(OR(E112="",F112=""),"Eksik tarih",IF(G112="Tamamlandı",IF(H112="","Eksik kapanış",MAX(0,H112-F112)),MAX(0,'Panel'!$N$5-F112))))</x:f>
      </x:c>
      <x:c r="M112" s="2" t="str">
        <x:f>IF(AND(A112&lt;&gt;"",B112='Panel'!$C$5,G112&lt;&gt;"Tamamlandı",E112&lt;='Panel'!$N$5),COUNTIFS($B$7:B112,B112,$A$7:A112,"&lt;&gt;",$G$7:G112,"&lt;&gt;Tamamlandı",$E$7:E112,"&lt;="&amp;'Panel'!$N$5),"")</x:f>
      </x:c>
      <x:c r="N112" s="2" t="str">
        <x:f>IF(AND(A112&lt;&gt;"",B112='Panel'!$C$5,G112="Tamamlandı",H112&gt;='Panel'!$N$5-WEEKDAY('Panel'!$N$5,2)+1,H112&lt;='Panel'!$N$5),COUNTIFS($B$7:B112,B112,$G$7:G112,"Tamamlandı",$H$7:H112,"&gt;="&amp;('Panel'!$N$5-WEEKDAY('Panel'!$N$5,2)+1),$H$7:H112,"&lt;="&amp;'Panel'!$N$5),"")</x:f>
      </x:c>
    </x:row>
    <x:row r="113" ht="22" customHeight="1">
      <x:c r="A113" s="6"/>
      <x:c r="B113" s="6"/>
      <x:c r="C113" s="6"/>
      <x:c r="D113" s="6"/>
      <x:c r="E113" s="7"/>
      <x:c r="F113" s="7"/>
      <x:c r="G113" s="6"/>
      <x:c r="H113" s="7"/>
      <x:c r="I113" s="6"/>
      <x:c r="J113" s="6"/>
      <x:c r="K113" s="6"/>
      <x:c r="L113" s="2" t="str">
        <x:f>IF(A113="","",IF(OR(E113="",F113=""),"Eksik tarih",IF(G113="Tamamlandı",IF(H113="","Eksik kapanış",MAX(0,H113-F113)),MAX(0,'Panel'!$N$5-F113))))</x:f>
      </x:c>
      <x:c r="M113" s="2" t="str">
        <x:f>IF(AND(A113&lt;&gt;"",B113='Panel'!$C$5,G113&lt;&gt;"Tamamlandı",E113&lt;='Panel'!$N$5),COUNTIFS($B$7:B113,B113,$A$7:A113,"&lt;&gt;",$G$7:G113,"&lt;&gt;Tamamlandı",$E$7:E113,"&lt;="&amp;'Panel'!$N$5),"")</x:f>
      </x:c>
      <x:c r="N113" s="2" t="str">
        <x:f>IF(AND(A113&lt;&gt;"",B113='Panel'!$C$5,G113="Tamamlandı",H113&gt;='Panel'!$N$5-WEEKDAY('Panel'!$N$5,2)+1,H113&lt;='Panel'!$N$5),COUNTIFS($B$7:B113,B113,$G$7:G113,"Tamamlandı",$H$7:H113,"&gt;="&amp;('Panel'!$N$5-WEEKDAY('Panel'!$N$5,2)+1),$H$7:H113,"&lt;="&amp;'Panel'!$N$5),"")</x:f>
      </x:c>
    </x:row>
    <x:row r="114" ht="22" customHeight="1">
      <x:c r="A114" s="6"/>
      <x:c r="B114" s="6"/>
      <x:c r="C114" s="6"/>
      <x:c r="D114" s="6"/>
      <x:c r="E114" s="7"/>
      <x:c r="F114" s="7"/>
      <x:c r="G114" s="6"/>
      <x:c r="H114" s="7"/>
      <x:c r="I114" s="6"/>
      <x:c r="J114" s="6"/>
      <x:c r="K114" s="6"/>
      <x:c r="L114" s="2" t="str">
        <x:f>IF(A114="","",IF(OR(E114="",F114=""),"Eksik tarih",IF(G114="Tamamlandı",IF(H114="","Eksik kapanış",MAX(0,H114-F114)),MAX(0,'Panel'!$N$5-F114))))</x:f>
      </x:c>
      <x:c r="M114" s="2" t="str">
        <x:f>IF(AND(A114&lt;&gt;"",B114='Panel'!$C$5,G114&lt;&gt;"Tamamlandı",E114&lt;='Panel'!$N$5),COUNTIFS($B$7:B114,B114,$A$7:A114,"&lt;&gt;",$G$7:G114,"&lt;&gt;Tamamlandı",$E$7:E114,"&lt;="&amp;'Panel'!$N$5),"")</x:f>
      </x:c>
      <x:c r="N114" s="2" t="str">
        <x:f>IF(AND(A114&lt;&gt;"",B114='Panel'!$C$5,G114="Tamamlandı",H114&gt;='Panel'!$N$5-WEEKDAY('Panel'!$N$5,2)+1,H114&lt;='Panel'!$N$5),COUNTIFS($B$7:B114,B114,$G$7:G114,"Tamamlandı",$H$7:H114,"&gt;="&amp;('Panel'!$N$5-WEEKDAY('Panel'!$N$5,2)+1),$H$7:H114,"&lt;="&amp;'Panel'!$N$5),"")</x:f>
      </x:c>
    </x:row>
    <x:row r="115" ht="22" customHeight="1">
      <x:c r="A115" s="6"/>
      <x:c r="B115" s="6"/>
      <x:c r="C115" s="6"/>
      <x:c r="D115" s="6"/>
      <x:c r="E115" s="7"/>
      <x:c r="F115" s="7"/>
      <x:c r="G115" s="6"/>
      <x:c r="H115" s="7"/>
      <x:c r="I115" s="6"/>
      <x:c r="J115" s="6"/>
      <x:c r="K115" s="6"/>
      <x:c r="L115" s="2" t="str">
        <x:f>IF(A115="","",IF(OR(E115="",F115=""),"Eksik tarih",IF(G115="Tamamlandı",IF(H115="","Eksik kapanış",MAX(0,H115-F115)),MAX(0,'Panel'!$N$5-F115))))</x:f>
      </x:c>
      <x:c r="M115" s="2" t="str">
        <x:f>IF(AND(A115&lt;&gt;"",B115='Panel'!$C$5,G115&lt;&gt;"Tamamlandı",E115&lt;='Panel'!$N$5),COUNTIFS($B$7:B115,B115,$A$7:A115,"&lt;&gt;",$G$7:G115,"&lt;&gt;Tamamlandı",$E$7:E115,"&lt;="&amp;'Panel'!$N$5),"")</x:f>
      </x:c>
      <x:c r="N115" s="2" t="str">
        <x:f>IF(AND(A115&lt;&gt;"",B115='Panel'!$C$5,G115="Tamamlandı",H115&gt;='Panel'!$N$5-WEEKDAY('Panel'!$N$5,2)+1,H115&lt;='Panel'!$N$5),COUNTIFS($B$7:B115,B115,$G$7:G115,"Tamamlandı",$H$7:H115,"&gt;="&amp;('Panel'!$N$5-WEEKDAY('Panel'!$N$5,2)+1),$H$7:H115,"&lt;="&amp;'Panel'!$N$5),"")</x:f>
      </x:c>
    </x:row>
    <x:row r="116" ht="22" customHeight="1">
      <x:c r="A116" s="6"/>
      <x:c r="B116" s="6"/>
      <x:c r="C116" s="6"/>
      <x:c r="D116" s="6"/>
      <x:c r="E116" s="7"/>
      <x:c r="F116" s="7"/>
      <x:c r="G116" s="6"/>
      <x:c r="H116" s="7"/>
      <x:c r="I116" s="6"/>
      <x:c r="J116" s="6"/>
      <x:c r="K116" s="6"/>
      <x:c r="L116" s="2" t="str">
        <x:f>IF(A116="","",IF(OR(E116="",F116=""),"Eksik tarih",IF(G116="Tamamlandı",IF(H116="","Eksik kapanış",MAX(0,H116-F116)),MAX(0,'Panel'!$N$5-F116))))</x:f>
      </x:c>
      <x:c r="M116" s="2" t="str">
        <x:f>IF(AND(A116&lt;&gt;"",B116='Panel'!$C$5,G116&lt;&gt;"Tamamlandı",E116&lt;='Panel'!$N$5),COUNTIFS($B$7:B116,B116,$A$7:A116,"&lt;&gt;",$G$7:G116,"&lt;&gt;Tamamlandı",$E$7:E116,"&lt;="&amp;'Panel'!$N$5),"")</x:f>
      </x:c>
      <x:c r="N116" s="2" t="str">
        <x:f>IF(AND(A116&lt;&gt;"",B116='Panel'!$C$5,G116="Tamamlandı",H116&gt;='Panel'!$N$5-WEEKDAY('Panel'!$N$5,2)+1,H116&lt;='Panel'!$N$5),COUNTIFS($B$7:B116,B116,$G$7:G116,"Tamamlandı",$H$7:H116,"&gt;="&amp;('Panel'!$N$5-WEEKDAY('Panel'!$N$5,2)+1),$H$7:H116,"&lt;="&amp;'Panel'!$N$5),"")</x:f>
      </x:c>
    </x:row>
    <x:row r="117" ht="22" customHeight="1">
      <x:c r="A117" s="6"/>
      <x:c r="B117" s="6"/>
      <x:c r="C117" s="6"/>
      <x:c r="D117" s="6"/>
      <x:c r="E117" s="7"/>
      <x:c r="F117" s="7"/>
      <x:c r="G117" s="6"/>
      <x:c r="H117" s="7"/>
      <x:c r="I117" s="6"/>
      <x:c r="J117" s="6"/>
      <x:c r="K117" s="6"/>
      <x:c r="L117" s="2" t="str">
        <x:f>IF(A117="","",IF(OR(E117="",F117=""),"Eksik tarih",IF(G117="Tamamlandı",IF(H117="","Eksik kapanış",MAX(0,H117-F117)),MAX(0,'Panel'!$N$5-F117))))</x:f>
      </x:c>
      <x:c r="M117" s="2" t="str">
        <x:f>IF(AND(A117&lt;&gt;"",B117='Panel'!$C$5,G117&lt;&gt;"Tamamlandı",E117&lt;='Panel'!$N$5),COUNTIFS($B$7:B117,B117,$A$7:A117,"&lt;&gt;",$G$7:G117,"&lt;&gt;Tamamlandı",$E$7:E117,"&lt;="&amp;'Panel'!$N$5),"")</x:f>
      </x:c>
      <x:c r="N117" s="2" t="str">
        <x:f>IF(AND(A117&lt;&gt;"",B117='Panel'!$C$5,G117="Tamamlandı",H117&gt;='Panel'!$N$5-WEEKDAY('Panel'!$N$5,2)+1,H117&lt;='Panel'!$N$5),COUNTIFS($B$7:B117,B117,$G$7:G117,"Tamamlandı",$H$7:H117,"&gt;="&amp;('Panel'!$N$5-WEEKDAY('Panel'!$N$5,2)+1),$H$7:H117,"&lt;="&amp;'Panel'!$N$5),"")</x:f>
      </x:c>
    </x:row>
    <x:row r="118" ht="22" customHeight="1">
      <x:c r="A118" s="6"/>
      <x:c r="B118" s="6"/>
      <x:c r="C118" s="6"/>
      <x:c r="D118" s="6"/>
      <x:c r="E118" s="7"/>
      <x:c r="F118" s="7"/>
      <x:c r="G118" s="6"/>
      <x:c r="H118" s="7"/>
      <x:c r="I118" s="6"/>
      <x:c r="J118" s="6"/>
      <x:c r="K118" s="6"/>
      <x:c r="L118" s="2" t="str">
        <x:f>IF(A118="","",IF(OR(E118="",F118=""),"Eksik tarih",IF(G118="Tamamlandı",IF(H118="","Eksik kapanış",MAX(0,H118-F118)),MAX(0,'Panel'!$N$5-F118))))</x:f>
      </x:c>
      <x:c r="M118" s="2" t="str">
        <x:f>IF(AND(A118&lt;&gt;"",B118='Panel'!$C$5,G118&lt;&gt;"Tamamlandı",E118&lt;='Panel'!$N$5),COUNTIFS($B$7:B118,B118,$A$7:A118,"&lt;&gt;",$G$7:G118,"&lt;&gt;Tamamlandı",$E$7:E118,"&lt;="&amp;'Panel'!$N$5),"")</x:f>
      </x:c>
      <x:c r="N118" s="2" t="str">
        <x:f>IF(AND(A118&lt;&gt;"",B118='Panel'!$C$5,G118="Tamamlandı",H118&gt;='Panel'!$N$5-WEEKDAY('Panel'!$N$5,2)+1,H118&lt;='Panel'!$N$5),COUNTIFS($B$7:B118,B118,$G$7:G118,"Tamamlandı",$H$7:H118,"&gt;="&amp;('Panel'!$N$5-WEEKDAY('Panel'!$N$5,2)+1),$H$7:H118,"&lt;="&amp;'Panel'!$N$5),"")</x:f>
      </x:c>
    </x:row>
    <x:row r="119" ht="22" customHeight="1">
      <x:c r="A119" s="6"/>
      <x:c r="B119" s="6"/>
      <x:c r="C119" s="6"/>
      <x:c r="D119" s="6"/>
      <x:c r="E119" s="7"/>
      <x:c r="F119" s="7"/>
      <x:c r="G119" s="6"/>
      <x:c r="H119" s="7"/>
      <x:c r="I119" s="6"/>
      <x:c r="J119" s="6"/>
      <x:c r="K119" s="6"/>
      <x:c r="L119" s="2" t="str">
        <x:f>IF(A119="","",IF(OR(E119="",F119=""),"Eksik tarih",IF(G119="Tamamlandı",IF(H119="","Eksik kapanış",MAX(0,H119-F119)),MAX(0,'Panel'!$N$5-F119))))</x:f>
      </x:c>
      <x:c r="M119" s="2" t="str">
        <x:f>IF(AND(A119&lt;&gt;"",B119='Panel'!$C$5,G119&lt;&gt;"Tamamlandı",E119&lt;='Panel'!$N$5),COUNTIFS($B$7:B119,B119,$A$7:A119,"&lt;&gt;",$G$7:G119,"&lt;&gt;Tamamlandı",$E$7:E119,"&lt;="&amp;'Panel'!$N$5),"")</x:f>
      </x:c>
      <x:c r="N119" s="2" t="str">
        <x:f>IF(AND(A119&lt;&gt;"",B119='Panel'!$C$5,G119="Tamamlandı",H119&gt;='Panel'!$N$5-WEEKDAY('Panel'!$N$5,2)+1,H119&lt;='Panel'!$N$5),COUNTIFS($B$7:B119,B119,$G$7:G119,"Tamamlandı",$H$7:H119,"&gt;="&amp;('Panel'!$N$5-WEEKDAY('Panel'!$N$5,2)+1),$H$7:H119,"&lt;="&amp;'Panel'!$N$5),"")</x:f>
      </x:c>
    </x:row>
    <x:row r="120" ht="22" customHeight="1">
      <x:c r="A120" s="6"/>
      <x:c r="B120" s="6"/>
      <x:c r="C120" s="6"/>
      <x:c r="D120" s="6"/>
      <x:c r="E120" s="7"/>
      <x:c r="F120" s="7"/>
      <x:c r="G120" s="6"/>
      <x:c r="H120" s="7"/>
      <x:c r="I120" s="6"/>
      <x:c r="J120" s="6"/>
      <x:c r="K120" s="6"/>
      <x:c r="L120" s="2" t="str">
        <x:f>IF(A120="","",IF(OR(E120="",F120=""),"Eksik tarih",IF(G120="Tamamlandı",IF(H120="","Eksik kapanış",MAX(0,H120-F120)),MAX(0,'Panel'!$N$5-F120))))</x:f>
      </x:c>
      <x:c r="M120" s="2" t="str">
        <x:f>IF(AND(A120&lt;&gt;"",B120='Panel'!$C$5,G120&lt;&gt;"Tamamlandı",E120&lt;='Panel'!$N$5),COUNTIFS($B$7:B120,B120,$A$7:A120,"&lt;&gt;",$G$7:G120,"&lt;&gt;Tamamlandı",$E$7:E120,"&lt;="&amp;'Panel'!$N$5),"")</x:f>
      </x:c>
      <x:c r="N120" s="2" t="str">
        <x:f>IF(AND(A120&lt;&gt;"",B120='Panel'!$C$5,G120="Tamamlandı",H120&gt;='Panel'!$N$5-WEEKDAY('Panel'!$N$5,2)+1,H120&lt;='Panel'!$N$5),COUNTIFS($B$7:B120,B120,$G$7:G120,"Tamamlandı",$H$7:H120,"&gt;="&amp;('Panel'!$N$5-WEEKDAY('Panel'!$N$5,2)+1),$H$7:H120,"&lt;="&amp;'Panel'!$N$5),"")</x:f>
      </x:c>
    </x:row>
    <x:row r="121" ht="22" customHeight="1">
      <x:c r="A121" s="6"/>
      <x:c r="B121" s="6"/>
      <x:c r="C121" s="6"/>
      <x:c r="D121" s="6"/>
      <x:c r="E121" s="7"/>
      <x:c r="F121" s="7"/>
      <x:c r="G121" s="6"/>
      <x:c r="H121" s="7"/>
      <x:c r="I121" s="6"/>
      <x:c r="J121" s="6"/>
      <x:c r="K121" s="6"/>
      <x:c r="L121" s="2" t="str">
        <x:f>IF(A121="","",IF(OR(E121="",F121=""),"Eksik tarih",IF(G121="Tamamlandı",IF(H121="","Eksik kapanış",MAX(0,H121-F121)),MAX(0,'Panel'!$N$5-F121))))</x:f>
      </x:c>
      <x:c r="M121" s="2" t="str">
        <x:f>IF(AND(A121&lt;&gt;"",B121='Panel'!$C$5,G121&lt;&gt;"Tamamlandı",E121&lt;='Panel'!$N$5),COUNTIFS($B$7:B121,B121,$A$7:A121,"&lt;&gt;",$G$7:G121,"&lt;&gt;Tamamlandı",$E$7:E121,"&lt;="&amp;'Panel'!$N$5),"")</x:f>
      </x:c>
      <x:c r="N121" s="2" t="str">
        <x:f>IF(AND(A121&lt;&gt;"",B121='Panel'!$C$5,G121="Tamamlandı",H121&gt;='Panel'!$N$5-WEEKDAY('Panel'!$N$5,2)+1,H121&lt;='Panel'!$N$5),COUNTIFS($B$7:B121,B121,$G$7:G121,"Tamamlandı",$H$7:H121,"&gt;="&amp;('Panel'!$N$5-WEEKDAY('Panel'!$N$5,2)+1),$H$7:H121,"&lt;="&amp;'Panel'!$N$5),"")</x:f>
      </x:c>
    </x:row>
    <x:row r="122" ht="22" customHeight="1">
      <x:c r="A122" s="6"/>
      <x:c r="B122" s="6"/>
      <x:c r="C122" s="6"/>
      <x:c r="D122" s="6"/>
      <x:c r="E122" s="7"/>
      <x:c r="F122" s="7"/>
      <x:c r="G122" s="6"/>
      <x:c r="H122" s="7"/>
      <x:c r="I122" s="6"/>
      <x:c r="J122" s="6"/>
      <x:c r="K122" s="6"/>
      <x:c r="L122" s="2" t="str">
        <x:f>IF(A122="","",IF(OR(E122="",F122=""),"Eksik tarih",IF(G122="Tamamlandı",IF(H122="","Eksik kapanış",MAX(0,H122-F122)),MAX(0,'Panel'!$N$5-F122))))</x:f>
      </x:c>
      <x:c r="M122" s="2" t="str">
        <x:f>IF(AND(A122&lt;&gt;"",B122='Panel'!$C$5,G122&lt;&gt;"Tamamlandı",E122&lt;='Panel'!$N$5),COUNTIFS($B$7:B122,B122,$A$7:A122,"&lt;&gt;",$G$7:G122,"&lt;&gt;Tamamlandı",$E$7:E122,"&lt;="&amp;'Panel'!$N$5),"")</x:f>
      </x:c>
      <x:c r="N122" s="2" t="str">
        <x:f>IF(AND(A122&lt;&gt;"",B122='Panel'!$C$5,G122="Tamamlandı",H122&gt;='Panel'!$N$5-WEEKDAY('Panel'!$N$5,2)+1,H122&lt;='Panel'!$N$5),COUNTIFS($B$7:B122,B122,$G$7:G122,"Tamamlandı",$H$7:H122,"&gt;="&amp;('Panel'!$N$5-WEEKDAY('Panel'!$N$5,2)+1),$H$7:H122,"&lt;="&amp;'Panel'!$N$5),"")</x:f>
      </x:c>
    </x:row>
    <x:row r="123" ht="22" customHeight="1">
      <x:c r="A123" s="6"/>
      <x:c r="B123" s="6"/>
      <x:c r="C123" s="6"/>
      <x:c r="D123" s="6"/>
      <x:c r="E123" s="7"/>
      <x:c r="F123" s="7"/>
      <x:c r="G123" s="6"/>
      <x:c r="H123" s="7"/>
      <x:c r="I123" s="6"/>
      <x:c r="J123" s="6"/>
      <x:c r="K123" s="6"/>
      <x:c r="L123" s="2" t="str">
        <x:f>IF(A123="","",IF(OR(E123="",F123=""),"Eksik tarih",IF(G123="Tamamlandı",IF(H123="","Eksik kapanış",MAX(0,H123-F123)),MAX(0,'Panel'!$N$5-F123))))</x:f>
      </x:c>
      <x:c r="M123" s="2" t="str">
        <x:f>IF(AND(A123&lt;&gt;"",B123='Panel'!$C$5,G123&lt;&gt;"Tamamlandı",E123&lt;='Panel'!$N$5),COUNTIFS($B$7:B123,B123,$A$7:A123,"&lt;&gt;",$G$7:G123,"&lt;&gt;Tamamlandı",$E$7:E123,"&lt;="&amp;'Panel'!$N$5),"")</x:f>
      </x:c>
      <x:c r="N123" s="2" t="str">
        <x:f>IF(AND(A123&lt;&gt;"",B123='Panel'!$C$5,G123="Tamamlandı",H123&gt;='Panel'!$N$5-WEEKDAY('Panel'!$N$5,2)+1,H123&lt;='Panel'!$N$5),COUNTIFS($B$7:B123,B123,$G$7:G123,"Tamamlandı",$H$7:H123,"&gt;="&amp;('Panel'!$N$5-WEEKDAY('Panel'!$N$5,2)+1),$H$7:H123,"&lt;="&amp;'Panel'!$N$5),"")</x:f>
      </x:c>
    </x:row>
    <x:row r="124" ht="22" customHeight="1">
      <x:c r="A124" s="6"/>
      <x:c r="B124" s="6"/>
      <x:c r="C124" s="6"/>
      <x:c r="D124" s="6"/>
      <x:c r="E124" s="7"/>
      <x:c r="F124" s="7"/>
      <x:c r="G124" s="6"/>
      <x:c r="H124" s="7"/>
      <x:c r="I124" s="6"/>
      <x:c r="J124" s="6"/>
      <x:c r="K124" s="6"/>
      <x:c r="L124" s="2" t="str">
        <x:f>IF(A124="","",IF(OR(E124="",F124=""),"Eksik tarih",IF(G124="Tamamlandı",IF(H124="","Eksik kapanış",MAX(0,H124-F124)),MAX(0,'Panel'!$N$5-F124))))</x:f>
      </x:c>
      <x:c r="M124" s="2" t="str">
        <x:f>IF(AND(A124&lt;&gt;"",B124='Panel'!$C$5,G124&lt;&gt;"Tamamlandı",E124&lt;='Panel'!$N$5),COUNTIFS($B$7:B124,B124,$A$7:A124,"&lt;&gt;",$G$7:G124,"&lt;&gt;Tamamlandı",$E$7:E124,"&lt;="&amp;'Panel'!$N$5),"")</x:f>
      </x:c>
      <x:c r="N124" s="2" t="str">
        <x:f>IF(AND(A124&lt;&gt;"",B124='Panel'!$C$5,G124="Tamamlandı",H124&gt;='Panel'!$N$5-WEEKDAY('Panel'!$N$5,2)+1,H124&lt;='Panel'!$N$5),COUNTIFS($B$7:B124,B124,$G$7:G124,"Tamamlandı",$H$7:H124,"&gt;="&amp;('Panel'!$N$5-WEEKDAY('Panel'!$N$5,2)+1),$H$7:H124,"&lt;="&amp;'Panel'!$N$5),"")</x:f>
      </x:c>
    </x:row>
    <x:row r="125" ht="22" customHeight="1">
      <x:c r="A125" s="6"/>
      <x:c r="B125" s="6"/>
      <x:c r="C125" s="6"/>
      <x:c r="D125" s="6"/>
      <x:c r="E125" s="7"/>
      <x:c r="F125" s="7"/>
      <x:c r="G125" s="6"/>
      <x:c r="H125" s="7"/>
      <x:c r="I125" s="6"/>
      <x:c r="J125" s="6"/>
      <x:c r="K125" s="6"/>
      <x:c r="L125" s="2" t="str">
        <x:f>IF(A125="","",IF(OR(E125="",F125=""),"Eksik tarih",IF(G125="Tamamlandı",IF(H125="","Eksik kapanış",MAX(0,H125-F125)),MAX(0,'Panel'!$N$5-F125))))</x:f>
      </x:c>
      <x:c r="M125" s="2" t="str">
        <x:f>IF(AND(A125&lt;&gt;"",B125='Panel'!$C$5,G125&lt;&gt;"Tamamlandı",E125&lt;='Panel'!$N$5),COUNTIFS($B$7:B125,B125,$A$7:A125,"&lt;&gt;",$G$7:G125,"&lt;&gt;Tamamlandı",$E$7:E125,"&lt;="&amp;'Panel'!$N$5),"")</x:f>
      </x:c>
      <x:c r="N125" s="2" t="str">
        <x:f>IF(AND(A125&lt;&gt;"",B125='Panel'!$C$5,G125="Tamamlandı",H125&gt;='Panel'!$N$5-WEEKDAY('Panel'!$N$5,2)+1,H125&lt;='Panel'!$N$5),COUNTIFS($B$7:B125,B125,$G$7:G125,"Tamamlandı",$H$7:H125,"&gt;="&amp;('Panel'!$N$5-WEEKDAY('Panel'!$N$5,2)+1),$H$7:H125,"&lt;="&amp;'Panel'!$N$5),"")</x:f>
      </x:c>
    </x:row>
    <x:row r="126" ht="22" customHeight="1">
      <x:c r="A126" s="6"/>
      <x:c r="B126" s="6"/>
      <x:c r="C126" s="6"/>
      <x:c r="D126" s="6"/>
      <x:c r="E126" s="7"/>
      <x:c r="F126" s="7"/>
      <x:c r="G126" s="6"/>
      <x:c r="H126" s="7"/>
      <x:c r="I126" s="6"/>
      <x:c r="J126" s="6"/>
      <x:c r="K126" s="6"/>
      <x:c r="L126" s="2" t="str">
        <x:f>IF(A126="","",IF(OR(E126="",F126=""),"Eksik tarih",IF(G126="Tamamlandı",IF(H126="","Eksik kapanış",MAX(0,H126-F126)),MAX(0,'Panel'!$N$5-F126))))</x:f>
      </x:c>
      <x:c r="M126" s="2" t="str">
        <x:f>IF(AND(A126&lt;&gt;"",B126='Panel'!$C$5,G126&lt;&gt;"Tamamlandı",E126&lt;='Panel'!$N$5),COUNTIFS($B$7:B126,B126,$A$7:A126,"&lt;&gt;",$G$7:G126,"&lt;&gt;Tamamlandı",$E$7:E126,"&lt;="&amp;'Panel'!$N$5),"")</x:f>
      </x:c>
      <x:c r="N126" s="2" t="str">
        <x:f>IF(AND(A126&lt;&gt;"",B126='Panel'!$C$5,G126="Tamamlandı",H126&gt;='Panel'!$N$5-WEEKDAY('Panel'!$N$5,2)+1,H126&lt;='Panel'!$N$5),COUNTIFS($B$7:B126,B126,$G$7:G126,"Tamamlandı",$H$7:H126,"&gt;="&amp;('Panel'!$N$5-WEEKDAY('Panel'!$N$5,2)+1),$H$7:H126,"&lt;="&amp;'Panel'!$N$5),"")</x:f>
      </x:c>
    </x:row>
    <x:row r="127" ht="22" customHeight="1">
      <x:c r="A127" s="6"/>
      <x:c r="B127" s="6"/>
      <x:c r="C127" s="6"/>
      <x:c r="D127" s="6"/>
      <x:c r="E127" s="7"/>
      <x:c r="F127" s="7"/>
      <x:c r="G127" s="6"/>
      <x:c r="H127" s="7"/>
      <x:c r="I127" s="6"/>
      <x:c r="J127" s="6"/>
      <x:c r="K127" s="6"/>
      <x:c r="L127" s="2" t="str">
        <x:f>IF(A127="","",IF(OR(E127="",F127=""),"Eksik tarih",IF(G127="Tamamlandı",IF(H127="","Eksik kapanış",MAX(0,H127-F127)),MAX(0,'Panel'!$N$5-F127))))</x:f>
      </x:c>
      <x:c r="M127" s="2" t="str">
        <x:f>IF(AND(A127&lt;&gt;"",B127='Panel'!$C$5,G127&lt;&gt;"Tamamlandı",E127&lt;='Panel'!$N$5),COUNTIFS($B$7:B127,B127,$A$7:A127,"&lt;&gt;",$G$7:G127,"&lt;&gt;Tamamlandı",$E$7:E127,"&lt;="&amp;'Panel'!$N$5),"")</x:f>
      </x:c>
      <x:c r="N127" s="2" t="str">
        <x:f>IF(AND(A127&lt;&gt;"",B127='Panel'!$C$5,G127="Tamamlandı",H127&gt;='Panel'!$N$5-WEEKDAY('Panel'!$N$5,2)+1,H127&lt;='Panel'!$N$5),COUNTIFS($B$7:B127,B127,$G$7:G127,"Tamamlandı",$H$7:H127,"&gt;="&amp;('Panel'!$N$5-WEEKDAY('Panel'!$N$5,2)+1),$H$7:H127,"&lt;="&amp;'Panel'!$N$5),"")</x:f>
      </x:c>
    </x:row>
    <x:row r="128" ht="22" customHeight="1">
      <x:c r="A128" s="6"/>
      <x:c r="B128" s="6"/>
      <x:c r="C128" s="6"/>
      <x:c r="D128" s="6"/>
      <x:c r="E128" s="7"/>
      <x:c r="F128" s="7"/>
      <x:c r="G128" s="6"/>
      <x:c r="H128" s="7"/>
      <x:c r="I128" s="6"/>
      <x:c r="J128" s="6"/>
      <x:c r="K128" s="6"/>
      <x:c r="L128" s="2" t="str">
        <x:f>IF(A128="","",IF(OR(E128="",F128=""),"Eksik tarih",IF(G128="Tamamlandı",IF(H128="","Eksik kapanış",MAX(0,H128-F128)),MAX(0,'Panel'!$N$5-F128))))</x:f>
      </x:c>
      <x:c r="M128" s="2" t="str">
        <x:f>IF(AND(A128&lt;&gt;"",B128='Panel'!$C$5,G128&lt;&gt;"Tamamlandı",E128&lt;='Panel'!$N$5),COUNTIFS($B$7:B128,B128,$A$7:A128,"&lt;&gt;",$G$7:G128,"&lt;&gt;Tamamlandı",$E$7:E128,"&lt;="&amp;'Panel'!$N$5),"")</x:f>
      </x:c>
      <x:c r="N128" s="2" t="str">
        <x:f>IF(AND(A128&lt;&gt;"",B128='Panel'!$C$5,G128="Tamamlandı",H128&gt;='Panel'!$N$5-WEEKDAY('Panel'!$N$5,2)+1,H128&lt;='Panel'!$N$5),COUNTIFS($B$7:B128,B128,$G$7:G128,"Tamamlandı",$H$7:H128,"&gt;="&amp;('Panel'!$N$5-WEEKDAY('Panel'!$N$5,2)+1),$H$7:H128,"&lt;="&amp;'Panel'!$N$5),"")</x:f>
      </x:c>
    </x:row>
    <x:row r="129" ht="22" customHeight="1">
      <x:c r="A129" s="6"/>
      <x:c r="B129" s="6"/>
      <x:c r="C129" s="6"/>
      <x:c r="D129" s="6"/>
      <x:c r="E129" s="7"/>
      <x:c r="F129" s="7"/>
      <x:c r="G129" s="6"/>
      <x:c r="H129" s="7"/>
      <x:c r="I129" s="6"/>
      <x:c r="J129" s="6"/>
      <x:c r="K129" s="6"/>
      <x:c r="L129" s="2" t="str">
        <x:f>IF(A129="","",IF(OR(E129="",F129=""),"Eksik tarih",IF(G129="Tamamlandı",IF(H129="","Eksik kapanış",MAX(0,H129-F129)),MAX(0,'Panel'!$N$5-F129))))</x:f>
      </x:c>
      <x:c r="M129" s="2" t="str">
        <x:f>IF(AND(A129&lt;&gt;"",B129='Panel'!$C$5,G129&lt;&gt;"Tamamlandı",E129&lt;='Panel'!$N$5),COUNTIFS($B$7:B129,B129,$A$7:A129,"&lt;&gt;",$G$7:G129,"&lt;&gt;Tamamlandı",$E$7:E129,"&lt;="&amp;'Panel'!$N$5),"")</x:f>
      </x:c>
      <x:c r="N129" s="2" t="str">
        <x:f>IF(AND(A129&lt;&gt;"",B129='Panel'!$C$5,G129="Tamamlandı",H129&gt;='Panel'!$N$5-WEEKDAY('Panel'!$N$5,2)+1,H129&lt;='Panel'!$N$5),COUNTIFS($B$7:B129,B129,$G$7:G129,"Tamamlandı",$H$7:H129,"&gt;="&amp;('Panel'!$N$5-WEEKDAY('Panel'!$N$5,2)+1),$H$7:H129,"&lt;="&amp;'Panel'!$N$5),"")</x:f>
      </x:c>
    </x:row>
    <x:row r="130" ht="22" customHeight="1">
      <x:c r="A130" s="6"/>
      <x:c r="B130" s="6"/>
      <x:c r="C130" s="6"/>
      <x:c r="D130" s="6"/>
      <x:c r="E130" s="7"/>
      <x:c r="F130" s="7"/>
      <x:c r="G130" s="6"/>
      <x:c r="H130" s="7"/>
      <x:c r="I130" s="6"/>
      <x:c r="J130" s="6"/>
      <x:c r="K130" s="6"/>
      <x:c r="L130" s="2" t="str">
        <x:f>IF(A130="","",IF(OR(E130="",F130=""),"Eksik tarih",IF(G130="Tamamlandı",IF(H130="","Eksik kapanış",MAX(0,H130-F130)),MAX(0,'Panel'!$N$5-F130))))</x:f>
      </x:c>
      <x:c r="M130" s="2" t="str">
        <x:f>IF(AND(A130&lt;&gt;"",B130='Panel'!$C$5,G130&lt;&gt;"Tamamlandı",E130&lt;='Panel'!$N$5),COUNTIFS($B$7:B130,B130,$A$7:A130,"&lt;&gt;",$G$7:G130,"&lt;&gt;Tamamlandı",$E$7:E130,"&lt;="&amp;'Panel'!$N$5),"")</x:f>
      </x:c>
      <x:c r="N130" s="2" t="str">
        <x:f>IF(AND(A130&lt;&gt;"",B130='Panel'!$C$5,G130="Tamamlandı",H130&gt;='Panel'!$N$5-WEEKDAY('Panel'!$N$5,2)+1,H130&lt;='Panel'!$N$5),COUNTIFS($B$7:B130,B130,$G$7:G130,"Tamamlandı",$H$7:H130,"&gt;="&amp;('Panel'!$N$5-WEEKDAY('Panel'!$N$5,2)+1),$H$7:H130,"&lt;="&amp;'Panel'!$N$5),"")</x:f>
      </x:c>
    </x:row>
    <x:row r="131" ht="22" customHeight="1">
      <x:c r="A131" s="6"/>
      <x:c r="B131" s="6"/>
      <x:c r="C131" s="6"/>
      <x:c r="D131" s="6"/>
      <x:c r="E131" s="7"/>
      <x:c r="F131" s="7"/>
      <x:c r="G131" s="6"/>
      <x:c r="H131" s="7"/>
      <x:c r="I131" s="6"/>
      <x:c r="J131" s="6"/>
      <x:c r="K131" s="6"/>
      <x:c r="L131" s="2" t="str">
        <x:f>IF(A131="","",IF(OR(E131="",F131=""),"Eksik tarih",IF(G131="Tamamlandı",IF(H131="","Eksik kapanış",MAX(0,H131-F131)),MAX(0,'Panel'!$N$5-F131))))</x:f>
      </x:c>
      <x:c r="M131" s="2" t="str">
        <x:f>IF(AND(A131&lt;&gt;"",B131='Panel'!$C$5,G131&lt;&gt;"Tamamlandı",E131&lt;='Panel'!$N$5),COUNTIFS($B$7:B131,B131,$A$7:A131,"&lt;&gt;",$G$7:G131,"&lt;&gt;Tamamlandı",$E$7:E131,"&lt;="&amp;'Panel'!$N$5),"")</x:f>
      </x:c>
      <x:c r="N131" s="2" t="str">
        <x:f>IF(AND(A131&lt;&gt;"",B131='Panel'!$C$5,G131="Tamamlandı",H131&gt;='Panel'!$N$5-WEEKDAY('Panel'!$N$5,2)+1,H131&lt;='Panel'!$N$5),COUNTIFS($B$7:B131,B131,$G$7:G131,"Tamamlandı",$H$7:H131,"&gt;="&amp;('Panel'!$N$5-WEEKDAY('Panel'!$N$5,2)+1),$H$7:H131,"&lt;="&amp;'Panel'!$N$5),"")</x:f>
      </x:c>
    </x:row>
    <x:row r="132" ht="22" customHeight="1">
      <x:c r="A132" s="6"/>
      <x:c r="B132" s="6"/>
      <x:c r="C132" s="6"/>
      <x:c r="D132" s="6"/>
      <x:c r="E132" s="7"/>
      <x:c r="F132" s="7"/>
      <x:c r="G132" s="6"/>
      <x:c r="H132" s="7"/>
      <x:c r="I132" s="6"/>
      <x:c r="J132" s="6"/>
      <x:c r="K132" s="6"/>
      <x:c r="L132" s="2" t="str">
        <x:f>IF(A132="","",IF(OR(E132="",F132=""),"Eksik tarih",IF(G132="Tamamlandı",IF(H132="","Eksik kapanış",MAX(0,H132-F132)),MAX(0,'Panel'!$N$5-F132))))</x:f>
      </x:c>
      <x:c r="M132" s="2" t="str">
        <x:f>IF(AND(A132&lt;&gt;"",B132='Panel'!$C$5,G132&lt;&gt;"Tamamlandı",E132&lt;='Panel'!$N$5),COUNTIFS($B$7:B132,B132,$A$7:A132,"&lt;&gt;",$G$7:G132,"&lt;&gt;Tamamlandı",$E$7:E132,"&lt;="&amp;'Panel'!$N$5),"")</x:f>
      </x:c>
      <x:c r="N132" s="2" t="str">
        <x:f>IF(AND(A132&lt;&gt;"",B132='Panel'!$C$5,G132="Tamamlandı",H132&gt;='Panel'!$N$5-WEEKDAY('Panel'!$N$5,2)+1,H132&lt;='Panel'!$N$5),COUNTIFS($B$7:B132,B132,$G$7:G132,"Tamamlandı",$H$7:H132,"&gt;="&amp;('Panel'!$N$5-WEEKDAY('Panel'!$N$5,2)+1),$H$7:H132,"&lt;="&amp;'Panel'!$N$5),"")</x:f>
      </x:c>
    </x:row>
    <x:row r="133" ht="22" customHeight="1">
      <x:c r="A133" s="6"/>
      <x:c r="B133" s="6"/>
      <x:c r="C133" s="6"/>
      <x:c r="D133" s="6"/>
      <x:c r="E133" s="7"/>
      <x:c r="F133" s="7"/>
      <x:c r="G133" s="6"/>
      <x:c r="H133" s="7"/>
      <x:c r="I133" s="6"/>
      <x:c r="J133" s="6"/>
      <x:c r="K133" s="6"/>
      <x:c r="L133" s="2" t="str">
        <x:f>IF(A133="","",IF(OR(E133="",F133=""),"Eksik tarih",IF(G133="Tamamlandı",IF(H133="","Eksik kapanış",MAX(0,H133-F133)),MAX(0,'Panel'!$N$5-F133))))</x:f>
      </x:c>
      <x:c r="M133" s="2" t="str">
        <x:f>IF(AND(A133&lt;&gt;"",B133='Panel'!$C$5,G133&lt;&gt;"Tamamlandı",E133&lt;='Panel'!$N$5),COUNTIFS($B$7:B133,B133,$A$7:A133,"&lt;&gt;",$G$7:G133,"&lt;&gt;Tamamlandı",$E$7:E133,"&lt;="&amp;'Panel'!$N$5),"")</x:f>
      </x:c>
      <x:c r="N133" s="2" t="str">
        <x:f>IF(AND(A133&lt;&gt;"",B133='Panel'!$C$5,G133="Tamamlandı",H133&gt;='Panel'!$N$5-WEEKDAY('Panel'!$N$5,2)+1,H133&lt;='Panel'!$N$5),COUNTIFS($B$7:B133,B133,$G$7:G133,"Tamamlandı",$H$7:H133,"&gt;="&amp;('Panel'!$N$5-WEEKDAY('Panel'!$N$5,2)+1),$H$7:H133,"&lt;="&amp;'Panel'!$N$5),"")</x:f>
      </x:c>
    </x:row>
    <x:row r="134" ht="22" customHeight="1">
      <x:c r="A134" s="6"/>
      <x:c r="B134" s="6"/>
      <x:c r="C134" s="6"/>
      <x:c r="D134" s="6"/>
      <x:c r="E134" s="7"/>
      <x:c r="F134" s="7"/>
      <x:c r="G134" s="6"/>
      <x:c r="H134" s="7"/>
      <x:c r="I134" s="6"/>
      <x:c r="J134" s="6"/>
      <x:c r="K134" s="6"/>
      <x:c r="L134" s="2" t="str">
        <x:f>IF(A134="","",IF(OR(E134="",F134=""),"Eksik tarih",IF(G134="Tamamlandı",IF(H134="","Eksik kapanış",MAX(0,H134-F134)),MAX(0,'Panel'!$N$5-F134))))</x:f>
      </x:c>
      <x:c r="M134" s="2" t="str">
        <x:f>IF(AND(A134&lt;&gt;"",B134='Panel'!$C$5,G134&lt;&gt;"Tamamlandı",E134&lt;='Panel'!$N$5),COUNTIFS($B$7:B134,B134,$A$7:A134,"&lt;&gt;",$G$7:G134,"&lt;&gt;Tamamlandı",$E$7:E134,"&lt;="&amp;'Panel'!$N$5),"")</x:f>
      </x:c>
      <x:c r="N134" s="2" t="str">
        <x:f>IF(AND(A134&lt;&gt;"",B134='Panel'!$C$5,G134="Tamamlandı",H134&gt;='Panel'!$N$5-WEEKDAY('Panel'!$N$5,2)+1,H134&lt;='Panel'!$N$5),COUNTIFS($B$7:B134,B134,$G$7:G134,"Tamamlandı",$H$7:H134,"&gt;="&amp;('Panel'!$N$5-WEEKDAY('Panel'!$N$5,2)+1),$H$7:H134,"&lt;="&amp;'Panel'!$N$5),"")</x:f>
      </x:c>
    </x:row>
    <x:row r="135" ht="22" customHeight="1">
      <x:c r="A135" s="6"/>
      <x:c r="B135" s="6"/>
      <x:c r="C135" s="6"/>
      <x:c r="D135" s="6"/>
      <x:c r="E135" s="7"/>
      <x:c r="F135" s="7"/>
      <x:c r="G135" s="6"/>
      <x:c r="H135" s="7"/>
      <x:c r="I135" s="6"/>
      <x:c r="J135" s="6"/>
      <x:c r="K135" s="6"/>
      <x:c r="L135" s="2" t="str">
        <x:f>IF(A135="","",IF(OR(E135="",F135=""),"Eksik tarih",IF(G135="Tamamlandı",IF(H135="","Eksik kapanış",MAX(0,H135-F135)),MAX(0,'Panel'!$N$5-F135))))</x:f>
      </x:c>
      <x:c r="M135" s="2" t="str">
        <x:f>IF(AND(A135&lt;&gt;"",B135='Panel'!$C$5,G135&lt;&gt;"Tamamlandı",E135&lt;='Panel'!$N$5),COUNTIFS($B$7:B135,B135,$A$7:A135,"&lt;&gt;",$G$7:G135,"&lt;&gt;Tamamlandı",$E$7:E135,"&lt;="&amp;'Panel'!$N$5),"")</x:f>
      </x:c>
      <x:c r="N135" s="2" t="str">
        <x:f>IF(AND(A135&lt;&gt;"",B135='Panel'!$C$5,G135="Tamamlandı",H135&gt;='Panel'!$N$5-WEEKDAY('Panel'!$N$5,2)+1,H135&lt;='Panel'!$N$5),COUNTIFS($B$7:B135,B135,$G$7:G135,"Tamamlandı",$H$7:H135,"&gt;="&amp;('Panel'!$N$5-WEEKDAY('Panel'!$N$5,2)+1),$H$7:H135,"&lt;="&amp;'Panel'!$N$5),"")</x:f>
      </x:c>
    </x:row>
    <x:row r="136" ht="22" customHeight="1">
      <x:c r="A136" s="6"/>
      <x:c r="B136" s="6"/>
      <x:c r="C136" s="6"/>
      <x:c r="D136" s="6"/>
      <x:c r="E136" s="7"/>
      <x:c r="F136" s="7"/>
      <x:c r="G136" s="6"/>
      <x:c r="H136" s="7"/>
      <x:c r="I136" s="6"/>
      <x:c r="J136" s="6"/>
      <x:c r="K136" s="6"/>
      <x:c r="L136" s="2" t="str">
        <x:f>IF(A136="","",IF(OR(E136="",F136=""),"Eksik tarih",IF(G136="Tamamlandı",IF(H136="","Eksik kapanış",MAX(0,H136-F136)),MAX(0,'Panel'!$N$5-F136))))</x:f>
      </x:c>
      <x:c r="M136" s="2" t="str">
        <x:f>IF(AND(A136&lt;&gt;"",B136='Panel'!$C$5,G136&lt;&gt;"Tamamlandı",E136&lt;='Panel'!$N$5),COUNTIFS($B$7:B136,B136,$A$7:A136,"&lt;&gt;",$G$7:G136,"&lt;&gt;Tamamlandı",$E$7:E136,"&lt;="&amp;'Panel'!$N$5),"")</x:f>
      </x:c>
      <x:c r="N136" s="2" t="str">
        <x:f>IF(AND(A136&lt;&gt;"",B136='Panel'!$C$5,G136="Tamamlandı",H136&gt;='Panel'!$N$5-WEEKDAY('Panel'!$N$5,2)+1,H136&lt;='Panel'!$N$5),COUNTIFS($B$7:B136,B136,$G$7:G136,"Tamamlandı",$H$7:H136,"&gt;="&amp;('Panel'!$N$5-WEEKDAY('Panel'!$N$5,2)+1),$H$7:H136,"&lt;="&amp;'Panel'!$N$5),"")</x:f>
      </x:c>
    </x:row>
    <x:row r="137" ht="22" customHeight="1">
      <x:c r="A137" s="6"/>
      <x:c r="B137" s="6"/>
      <x:c r="C137" s="6"/>
      <x:c r="D137" s="6"/>
      <x:c r="E137" s="7"/>
      <x:c r="F137" s="7"/>
      <x:c r="G137" s="6"/>
      <x:c r="H137" s="7"/>
      <x:c r="I137" s="6"/>
      <x:c r="J137" s="6"/>
      <x:c r="K137" s="6"/>
      <x:c r="L137" s="2" t="str">
        <x:f>IF(A137="","",IF(OR(E137="",F137=""),"Eksik tarih",IF(G137="Tamamlandı",IF(H137="","Eksik kapanış",MAX(0,H137-F137)),MAX(0,'Panel'!$N$5-F137))))</x:f>
      </x:c>
      <x:c r="M137" s="2" t="str">
        <x:f>IF(AND(A137&lt;&gt;"",B137='Panel'!$C$5,G137&lt;&gt;"Tamamlandı",E137&lt;='Panel'!$N$5),COUNTIFS($B$7:B137,B137,$A$7:A137,"&lt;&gt;",$G$7:G137,"&lt;&gt;Tamamlandı",$E$7:E137,"&lt;="&amp;'Panel'!$N$5),"")</x:f>
      </x:c>
      <x:c r="N137" s="2" t="str">
        <x:f>IF(AND(A137&lt;&gt;"",B137='Panel'!$C$5,G137="Tamamlandı",H137&gt;='Panel'!$N$5-WEEKDAY('Panel'!$N$5,2)+1,H137&lt;='Panel'!$N$5),COUNTIFS($B$7:B137,B137,$G$7:G137,"Tamamlandı",$H$7:H137,"&gt;="&amp;('Panel'!$N$5-WEEKDAY('Panel'!$N$5,2)+1),$H$7:H137,"&lt;="&amp;'Panel'!$N$5),"")</x:f>
      </x:c>
    </x:row>
    <x:row r="138" ht="22" customHeight="1">
      <x:c r="A138" s="6"/>
      <x:c r="B138" s="6"/>
      <x:c r="C138" s="6"/>
      <x:c r="D138" s="6"/>
      <x:c r="E138" s="7"/>
      <x:c r="F138" s="7"/>
      <x:c r="G138" s="6"/>
      <x:c r="H138" s="7"/>
      <x:c r="I138" s="6"/>
      <x:c r="J138" s="6"/>
      <x:c r="K138" s="6"/>
      <x:c r="L138" s="2" t="str">
        <x:f>IF(A138="","",IF(OR(E138="",F138=""),"Eksik tarih",IF(G138="Tamamlandı",IF(H138="","Eksik kapanış",MAX(0,H138-F138)),MAX(0,'Panel'!$N$5-F138))))</x:f>
      </x:c>
      <x:c r="M138" s="2" t="str">
        <x:f>IF(AND(A138&lt;&gt;"",B138='Panel'!$C$5,G138&lt;&gt;"Tamamlandı",E138&lt;='Panel'!$N$5),COUNTIFS($B$7:B138,B138,$A$7:A138,"&lt;&gt;",$G$7:G138,"&lt;&gt;Tamamlandı",$E$7:E138,"&lt;="&amp;'Panel'!$N$5),"")</x:f>
      </x:c>
      <x:c r="N138" s="2" t="str">
        <x:f>IF(AND(A138&lt;&gt;"",B138='Panel'!$C$5,G138="Tamamlandı",H138&gt;='Panel'!$N$5-WEEKDAY('Panel'!$N$5,2)+1,H138&lt;='Panel'!$N$5),COUNTIFS($B$7:B138,B138,$G$7:G138,"Tamamlandı",$H$7:H138,"&gt;="&amp;('Panel'!$N$5-WEEKDAY('Panel'!$N$5,2)+1),$H$7:H138,"&lt;="&amp;'Panel'!$N$5),"")</x:f>
      </x:c>
    </x:row>
    <x:row r="139" ht="22" customHeight="1">
      <x:c r="A139" s="6"/>
      <x:c r="B139" s="6"/>
      <x:c r="C139" s="6"/>
      <x:c r="D139" s="6"/>
      <x:c r="E139" s="7"/>
      <x:c r="F139" s="7"/>
      <x:c r="G139" s="6"/>
      <x:c r="H139" s="7"/>
      <x:c r="I139" s="6"/>
      <x:c r="J139" s="6"/>
      <x:c r="K139" s="6"/>
      <x:c r="L139" s="2" t="str">
        <x:f>IF(A139="","",IF(OR(E139="",F139=""),"Eksik tarih",IF(G139="Tamamlandı",IF(H139="","Eksik kapanış",MAX(0,H139-F139)),MAX(0,'Panel'!$N$5-F139))))</x:f>
      </x:c>
      <x:c r="M139" s="2" t="str">
        <x:f>IF(AND(A139&lt;&gt;"",B139='Panel'!$C$5,G139&lt;&gt;"Tamamlandı",E139&lt;='Panel'!$N$5),COUNTIFS($B$7:B139,B139,$A$7:A139,"&lt;&gt;",$G$7:G139,"&lt;&gt;Tamamlandı",$E$7:E139,"&lt;="&amp;'Panel'!$N$5),"")</x:f>
      </x:c>
      <x:c r="N139" s="2" t="str">
        <x:f>IF(AND(A139&lt;&gt;"",B139='Panel'!$C$5,G139="Tamamlandı",H139&gt;='Panel'!$N$5-WEEKDAY('Panel'!$N$5,2)+1,H139&lt;='Panel'!$N$5),COUNTIFS($B$7:B139,B139,$G$7:G139,"Tamamlandı",$H$7:H139,"&gt;="&amp;('Panel'!$N$5-WEEKDAY('Panel'!$N$5,2)+1),$H$7:H139,"&lt;="&amp;'Panel'!$N$5),"")</x:f>
      </x:c>
    </x:row>
    <x:row r="140" ht="22" customHeight="1">
      <x:c r="A140" s="6"/>
      <x:c r="B140" s="6"/>
      <x:c r="C140" s="6"/>
      <x:c r="D140" s="6"/>
      <x:c r="E140" s="7"/>
      <x:c r="F140" s="7"/>
      <x:c r="G140" s="6"/>
      <x:c r="H140" s="7"/>
      <x:c r="I140" s="6"/>
      <x:c r="J140" s="6"/>
      <x:c r="K140" s="6"/>
      <x:c r="L140" s="2" t="str">
        <x:f>IF(A140="","",IF(OR(E140="",F140=""),"Eksik tarih",IF(G140="Tamamlandı",IF(H140="","Eksik kapanış",MAX(0,H140-F140)),MAX(0,'Panel'!$N$5-F140))))</x:f>
      </x:c>
      <x:c r="M140" s="2" t="str">
        <x:f>IF(AND(A140&lt;&gt;"",B140='Panel'!$C$5,G140&lt;&gt;"Tamamlandı",E140&lt;='Panel'!$N$5),COUNTIFS($B$7:B140,B140,$A$7:A140,"&lt;&gt;",$G$7:G140,"&lt;&gt;Tamamlandı",$E$7:E140,"&lt;="&amp;'Panel'!$N$5),"")</x:f>
      </x:c>
      <x:c r="N140" s="2" t="str">
        <x:f>IF(AND(A140&lt;&gt;"",B140='Panel'!$C$5,G140="Tamamlandı",H140&gt;='Panel'!$N$5-WEEKDAY('Panel'!$N$5,2)+1,H140&lt;='Panel'!$N$5),COUNTIFS($B$7:B140,B140,$G$7:G140,"Tamamlandı",$H$7:H140,"&gt;="&amp;('Panel'!$N$5-WEEKDAY('Panel'!$N$5,2)+1),$H$7:H140,"&lt;="&amp;'Panel'!$N$5),"")</x:f>
      </x:c>
    </x:row>
    <x:row r="141" ht="22" customHeight="1">
      <x:c r="A141" s="6"/>
      <x:c r="B141" s="6"/>
      <x:c r="C141" s="6"/>
      <x:c r="D141" s="6"/>
      <x:c r="E141" s="7"/>
      <x:c r="F141" s="7"/>
      <x:c r="G141" s="6"/>
      <x:c r="H141" s="7"/>
      <x:c r="I141" s="6"/>
      <x:c r="J141" s="6"/>
      <x:c r="K141" s="6"/>
      <x:c r="L141" s="2" t="str">
        <x:f>IF(A141="","",IF(OR(E141="",F141=""),"Eksik tarih",IF(G141="Tamamlandı",IF(H141="","Eksik kapanış",MAX(0,H141-F141)),MAX(0,'Panel'!$N$5-F141))))</x:f>
      </x:c>
      <x:c r="M141" s="2" t="str">
        <x:f>IF(AND(A141&lt;&gt;"",B141='Panel'!$C$5,G141&lt;&gt;"Tamamlandı",E141&lt;='Panel'!$N$5),COUNTIFS($B$7:B141,B141,$A$7:A141,"&lt;&gt;",$G$7:G141,"&lt;&gt;Tamamlandı",$E$7:E141,"&lt;="&amp;'Panel'!$N$5),"")</x:f>
      </x:c>
      <x:c r="N141" s="2" t="str">
        <x:f>IF(AND(A141&lt;&gt;"",B141='Panel'!$C$5,G141="Tamamlandı",H141&gt;='Panel'!$N$5-WEEKDAY('Panel'!$N$5,2)+1,H141&lt;='Panel'!$N$5),COUNTIFS($B$7:B141,B141,$G$7:G141,"Tamamlandı",$H$7:H141,"&gt;="&amp;('Panel'!$N$5-WEEKDAY('Panel'!$N$5,2)+1),$H$7:H141,"&lt;="&amp;'Panel'!$N$5),"")</x:f>
      </x:c>
    </x:row>
    <x:row r="142" ht="22" customHeight="1">
      <x:c r="A142" s="6"/>
      <x:c r="B142" s="6"/>
      <x:c r="C142" s="6"/>
      <x:c r="D142" s="6"/>
      <x:c r="E142" s="7"/>
      <x:c r="F142" s="7"/>
      <x:c r="G142" s="6"/>
      <x:c r="H142" s="7"/>
      <x:c r="I142" s="6"/>
      <x:c r="J142" s="6"/>
      <x:c r="K142" s="6"/>
      <x:c r="L142" s="2" t="str">
        <x:f>IF(A142="","",IF(OR(E142="",F142=""),"Eksik tarih",IF(G142="Tamamlandı",IF(H142="","Eksik kapanış",MAX(0,H142-F142)),MAX(0,'Panel'!$N$5-F142))))</x:f>
      </x:c>
      <x:c r="M142" s="2" t="str">
        <x:f>IF(AND(A142&lt;&gt;"",B142='Panel'!$C$5,G142&lt;&gt;"Tamamlandı",E142&lt;='Panel'!$N$5),COUNTIFS($B$7:B142,B142,$A$7:A142,"&lt;&gt;",$G$7:G142,"&lt;&gt;Tamamlandı",$E$7:E142,"&lt;="&amp;'Panel'!$N$5),"")</x:f>
      </x:c>
      <x:c r="N142" s="2" t="str">
        <x:f>IF(AND(A142&lt;&gt;"",B142='Panel'!$C$5,G142="Tamamlandı",H142&gt;='Panel'!$N$5-WEEKDAY('Panel'!$N$5,2)+1,H142&lt;='Panel'!$N$5),COUNTIFS($B$7:B142,B142,$G$7:G142,"Tamamlandı",$H$7:H142,"&gt;="&amp;('Panel'!$N$5-WEEKDAY('Panel'!$N$5,2)+1),$H$7:H142,"&lt;="&amp;'Panel'!$N$5),"")</x:f>
      </x:c>
    </x:row>
    <x:row r="143" ht="22" customHeight="1">
      <x:c r="A143" s="6"/>
      <x:c r="B143" s="6"/>
      <x:c r="C143" s="6"/>
      <x:c r="D143" s="6"/>
      <x:c r="E143" s="7"/>
      <x:c r="F143" s="7"/>
      <x:c r="G143" s="6"/>
      <x:c r="H143" s="7"/>
      <x:c r="I143" s="6"/>
      <x:c r="J143" s="6"/>
      <x:c r="K143" s="6"/>
      <x:c r="L143" s="2" t="str">
        <x:f>IF(A143="","",IF(OR(E143="",F143=""),"Eksik tarih",IF(G143="Tamamlandı",IF(H143="","Eksik kapanış",MAX(0,H143-F143)),MAX(0,'Panel'!$N$5-F143))))</x:f>
      </x:c>
      <x:c r="M143" s="2" t="str">
        <x:f>IF(AND(A143&lt;&gt;"",B143='Panel'!$C$5,G143&lt;&gt;"Tamamlandı",E143&lt;='Panel'!$N$5),COUNTIFS($B$7:B143,B143,$A$7:A143,"&lt;&gt;",$G$7:G143,"&lt;&gt;Tamamlandı",$E$7:E143,"&lt;="&amp;'Panel'!$N$5),"")</x:f>
      </x:c>
      <x:c r="N143" s="2" t="str">
        <x:f>IF(AND(A143&lt;&gt;"",B143='Panel'!$C$5,G143="Tamamlandı",H143&gt;='Panel'!$N$5-WEEKDAY('Panel'!$N$5,2)+1,H143&lt;='Panel'!$N$5),COUNTIFS($B$7:B143,B143,$G$7:G143,"Tamamlandı",$H$7:H143,"&gt;="&amp;('Panel'!$N$5-WEEKDAY('Panel'!$N$5,2)+1),$H$7:H143,"&lt;="&amp;'Panel'!$N$5),"")</x:f>
      </x:c>
    </x:row>
    <x:row r="144" ht="22" customHeight="1">
      <x:c r="A144" s="6"/>
      <x:c r="B144" s="6"/>
      <x:c r="C144" s="6"/>
      <x:c r="D144" s="6"/>
      <x:c r="E144" s="7"/>
      <x:c r="F144" s="7"/>
      <x:c r="G144" s="6"/>
      <x:c r="H144" s="7"/>
      <x:c r="I144" s="6"/>
      <x:c r="J144" s="6"/>
      <x:c r="K144" s="6"/>
      <x:c r="L144" s="2" t="str">
        <x:f>IF(A144="","",IF(OR(E144="",F144=""),"Eksik tarih",IF(G144="Tamamlandı",IF(H144="","Eksik kapanış",MAX(0,H144-F144)),MAX(0,'Panel'!$N$5-F144))))</x:f>
      </x:c>
      <x:c r="M144" s="2" t="str">
        <x:f>IF(AND(A144&lt;&gt;"",B144='Panel'!$C$5,G144&lt;&gt;"Tamamlandı",E144&lt;='Panel'!$N$5),COUNTIFS($B$7:B144,B144,$A$7:A144,"&lt;&gt;",$G$7:G144,"&lt;&gt;Tamamlandı",$E$7:E144,"&lt;="&amp;'Panel'!$N$5),"")</x:f>
      </x:c>
      <x:c r="N144" s="2" t="str">
        <x:f>IF(AND(A144&lt;&gt;"",B144='Panel'!$C$5,G144="Tamamlandı",H144&gt;='Panel'!$N$5-WEEKDAY('Panel'!$N$5,2)+1,H144&lt;='Panel'!$N$5),COUNTIFS($B$7:B144,B144,$G$7:G144,"Tamamlandı",$H$7:H144,"&gt;="&amp;('Panel'!$N$5-WEEKDAY('Panel'!$N$5,2)+1),$H$7:H144,"&lt;="&amp;'Panel'!$N$5),"")</x:f>
      </x:c>
    </x:row>
    <x:row r="145" ht="22" customHeight="1">
      <x:c r="A145" s="6"/>
      <x:c r="B145" s="6"/>
      <x:c r="C145" s="6"/>
      <x:c r="D145" s="6"/>
      <x:c r="E145" s="7"/>
      <x:c r="F145" s="7"/>
      <x:c r="G145" s="6"/>
      <x:c r="H145" s="7"/>
      <x:c r="I145" s="6"/>
      <x:c r="J145" s="6"/>
      <x:c r="K145" s="6"/>
      <x:c r="L145" s="2" t="str">
        <x:f>IF(A145="","",IF(OR(E145="",F145=""),"Eksik tarih",IF(G145="Tamamlandı",IF(H145="","Eksik kapanış",MAX(0,H145-F145)),MAX(0,'Panel'!$N$5-F145))))</x:f>
      </x:c>
      <x:c r="M145" s="2" t="str">
        <x:f>IF(AND(A145&lt;&gt;"",B145='Panel'!$C$5,G145&lt;&gt;"Tamamlandı",E145&lt;='Panel'!$N$5),COUNTIFS($B$7:B145,B145,$A$7:A145,"&lt;&gt;",$G$7:G145,"&lt;&gt;Tamamlandı",$E$7:E145,"&lt;="&amp;'Panel'!$N$5),"")</x:f>
      </x:c>
      <x:c r="N145" s="2" t="str">
        <x:f>IF(AND(A145&lt;&gt;"",B145='Panel'!$C$5,G145="Tamamlandı",H145&gt;='Panel'!$N$5-WEEKDAY('Panel'!$N$5,2)+1,H145&lt;='Panel'!$N$5),COUNTIFS($B$7:B145,B145,$G$7:G145,"Tamamlandı",$H$7:H145,"&gt;="&amp;('Panel'!$N$5-WEEKDAY('Panel'!$N$5,2)+1),$H$7:H145,"&lt;="&amp;'Panel'!$N$5),"")</x:f>
      </x:c>
    </x:row>
    <x:row r="146" ht="22" customHeight="1">
      <x:c r="A146" s="6"/>
      <x:c r="B146" s="6"/>
      <x:c r="C146" s="6"/>
      <x:c r="D146" s="6"/>
      <x:c r="E146" s="7"/>
      <x:c r="F146" s="7"/>
      <x:c r="G146" s="6"/>
      <x:c r="H146" s="7"/>
      <x:c r="I146" s="6"/>
      <x:c r="J146" s="6"/>
      <x:c r="K146" s="6"/>
      <x:c r="L146" s="2" t="str">
        <x:f>IF(A146="","",IF(OR(E146="",F146=""),"Eksik tarih",IF(G146="Tamamlandı",IF(H146="","Eksik kapanış",MAX(0,H146-F146)),MAX(0,'Panel'!$N$5-F146))))</x:f>
      </x:c>
      <x:c r="M146" s="2" t="str">
        <x:f>IF(AND(A146&lt;&gt;"",B146='Panel'!$C$5,G146&lt;&gt;"Tamamlandı",E146&lt;='Panel'!$N$5),COUNTIFS($B$7:B146,B146,$A$7:A146,"&lt;&gt;",$G$7:G146,"&lt;&gt;Tamamlandı",$E$7:E146,"&lt;="&amp;'Panel'!$N$5),"")</x:f>
      </x:c>
      <x:c r="N146" s="2" t="str">
        <x:f>IF(AND(A146&lt;&gt;"",B146='Panel'!$C$5,G146="Tamamlandı",H146&gt;='Panel'!$N$5-WEEKDAY('Panel'!$N$5,2)+1,H146&lt;='Panel'!$N$5),COUNTIFS($B$7:B146,B146,$G$7:G146,"Tamamlandı",$H$7:H146,"&gt;="&amp;('Panel'!$N$5-WEEKDAY('Panel'!$N$5,2)+1),$H$7:H146,"&lt;="&amp;'Panel'!$N$5),"")</x:f>
      </x:c>
    </x:row>
    <x:row r="147" ht="22" customHeight="1">
      <x:c r="A147" s="6"/>
      <x:c r="B147" s="6"/>
      <x:c r="C147" s="6"/>
      <x:c r="D147" s="6"/>
      <x:c r="E147" s="7"/>
      <x:c r="F147" s="7"/>
      <x:c r="G147" s="6"/>
      <x:c r="H147" s="7"/>
      <x:c r="I147" s="6"/>
      <x:c r="J147" s="6"/>
      <x:c r="K147" s="6"/>
      <x:c r="L147" s="2" t="str">
        <x:f>IF(A147="","",IF(OR(E147="",F147=""),"Eksik tarih",IF(G147="Tamamlandı",IF(H147="","Eksik kapanış",MAX(0,H147-F147)),MAX(0,'Panel'!$N$5-F147))))</x:f>
      </x:c>
      <x:c r="M147" s="2" t="str">
        <x:f>IF(AND(A147&lt;&gt;"",B147='Panel'!$C$5,G147&lt;&gt;"Tamamlandı",E147&lt;='Panel'!$N$5),COUNTIFS($B$7:B147,B147,$A$7:A147,"&lt;&gt;",$G$7:G147,"&lt;&gt;Tamamlandı",$E$7:E147,"&lt;="&amp;'Panel'!$N$5),"")</x:f>
      </x:c>
      <x:c r="N147" s="2" t="str">
        <x:f>IF(AND(A147&lt;&gt;"",B147='Panel'!$C$5,G147="Tamamlandı",H147&gt;='Panel'!$N$5-WEEKDAY('Panel'!$N$5,2)+1,H147&lt;='Panel'!$N$5),COUNTIFS($B$7:B147,B147,$G$7:G147,"Tamamlandı",$H$7:H147,"&gt;="&amp;('Panel'!$N$5-WEEKDAY('Panel'!$N$5,2)+1),$H$7:H147,"&lt;="&amp;'Panel'!$N$5),"")</x:f>
      </x:c>
    </x:row>
    <x:row r="148" ht="22" customHeight="1">
      <x:c r="A148" s="6"/>
      <x:c r="B148" s="6"/>
      <x:c r="C148" s="6"/>
      <x:c r="D148" s="6"/>
      <x:c r="E148" s="7"/>
      <x:c r="F148" s="7"/>
      <x:c r="G148" s="6"/>
      <x:c r="H148" s="7"/>
      <x:c r="I148" s="6"/>
      <x:c r="J148" s="6"/>
      <x:c r="K148" s="6"/>
      <x:c r="L148" s="2" t="str">
        <x:f>IF(A148="","",IF(OR(E148="",F148=""),"Eksik tarih",IF(G148="Tamamlandı",IF(H148="","Eksik kapanış",MAX(0,H148-F148)),MAX(0,'Panel'!$N$5-F148))))</x:f>
      </x:c>
      <x:c r="M148" s="2" t="str">
        <x:f>IF(AND(A148&lt;&gt;"",B148='Panel'!$C$5,G148&lt;&gt;"Tamamlandı",E148&lt;='Panel'!$N$5),COUNTIFS($B$7:B148,B148,$A$7:A148,"&lt;&gt;",$G$7:G148,"&lt;&gt;Tamamlandı",$E$7:E148,"&lt;="&amp;'Panel'!$N$5),"")</x:f>
      </x:c>
      <x:c r="N148" s="2" t="str">
        <x:f>IF(AND(A148&lt;&gt;"",B148='Panel'!$C$5,G148="Tamamlandı",H148&gt;='Panel'!$N$5-WEEKDAY('Panel'!$N$5,2)+1,H148&lt;='Panel'!$N$5),COUNTIFS($B$7:B148,B148,$G$7:G148,"Tamamlandı",$H$7:H148,"&gt;="&amp;('Panel'!$N$5-WEEKDAY('Panel'!$N$5,2)+1),$H$7:H148,"&lt;="&amp;'Panel'!$N$5),"")</x:f>
      </x:c>
    </x:row>
    <x:row r="149" ht="22" customHeight="1">
      <x:c r="A149" s="6"/>
      <x:c r="B149" s="6"/>
      <x:c r="C149" s="6"/>
      <x:c r="D149" s="6"/>
      <x:c r="E149" s="7"/>
      <x:c r="F149" s="7"/>
      <x:c r="G149" s="6"/>
      <x:c r="H149" s="7"/>
      <x:c r="I149" s="6"/>
      <x:c r="J149" s="6"/>
      <x:c r="K149" s="6"/>
      <x:c r="L149" s="2" t="str">
        <x:f>IF(A149="","",IF(OR(E149="",F149=""),"Eksik tarih",IF(G149="Tamamlandı",IF(H149="","Eksik kapanış",MAX(0,H149-F149)),MAX(0,'Panel'!$N$5-F149))))</x:f>
      </x:c>
      <x:c r="M149" s="2" t="str">
        <x:f>IF(AND(A149&lt;&gt;"",B149='Panel'!$C$5,G149&lt;&gt;"Tamamlandı",E149&lt;='Panel'!$N$5),COUNTIFS($B$7:B149,B149,$A$7:A149,"&lt;&gt;",$G$7:G149,"&lt;&gt;Tamamlandı",$E$7:E149,"&lt;="&amp;'Panel'!$N$5),"")</x:f>
      </x:c>
      <x:c r="N149" s="2" t="str">
        <x:f>IF(AND(A149&lt;&gt;"",B149='Panel'!$C$5,G149="Tamamlandı",H149&gt;='Panel'!$N$5-WEEKDAY('Panel'!$N$5,2)+1,H149&lt;='Panel'!$N$5),COUNTIFS($B$7:B149,B149,$G$7:G149,"Tamamlandı",$H$7:H149,"&gt;="&amp;('Panel'!$N$5-WEEKDAY('Panel'!$N$5,2)+1),$H$7:H149,"&lt;="&amp;'Panel'!$N$5),"")</x:f>
      </x:c>
    </x:row>
    <x:row r="150" ht="22" customHeight="1">
      <x:c r="A150" s="6"/>
      <x:c r="B150" s="6"/>
      <x:c r="C150" s="6"/>
      <x:c r="D150" s="6"/>
      <x:c r="E150" s="7"/>
      <x:c r="F150" s="7"/>
      <x:c r="G150" s="6"/>
      <x:c r="H150" s="7"/>
      <x:c r="I150" s="6"/>
      <x:c r="J150" s="6"/>
      <x:c r="K150" s="6"/>
      <x:c r="L150" s="2" t="str">
        <x:f>IF(A150="","",IF(OR(E150="",F150=""),"Eksik tarih",IF(G150="Tamamlandı",IF(H150="","Eksik kapanış",MAX(0,H150-F150)),MAX(0,'Panel'!$N$5-F150))))</x:f>
      </x:c>
      <x:c r="M150" s="2" t="str">
        <x:f>IF(AND(A150&lt;&gt;"",B150='Panel'!$C$5,G150&lt;&gt;"Tamamlandı",E150&lt;='Panel'!$N$5),COUNTIFS($B$7:B150,B150,$A$7:A150,"&lt;&gt;",$G$7:G150,"&lt;&gt;Tamamlandı",$E$7:E150,"&lt;="&amp;'Panel'!$N$5),"")</x:f>
      </x:c>
      <x:c r="N150" s="2" t="str">
        <x:f>IF(AND(A150&lt;&gt;"",B150='Panel'!$C$5,G150="Tamamlandı",H150&gt;='Panel'!$N$5-WEEKDAY('Panel'!$N$5,2)+1,H150&lt;='Panel'!$N$5),COUNTIFS($B$7:B150,B150,$G$7:G150,"Tamamlandı",$H$7:H150,"&gt;="&amp;('Panel'!$N$5-WEEKDAY('Panel'!$N$5,2)+1),$H$7:H150,"&lt;="&amp;'Panel'!$N$5),"")</x:f>
      </x:c>
    </x:row>
    <x:row r="151" ht="22" customHeight="1">
      <x:c r="A151" s="6"/>
      <x:c r="B151" s="6"/>
      <x:c r="C151" s="6"/>
      <x:c r="D151" s="6"/>
      <x:c r="E151" s="7"/>
      <x:c r="F151" s="7"/>
      <x:c r="G151" s="6"/>
      <x:c r="H151" s="7"/>
      <x:c r="I151" s="6"/>
      <x:c r="J151" s="6"/>
      <x:c r="K151" s="6"/>
      <x:c r="L151" s="2" t="str">
        <x:f>IF(A151="","",IF(OR(E151="",F151=""),"Eksik tarih",IF(G151="Tamamlandı",IF(H151="","Eksik kapanış",MAX(0,H151-F151)),MAX(0,'Panel'!$N$5-F151))))</x:f>
      </x:c>
      <x:c r="M151" s="2" t="str">
        <x:f>IF(AND(A151&lt;&gt;"",B151='Panel'!$C$5,G151&lt;&gt;"Tamamlandı",E151&lt;='Panel'!$N$5),COUNTIFS($B$7:B151,B151,$A$7:A151,"&lt;&gt;",$G$7:G151,"&lt;&gt;Tamamlandı",$E$7:E151,"&lt;="&amp;'Panel'!$N$5),"")</x:f>
      </x:c>
      <x:c r="N151" s="2" t="str">
        <x:f>IF(AND(A151&lt;&gt;"",B151='Panel'!$C$5,G151="Tamamlandı",H151&gt;='Panel'!$N$5-WEEKDAY('Panel'!$N$5,2)+1,H151&lt;='Panel'!$N$5),COUNTIFS($B$7:B151,B151,$G$7:G151,"Tamamlandı",$H$7:H151,"&gt;="&amp;('Panel'!$N$5-WEEKDAY('Panel'!$N$5,2)+1),$H$7:H151,"&lt;="&amp;'Panel'!$N$5),"")</x:f>
      </x:c>
    </x:row>
    <x:row r="152" ht="22" customHeight="1">
      <x:c r="A152" s="6"/>
      <x:c r="B152" s="6"/>
      <x:c r="C152" s="6"/>
      <x:c r="D152" s="6"/>
      <x:c r="E152" s="7"/>
      <x:c r="F152" s="7"/>
      <x:c r="G152" s="6"/>
      <x:c r="H152" s="7"/>
      <x:c r="I152" s="6"/>
      <x:c r="J152" s="6"/>
      <x:c r="K152" s="6"/>
      <x:c r="L152" s="2" t="str">
        <x:f>IF(A152="","",IF(OR(E152="",F152=""),"Eksik tarih",IF(G152="Tamamlandı",IF(H152="","Eksik kapanış",MAX(0,H152-F152)),MAX(0,'Panel'!$N$5-F152))))</x:f>
      </x:c>
      <x:c r="M152" s="2" t="str">
        <x:f>IF(AND(A152&lt;&gt;"",B152='Panel'!$C$5,G152&lt;&gt;"Tamamlandı",E152&lt;='Panel'!$N$5),COUNTIFS($B$7:B152,B152,$A$7:A152,"&lt;&gt;",$G$7:G152,"&lt;&gt;Tamamlandı",$E$7:E152,"&lt;="&amp;'Panel'!$N$5),"")</x:f>
      </x:c>
      <x:c r="N152" s="2" t="str">
        <x:f>IF(AND(A152&lt;&gt;"",B152='Panel'!$C$5,G152="Tamamlandı",H152&gt;='Panel'!$N$5-WEEKDAY('Panel'!$N$5,2)+1,H152&lt;='Panel'!$N$5),COUNTIFS($B$7:B152,B152,$G$7:G152,"Tamamlandı",$H$7:H152,"&gt;="&amp;('Panel'!$N$5-WEEKDAY('Panel'!$N$5,2)+1),$H$7:H152,"&lt;="&amp;'Panel'!$N$5),"")</x:f>
      </x:c>
    </x:row>
    <x:row r="153" ht="22" customHeight="1">
      <x:c r="A153" s="6"/>
      <x:c r="B153" s="6"/>
      <x:c r="C153" s="6"/>
      <x:c r="D153" s="6"/>
      <x:c r="E153" s="7"/>
      <x:c r="F153" s="7"/>
      <x:c r="G153" s="6"/>
      <x:c r="H153" s="7"/>
      <x:c r="I153" s="6"/>
      <x:c r="J153" s="6"/>
      <x:c r="K153" s="6"/>
      <x:c r="L153" s="2" t="str">
        <x:f>IF(A153="","",IF(OR(E153="",F153=""),"Eksik tarih",IF(G153="Tamamlandı",IF(H153="","Eksik kapanış",MAX(0,H153-F153)),MAX(0,'Panel'!$N$5-F153))))</x:f>
      </x:c>
      <x:c r="M153" s="2" t="str">
        <x:f>IF(AND(A153&lt;&gt;"",B153='Panel'!$C$5,G153&lt;&gt;"Tamamlandı",E153&lt;='Panel'!$N$5),COUNTIFS($B$7:B153,B153,$A$7:A153,"&lt;&gt;",$G$7:G153,"&lt;&gt;Tamamlandı",$E$7:E153,"&lt;="&amp;'Panel'!$N$5),"")</x:f>
      </x:c>
      <x:c r="N153" s="2" t="str">
        <x:f>IF(AND(A153&lt;&gt;"",B153='Panel'!$C$5,G153="Tamamlandı",H153&gt;='Panel'!$N$5-WEEKDAY('Panel'!$N$5,2)+1,H153&lt;='Panel'!$N$5),COUNTIFS($B$7:B153,B153,$G$7:G153,"Tamamlandı",$H$7:H153,"&gt;="&amp;('Panel'!$N$5-WEEKDAY('Panel'!$N$5,2)+1),$H$7:H153,"&lt;="&amp;'Panel'!$N$5),"")</x:f>
      </x:c>
    </x:row>
    <x:row r="154" ht="22" customHeight="1">
      <x:c r="A154" s="6"/>
      <x:c r="B154" s="6"/>
      <x:c r="C154" s="6"/>
      <x:c r="D154" s="6"/>
      <x:c r="E154" s="7"/>
      <x:c r="F154" s="7"/>
      <x:c r="G154" s="6"/>
      <x:c r="H154" s="7"/>
      <x:c r="I154" s="6"/>
      <x:c r="J154" s="6"/>
      <x:c r="K154" s="6"/>
      <x:c r="L154" s="2" t="str">
        <x:f>IF(A154="","",IF(OR(E154="",F154=""),"Eksik tarih",IF(G154="Tamamlandı",IF(H154="","Eksik kapanış",MAX(0,H154-F154)),MAX(0,'Panel'!$N$5-F154))))</x:f>
      </x:c>
      <x:c r="M154" s="2" t="str">
        <x:f>IF(AND(A154&lt;&gt;"",B154='Panel'!$C$5,G154&lt;&gt;"Tamamlandı",E154&lt;='Panel'!$N$5),COUNTIFS($B$7:B154,B154,$A$7:A154,"&lt;&gt;",$G$7:G154,"&lt;&gt;Tamamlandı",$E$7:E154,"&lt;="&amp;'Panel'!$N$5),"")</x:f>
      </x:c>
      <x:c r="N154" s="2" t="str">
        <x:f>IF(AND(A154&lt;&gt;"",B154='Panel'!$C$5,G154="Tamamlandı",H154&gt;='Panel'!$N$5-WEEKDAY('Panel'!$N$5,2)+1,H154&lt;='Panel'!$N$5),COUNTIFS($B$7:B154,B154,$G$7:G154,"Tamamlandı",$H$7:H154,"&gt;="&amp;('Panel'!$N$5-WEEKDAY('Panel'!$N$5,2)+1),$H$7:H154,"&lt;="&amp;'Panel'!$N$5),"")</x:f>
      </x:c>
    </x:row>
    <x:row r="155" ht="22" customHeight="1">
      <x:c r="A155" s="6"/>
      <x:c r="B155" s="6"/>
      <x:c r="C155" s="6"/>
      <x:c r="D155" s="6"/>
      <x:c r="E155" s="7"/>
      <x:c r="F155" s="7"/>
      <x:c r="G155" s="6"/>
      <x:c r="H155" s="7"/>
      <x:c r="I155" s="6"/>
      <x:c r="J155" s="6"/>
      <x:c r="K155" s="6"/>
      <x:c r="L155" s="2" t="str">
        <x:f>IF(A155="","",IF(OR(E155="",F155=""),"Eksik tarih",IF(G155="Tamamlandı",IF(H155="","Eksik kapanış",MAX(0,H155-F155)),MAX(0,'Panel'!$N$5-F155))))</x:f>
      </x:c>
      <x:c r="M155" s="2" t="str">
        <x:f>IF(AND(A155&lt;&gt;"",B155='Panel'!$C$5,G155&lt;&gt;"Tamamlandı",E155&lt;='Panel'!$N$5),COUNTIFS($B$7:B155,B155,$A$7:A155,"&lt;&gt;",$G$7:G155,"&lt;&gt;Tamamlandı",$E$7:E155,"&lt;="&amp;'Panel'!$N$5),"")</x:f>
      </x:c>
      <x:c r="N155" s="2" t="str">
        <x:f>IF(AND(A155&lt;&gt;"",B155='Panel'!$C$5,G155="Tamamlandı",H155&gt;='Panel'!$N$5-WEEKDAY('Panel'!$N$5,2)+1,H155&lt;='Panel'!$N$5),COUNTIFS($B$7:B155,B155,$G$7:G155,"Tamamlandı",$H$7:H155,"&gt;="&amp;('Panel'!$N$5-WEEKDAY('Panel'!$N$5,2)+1),$H$7:H155,"&lt;="&amp;'Panel'!$N$5),"")</x:f>
      </x:c>
    </x:row>
    <x:row r="156" ht="22" customHeight="1">
      <x:c r="A156" s="6"/>
      <x:c r="B156" s="6"/>
      <x:c r="C156" s="6"/>
      <x:c r="D156" s="6"/>
      <x:c r="E156" s="7"/>
      <x:c r="F156" s="7"/>
      <x:c r="G156" s="6"/>
      <x:c r="H156" s="7"/>
      <x:c r="I156" s="6"/>
      <x:c r="J156" s="6"/>
      <x:c r="K156" s="6"/>
      <x:c r="L156" s="2" t="str">
        <x:f>IF(A156="","",IF(OR(E156="",F156=""),"Eksik tarih",IF(G156="Tamamlandı",IF(H156="","Eksik kapanış",MAX(0,H156-F156)),MAX(0,'Panel'!$N$5-F156))))</x:f>
      </x:c>
      <x:c r="M156" s="2" t="str">
        <x:f>IF(AND(A156&lt;&gt;"",B156='Panel'!$C$5,G156&lt;&gt;"Tamamlandı",E156&lt;='Panel'!$N$5),COUNTIFS($B$7:B156,B156,$A$7:A156,"&lt;&gt;",$G$7:G156,"&lt;&gt;Tamamlandı",$E$7:E156,"&lt;="&amp;'Panel'!$N$5),"")</x:f>
      </x:c>
      <x:c r="N156" s="2" t="str">
        <x:f>IF(AND(A156&lt;&gt;"",B156='Panel'!$C$5,G156="Tamamlandı",H156&gt;='Panel'!$N$5-WEEKDAY('Panel'!$N$5,2)+1,H156&lt;='Panel'!$N$5),COUNTIFS($B$7:B156,B156,$G$7:G156,"Tamamlandı",$H$7:H156,"&gt;="&amp;('Panel'!$N$5-WEEKDAY('Panel'!$N$5,2)+1),$H$7:H156,"&lt;="&amp;'Panel'!$N$5),"")</x:f>
      </x:c>
    </x:row>
    <x:row r="157" ht="22" customHeight="1">
      <x:c r="A157" s="6"/>
      <x:c r="B157" s="6"/>
      <x:c r="C157" s="6"/>
      <x:c r="D157" s="6"/>
      <x:c r="E157" s="7"/>
      <x:c r="F157" s="7"/>
      <x:c r="G157" s="6"/>
      <x:c r="H157" s="7"/>
      <x:c r="I157" s="6"/>
      <x:c r="J157" s="6"/>
      <x:c r="K157" s="6"/>
      <x:c r="L157" s="2" t="str">
        <x:f>IF(A157="","",IF(OR(E157="",F157=""),"Eksik tarih",IF(G157="Tamamlandı",IF(H157="","Eksik kapanış",MAX(0,H157-F157)),MAX(0,'Panel'!$N$5-F157))))</x:f>
      </x:c>
      <x:c r="M157" s="2" t="str">
        <x:f>IF(AND(A157&lt;&gt;"",B157='Panel'!$C$5,G157&lt;&gt;"Tamamlandı",E157&lt;='Panel'!$N$5),COUNTIFS($B$7:B157,B157,$A$7:A157,"&lt;&gt;",$G$7:G157,"&lt;&gt;Tamamlandı",$E$7:E157,"&lt;="&amp;'Panel'!$N$5),"")</x:f>
      </x:c>
      <x:c r="N157" s="2" t="str">
        <x:f>IF(AND(A157&lt;&gt;"",B157='Panel'!$C$5,G157="Tamamlandı",H157&gt;='Panel'!$N$5-WEEKDAY('Panel'!$N$5,2)+1,H157&lt;='Panel'!$N$5),COUNTIFS($B$7:B157,B157,$G$7:G157,"Tamamlandı",$H$7:H157,"&gt;="&amp;('Panel'!$N$5-WEEKDAY('Panel'!$N$5,2)+1),$H$7:H157,"&lt;="&amp;'Panel'!$N$5),"")</x:f>
      </x:c>
    </x:row>
    <x:row r="158" ht="22" customHeight="1">
      <x:c r="A158" s="6"/>
      <x:c r="B158" s="6"/>
      <x:c r="C158" s="6"/>
      <x:c r="D158" s="6"/>
      <x:c r="E158" s="7"/>
      <x:c r="F158" s="7"/>
      <x:c r="G158" s="6"/>
      <x:c r="H158" s="7"/>
      <x:c r="I158" s="6"/>
      <x:c r="J158" s="6"/>
      <x:c r="K158" s="6"/>
      <x:c r="L158" s="2" t="str">
        <x:f>IF(A158="","",IF(OR(E158="",F158=""),"Eksik tarih",IF(G158="Tamamlandı",IF(H158="","Eksik kapanış",MAX(0,H158-F158)),MAX(0,'Panel'!$N$5-F158))))</x:f>
      </x:c>
      <x:c r="M158" s="2" t="str">
        <x:f>IF(AND(A158&lt;&gt;"",B158='Panel'!$C$5,G158&lt;&gt;"Tamamlandı",E158&lt;='Panel'!$N$5),COUNTIFS($B$7:B158,B158,$A$7:A158,"&lt;&gt;",$G$7:G158,"&lt;&gt;Tamamlandı",$E$7:E158,"&lt;="&amp;'Panel'!$N$5),"")</x:f>
      </x:c>
      <x:c r="N158" s="2" t="str">
        <x:f>IF(AND(A158&lt;&gt;"",B158='Panel'!$C$5,G158="Tamamlandı",H158&gt;='Panel'!$N$5-WEEKDAY('Panel'!$N$5,2)+1,H158&lt;='Panel'!$N$5),COUNTIFS($B$7:B158,B158,$G$7:G158,"Tamamlandı",$H$7:H158,"&gt;="&amp;('Panel'!$N$5-WEEKDAY('Panel'!$N$5,2)+1),$H$7:H158,"&lt;="&amp;'Panel'!$N$5),"")</x:f>
      </x:c>
    </x:row>
    <x:row r="159" ht="22" customHeight="1">
      <x:c r="A159" s="6"/>
      <x:c r="B159" s="6"/>
      <x:c r="C159" s="6"/>
      <x:c r="D159" s="6"/>
      <x:c r="E159" s="7"/>
      <x:c r="F159" s="7"/>
      <x:c r="G159" s="6"/>
      <x:c r="H159" s="7"/>
      <x:c r="I159" s="6"/>
      <x:c r="J159" s="6"/>
      <x:c r="K159" s="6"/>
      <x:c r="L159" s="2" t="str">
        <x:f>IF(A159="","",IF(OR(E159="",F159=""),"Eksik tarih",IF(G159="Tamamlandı",IF(H159="","Eksik kapanış",MAX(0,H159-F159)),MAX(0,'Panel'!$N$5-F159))))</x:f>
      </x:c>
      <x:c r="M159" s="2" t="str">
        <x:f>IF(AND(A159&lt;&gt;"",B159='Panel'!$C$5,G159&lt;&gt;"Tamamlandı",E159&lt;='Panel'!$N$5),COUNTIFS($B$7:B159,B159,$A$7:A159,"&lt;&gt;",$G$7:G159,"&lt;&gt;Tamamlandı",$E$7:E159,"&lt;="&amp;'Panel'!$N$5),"")</x:f>
      </x:c>
      <x:c r="N159" s="2" t="str">
        <x:f>IF(AND(A159&lt;&gt;"",B159='Panel'!$C$5,G159="Tamamlandı",H159&gt;='Panel'!$N$5-WEEKDAY('Panel'!$N$5,2)+1,H159&lt;='Panel'!$N$5),COUNTIFS($B$7:B159,B159,$G$7:G159,"Tamamlandı",$H$7:H159,"&gt;="&amp;('Panel'!$N$5-WEEKDAY('Panel'!$N$5,2)+1),$H$7:H159,"&lt;="&amp;'Panel'!$N$5),"")</x:f>
      </x:c>
    </x:row>
    <x:row r="160" ht="22" customHeight="1">
      <x:c r="A160" s="6"/>
      <x:c r="B160" s="6"/>
      <x:c r="C160" s="6"/>
      <x:c r="D160" s="6"/>
      <x:c r="E160" s="7"/>
      <x:c r="F160" s="7"/>
      <x:c r="G160" s="6"/>
      <x:c r="H160" s="7"/>
      <x:c r="I160" s="6"/>
      <x:c r="J160" s="6"/>
      <x:c r="K160" s="6"/>
      <x:c r="L160" s="2" t="str">
        <x:f>IF(A160="","",IF(OR(E160="",F160=""),"Eksik tarih",IF(G160="Tamamlandı",IF(H160="","Eksik kapanış",MAX(0,H160-F160)),MAX(0,'Panel'!$N$5-F160))))</x:f>
      </x:c>
      <x:c r="M160" s="2" t="str">
        <x:f>IF(AND(A160&lt;&gt;"",B160='Panel'!$C$5,G160&lt;&gt;"Tamamlandı",E160&lt;='Panel'!$N$5),COUNTIFS($B$7:B160,B160,$A$7:A160,"&lt;&gt;",$G$7:G160,"&lt;&gt;Tamamlandı",$E$7:E160,"&lt;="&amp;'Panel'!$N$5),"")</x:f>
      </x:c>
      <x:c r="N160" s="2" t="str">
        <x:f>IF(AND(A160&lt;&gt;"",B160='Panel'!$C$5,G160="Tamamlandı",H160&gt;='Panel'!$N$5-WEEKDAY('Panel'!$N$5,2)+1,H160&lt;='Panel'!$N$5),COUNTIFS($B$7:B160,B160,$G$7:G160,"Tamamlandı",$H$7:H160,"&gt;="&amp;('Panel'!$N$5-WEEKDAY('Panel'!$N$5,2)+1),$H$7:H160,"&lt;="&amp;'Panel'!$N$5),"")</x:f>
      </x:c>
    </x:row>
    <x:row r="161" ht="22" customHeight="1">
      <x:c r="A161" s="6"/>
      <x:c r="B161" s="6"/>
      <x:c r="C161" s="6"/>
      <x:c r="D161" s="6"/>
      <x:c r="E161" s="7"/>
      <x:c r="F161" s="7"/>
      <x:c r="G161" s="6"/>
      <x:c r="H161" s="7"/>
      <x:c r="I161" s="6"/>
      <x:c r="J161" s="6"/>
      <x:c r="K161" s="6"/>
      <x:c r="L161" s="2" t="str">
        <x:f>IF(A161="","",IF(OR(E161="",F161=""),"Eksik tarih",IF(G161="Tamamlandı",IF(H161="","Eksik kapanış",MAX(0,H161-F161)),MAX(0,'Panel'!$N$5-F161))))</x:f>
      </x:c>
      <x:c r="M161" s="2" t="str">
        <x:f>IF(AND(A161&lt;&gt;"",B161='Panel'!$C$5,G161&lt;&gt;"Tamamlandı",E161&lt;='Panel'!$N$5),COUNTIFS($B$7:B161,B161,$A$7:A161,"&lt;&gt;",$G$7:G161,"&lt;&gt;Tamamlandı",$E$7:E161,"&lt;="&amp;'Panel'!$N$5),"")</x:f>
      </x:c>
      <x:c r="N161" s="2" t="str">
        <x:f>IF(AND(A161&lt;&gt;"",B161='Panel'!$C$5,G161="Tamamlandı",H161&gt;='Panel'!$N$5-WEEKDAY('Panel'!$N$5,2)+1,H161&lt;='Panel'!$N$5),COUNTIFS($B$7:B161,B161,$G$7:G161,"Tamamlandı",$H$7:H161,"&gt;="&amp;('Panel'!$N$5-WEEKDAY('Panel'!$N$5,2)+1),$H$7:H161,"&lt;="&amp;'Panel'!$N$5),"")</x:f>
      </x:c>
    </x:row>
    <x:row r="162" ht="22" customHeight="1">
      <x:c r="A162" s="6"/>
      <x:c r="B162" s="6"/>
      <x:c r="C162" s="6"/>
      <x:c r="D162" s="6"/>
      <x:c r="E162" s="7"/>
      <x:c r="F162" s="7"/>
      <x:c r="G162" s="6"/>
      <x:c r="H162" s="7"/>
      <x:c r="I162" s="6"/>
      <x:c r="J162" s="6"/>
      <x:c r="K162" s="6"/>
      <x:c r="L162" s="2" t="str">
        <x:f>IF(A162="","",IF(OR(E162="",F162=""),"Eksik tarih",IF(G162="Tamamlandı",IF(H162="","Eksik kapanış",MAX(0,H162-F162)),MAX(0,'Panel'!$N$5-F162))))</x:f>
      </x:c>
      <x:c r="M162" s="2" t="str">
        <x:f>IF(AND(A162&lt;&gt;"",B162='Panel'!$C$5,G162&lt;&gt;"Tamamlandı",E162&lt;='Panel'!$N$5),COUNTIFS($B$7:B162,B162,$A$7:A162,"&lt;&gt;",$G$7:G162,"&lt;&gt;Tamamlandı",$E$7:E162,"&lt;="&amp;'Panel'!$N$5),"")</x:f>
      </x:c>
      <x:c r="N162" s="2" t="str">
        <x:f>IF(AND(A162&lt;&gt;"",B162='Panel'!$C$5,G162="Tamamlandı",H162&gt;='Panel'!$N$5-WEEKDAY('Panel'!$N$5,2)+1,H162&lt;='Panel'!$N$5),COUNTIFS($B$7:B162,B162,$G$7:G162,"Tamamlandı",$H$7:H162,"&gt;="&amp;('Panel'!$N$5-WEEKDAY('Panel'!$N$5,2)+1),$H$7:H162,"&lt;="&amp;'Panel'!$N$5),"")</x:f>
      </x:c>
    </x:row>
    <x:row r="163" ht="22" customHeight="1">
      <x:c r="A163" s="6"/>
      <x:c r="B163" s="6"/>
      <x:c r="C163" s="6"/>
      <x:c r="D163" s="6"/>
      <x:c r="E163" s="7"/>
      <x:c r="F163" s="7"/>
      <x:c r="G163" s="6"/>
      <x:c r="H163" s="7"/>
      <x:c r="I163" s="6"/>
      <x:c r="J163" s="6"/>
      <x:c r="K163" s="6"/>
      <x:c r="L163" s="2" t="str">
        <x:f>IF(A163="","",IF(OR(E163="",F163=""),"Eksik tarih",IF(G163="Tamamlandı",IF(H163="","Eksik kapanış",MAX(0,H163-F163)),MAX(0,'Panel'!$N$5-F163))))</x:f>
      </x:c>
      <x:c r="M163" s="2" t="str">
        <x:f>IF(AND(A163&lt;&gt;"",B163='Panel'!$C$5,G163&lt;&gt;"Tamamlandı",E163&lt;='Panel'!$N$5),COUNTIFS($B$7:B163,B163,$A$7:A163,"&lt;&gt;",$G$7:G163,"&lt;&gt;Tamamlandı",$E$7:E163,"&lt;="&amp;'Panel'!$N$5),"")</x:f>
      </x:c>
      <x:c r="N163" s="2" t="str">
        <x:f>IF(AND(A163&lt;&gt;"",B163='Panel'!$C$5,G163="Tamamlandı",H163&gt;='Panel'!$N$5-WEEKDAY('Panel'!$N$5,2)+1,H163&lt;='Panel'!$N$5),COUNTIFS($B$7:B163,B163,$G$7:G163,"Tamamlandı",$H$7:H163,"&gt;="&amp;('Panel'!$N$5-WEEKDAY('Panel'!$N$5,2)+1),$H$7:H163,"&lt;="&amp;'Panel'!$N$5),"")</x:f>
      </x:c>
    </x:row>
    <x:row r="164" ht="22" customHeight="1">
      <x:c r="A164" s="6"/>
      <x:c r="B164" s="6"/>
      <x:c r="C164" s="6"/>
      <x:c r="D164" s="6"/>
      <x:c r="E164" s="7"/>
      <x:c r="F164" s="7"/>
      <x:c r="G164" s="6"/>
      <x:c r="H164" s="7"/>
      <x:c r="I164" s="6"/>
      <x:c r="J164" s="6"/>
      <x:c r="K164" s="6"/>
      <x:c r="L164" s="2" t="str">
        <x:f>IF(A164="","",IF(OR(E164="",F164=""),"Eksik tarih",IF(G164="Tamamlandı",IF(H164="","Eksik kapanış",MAX(0,H164-F164)),MAX(0,'Panel'!$N$5-F164))))</x:f>
      </x:c>
      <x:c r="M164" s="2" t="str">
        <x:f>IF(AND(A164&lt;&gt;"",B164='Panel'!$C$5,G164&lt;&gt;"Tamamlandı",E164&lt;='Panel'!$N$5),COUNTIFS($B$7:B164,B164,$A$7:A164,"&lt;&gt;",$G$7:G164,"&lt;&gt;Tamamlandı",$E$7:E164,"&lt;="&amp;'Panel'!$N$5),"")</x:f>
      </x:c>
      <x:c r="N164" s="2" t="str">
        <x:f>IF(AND(A164&lt;&gt;"",B164='Panel'!$C$5,G164="Tamamlandı",H164&gt;='Panel'!$N$5-WEEKDAY('Panel'!$N$5,2)+1,H164&lt;='Panel'!$N$5),COUNTIFS($B$7:B164,B164,$G$7:G164,"Tamamlandı",$H$7:H164,"&gt;="&amp;('Panel'!$N$5-WEEKDAY('Panel'!$N$5,2)+1),$H$7:H164,"&lt;="&amp;'Panel'!$N$5),"")</x:f>
      </x:c>
    </x:row>
    <x:row r="165" ht="22" customHeight="1">
      <x:c r="A165" s="6"/>
      <x:c r="B165" s="6"/>
      <x:c r="C165" s="6"/>
      <x:c r="D165" s="6"/>
      <x:c r="E165" s="7"/>
      <x:c r="F165" s="7"/>
      <x:c r="G165" s="6"/>
      <x:c r="H165" s="7"/>
      <x:c r="I165" s="6"/>
      <x:c r="J165" s="6"/>
      <x:c r="K165" s="6"/>
      <x:c r="L165" s="2" t="str">
        <x:f>IF(A165="","",IF(OR(E165="",F165=""),"Eksik tarih",IF(G165="Tamamlandı",IF(H165="","Eksik kapanış",MAX(0,H165-F165)),MAX(0,'Panel'!$N$5-F165))))</x:f>
      </x:c>
      <x:c r="M165" s="2" t="str">
        <x:f>IF(AND(A165&lt;&gt;"",B165='Panel'!$C$5,G165&lt;&gt;"Tamamlandı",E165&lt;='Panel'!$N$5),COUNTIFS($B$7:B165,B165,$A$7:A165,"&lt;&gt;",$G$7:G165,"&lt;&gt;Tamamlandı",$E$7:E165,"&lt;="&amp;'Panel'!$N$5),"")</x:f>
      </x:c>
      <x:c r="N165" s="2" t="str">
        <x:f>IF(AND(A165&lt;&gt;"",B165='Panel'!$C$5,G165="Tamamlandı",H165&gt;='Panel'!$N$5-WEEKDAY('Panel'!$N$5,2)+1,H165&lt;='Panel'!$N$5),COUNTIFS($B$7:B165,B165,$G$7:G165,"Tamamlandı",$H$7:H165,"&gt;="&amp;('Panel'!$N$5-WEEKDAY('Panel'!$N$5,2)+1),$H$7:H165,"&lt;="&amp;'Panel'!$N$5),"")</x:f>
      </x:c>
    </x:row>
    <x:row r="166" ht="22" customHeight="1">
      <x:c r="A166" s="6"/>
      <x:c r="B166" s="6"/>
      <x:c r="C166" s="6"/>
      <x:c r="D166" s="6"/>
      <x:c r="E166" s="7"/>
      <x:c r="F166" s="7"/>
      <x:c r="G166" s="6"/>
      <x:c r="H166" s="7"/>
      <x:c r="I166" s="6"/>
      <x:c r="J166" s="6"/>
      <x:c r="K166" s="6"/>
      <x:c r="L166" s="2" t="str">
        <x:f>IF(A166="","",IF(OR(E166="",F166=""),"Eksik tarih",IF(G166="Tamamlandı",IF(H166="","Eksik kapanış",MAX(0,H166-F166)),MAX(0,'Panel'!$N$5-F166))))</x:f>
      </x:c>
      <x:c r="M166" s="2" t="str">
        <x:f>IF(AND(A166&lt;&gt;"",B166='Panel'!$C$5,G166&lt;&gt;"Tamamlandı",E166&lt;='Panel'!$N$5),COUNTIFS($B$7:B166,B166,$A$7:A166,"&lt;&gt;",$G$7:G166,"&lt;&gt;Tamamlandı",$E$7:E166,"&lt;="&amp;'Panel'!$N$5),"")</x:f>
      </x:c>
      <x:c r="N166" s="2" t="str">
        <x:f>IF(AND(A166&lt;&gt;"",B166='Panel'!$C$5,G166="Tamamlandı",H166&gt;='Panel'!$N$5-WEEKDAY('Panel'!$N$5,2)+1,H166&lt;='Panel'!$N$5),COUNTIFS($B$7:B166,B166,$G$7:G166,"Tamamlandı",$H$7:H166,"&gt;="&amp;('Panel'!$N$5-WEEKDAY('Panel'!$N$5,2)+1),$H$7:H166,"&lt;="&amp;'Panel'!$N$5),"")</x:f>
      </x:c>
    </x:row>
    <x:row r="167" ht="22" customHeight="1">
      <x:c r="A167" s="6"/>
      <x:c r="B167" s="6"/>
      <x:c r="C167" s="6"/>
      <x:c r="D167" s="6"/>
      <x:c r="E167" s="7"/>
      <x:c r="F167" s="7"/>
      <x:c r="G167" s="6"/>
      <x:c r="H167" s="7"/>
      <x:c r="I167" s="6"/>
      <x:c r="J167" s="6"/>
      <x:c r="K167" s="6"/>
      <x:c r="L167" s="2" t="str">
        <x:f>IF(A167="","",IF(OR(E167="",F167=""),"Eksik tarih",IF(G167="Tamamlandı",IF(H167="","Eksik kapanış",MAX(0,H167-F167)),MAX(0,'Panel'!$N$5-F167))))</x:f>
      </x:c>
      <x:c r="M167" s="2" t="str">
        <x:f>IF(AND(A167&lt;&gt;"",B167='Panel'!$C$5,G167&lt;&gt;"Tamamlandı",E167&lt;='Panel'!$N$5),COUNTIFS($B$7:B167,B167,$A$7:A167,"&lt;&gt;",$G$7:G167,"&lt;&gt;Tamamlandı",$E$7:E167,"&lt;="&amp;'Panel'!$N$5),"")</x:f>
      </x:c>
      <x:c r="N167" s="2" t="str">
        <x:f>IF(AND(A167&lt;&gt;"",B167='Panel'!$C$5,G167="Tamamlandı",H167&gt;='Panel'!$N$5-WEEKDAY('Panel'!$N$5,2)+1,H167&lt;='Panel'!$N$5),COUNTIFS($B$7:B167,B167,$G$7:G167,"Tamamlandı",$H$7:H167,"&gt;="&amp;('Panel'!$N$5-WEEKDAY('Panel'!$N$5,2)+1),$H$7:H167,"&lt;="&amp;'Panel'!$N$5),"")</x:f>
      </x:c>
    </x:row>
    <x:row r="168" ht="22" customHeight="1">
      <x:c r="A168" s="6"/>
      <x:c r="B168" s="6"/>
      <x:c r="C168" s="6"/>
      <x:c r="D168" s="6"/>
      <x:c r="E168" s="7"/>
      <x:c r="F168" s="7"/>
      <x:c r="G168" s="6"/>
      <x:c r="H168" s="7"/>
      <x:c r="I168" s="6"/>
      <x:c r="J168" s="6"/>
      <x:c r="K168" s="6"/>
      <x:c r="L168" s="2" t="str">
        <x:f>IF(A168="","",IF(OR(E168="",F168=""),"Eksik tarih",IF(G168="Tamamlandı",IF(H168="","Eksik kapanış",MAX(0,H168-F168)),MAX(0,'Panel'!$N$5-F168))))</x:f>
      </x:c>
      <x:c r="M168" s="2" t="str">
        <x:f>IF(AND(A168&lt;&gt;"",B168='Panel'!$C$5,G168&lt;&gt;"Tamamlandı",E168&lt;='Panel'!$N$5),COUNTIFS($B$7:B168,B168,$A$7:A168,"&lt;&gt;",$G$7:G168,"&lt;&gt;Tamamlandı",$E$7:E168,"&lt;="&amp;'Panel'!$N$5),"")</x:f>
      </x:c>
      <x:c r="N168" s="2" t="str">
        <x:f>IF(AND(A168&lt;&gt;"",B168='Panel'!$C$5,G168="Tamamlandı",H168&gt;='Panel'!$N$5-WEEKDAY('Panel'!$N$5,2)+1,H168&lt;='Panel'!$N$5),COUNTIFS($B$7:B168,B168,$G$7:G168,"Tamamlandı",$H$7:H168,"&gt;="&amp;('Panel'!$N$5-WEEKDAY('Panel'!$N$5,2)+1),$H$7:H168,"&lt;="&amp;'Panel'!$N$5),"")</x:f>
      </x:c>
    </x:row>
    <x:row r="169" ht="22" customHeight="1">
      <x:c r="A169" s="6"/>
      <x:c r="B169" s="6"/>
      <x:c r="C169" s="6"/>
      <x:c r="D169" s="6"/>
      <x:c r="E169" s="7"/>
      <x:c r="F169" s="7"/>
      <x:c r="G169" s="6"/>
      <x:c r="H169" s="7"/>
      <x:c r="I169" s="6"/>
      <x:c r="J169" s="6"/>
      <x:c r="K169" s="6"/>
      <x:c r="L169" s="2" t="str">
        <x:f>IF(A169="","",IF(OR(E169="",F169=""),"Eksik tarih",IF(G169="Tamamlandı",IF(H169="","Eksik kapanış",MAX(0,H169-F169)),MAX(0,'Panel'!$N$5-F169))))</x:f>
      </x:c>
      <x:c r="M169" s="2" t="str">
        <x:f>IF(AND(A169&lt;&gt;"",B169='Panel'!$C$5,G169&lt;&gt;"Tamamlandı",E169&lt;='Panel'!$N$5),COUNTIFS($B$7:B169,B169,$A$7:A169,"&lt;&gt;",$G$7:G169,"&lt;&gt;Tamamlandı",$E$7:E169,"&lt;="&amp;'Panel'!$N$5),"")</x:f>
      </x:c>
      <x:c r="N169" s="2" t="str">
        <x:f>IF(AND(A169&lt;&gt;"",B169='Panel'!$C$5,G169="Tamamlandı",H169&gt;='Panel'!$N$5-WEEKDAY('Panel'!$N$5,2)+1,H169&lt;='Panel'!$N$5),COUNTIFS($B$7:B169,B169,$G$7:G169,"Tamamlandı",$H$7:H169,"&gt;="&amp;('Panel'!$N$5-WEEKDAY('Panel'!$N$5,2)+1),$H$7:H169,"&lt;="&amp;'Panel'!$N$5),"")</x:f>
      </x:c>
    </x:row>
    <x:row r="170" ht="22" customHeight="1">
      <x:c r="A170" s="6"/>
      <x:c r="B170" s="6"/>
      <x:c r="C170" s="6"/>
      <x:c r="D170" s="6"/>
      <x:c r="E170" s="7"/>
      <x:c r="F170" s="7"/>
      <x:c r="G170" s="6"/>
      <x:c r="H170" s="7"/>
      <x:c r="I170" s="6"/>
      <x:c r="J170" s="6"/>
      <x:c r="K170" s="6"/>
      <x:c r="L170" s="2" t="str">
        <x:f>IF(A170="","",IF(OR(E170="",F170=""),"Eksik tarih",IF(G170="Tamamlandı",IF(H170="","Eksik kapanış",MAX(0,H170-F170)),MAX(0,'Panel'!$N$5-F170))))</x:f>
      </x:c>
      <x:c r="M170" s="2" t="str">
        <x:f>IF(AND(A170&lt;&gt;"",B170='Panel'!$C$5,G170&lt;&gt;"Tamamlandı",E170&lt;='Panel'!$N$5),COUNTIFS($B$7:B170,B170,$A$7:A170,"&lt;&gt;",$G$7:G170,"&lt;&gt;Tamamlandı",$E$7:E170,"&lt;="&amp;'Panel'!$N$5),"")</x:f>
      </x:c>
      <x:c r="N170" s="2" t="str">
        <x:f>IF(AND(A170&lt;&gt;"",B170='Panel'!$C$5,G170="Tamamlandı",H170&gt;='Panel'!$N$5-WEEKDAY('Panel'!$N$5,2)+1,H170&lt;='Panel'!$N$5),COUNTIFS($B$7:B170,B170,$G$7:G170,"Tamamlandı",$H$7:H170,"&gt;="&amp;('Panel'!$N$5-WEEKDAY('Panel'!$N$5,2)+1),$H$7:H170,"&lt;="&amp;'Panel'!$N$5),"")</x:f>
      </x:c>
    </x:row>
    <x:row r="171" ht="22" customHeight="1">
      <x:c r="A171" s="6"/>
      <x:c r="B171" s="6"/>
      <x:c r="C171" s="6"/>
      <x:c r="D171" s="6"/>
      <x:c r="E171" s="7"/>
      <x:c r="F171" s="7"/>
      <x:c r="G171" s="6"/>
      <x:c r="H171" s="7"/>
      <x:c r="I171" s="6"/>
      <x:c r="J171" s="6"/>
      <x:c r="K171" s="6"/>
      <x:c r="L171" s="2" t="str">
        <x:f>IF(A171="","",IF(OR(E171="",F171=""),"Eksik tarih",IF(G171="Tamamlandı",IF(H171="","Eksik kapanış",MAX(0,H171-F171)),MAX(0,'Panel'!$N$5-F171))))</x:f>
      </x:c>
      <x:c r="M171" s="2" t="str">
        <x:f>IF(AND(A171&lt;&gt;"",B171='Panel'!$C$5,G171&lt;&gt;"Tamamlandı",E171&lt;='Panel'!$N$5),COUNTIFS($B$7:B171,B171,$A$7:A171,"&lt;&gt;",$G$7:G171,"&lt;&gt;Tamamlandı",$E$7:E171,"&lt;="&amp;'Panel'!$N$5),"")</x:f>
      </x:c>
      <x:c r="N171" s="2" t="str">
        <x:f>IF(AND(A171&lt;&gt;"",B171='Panel'!$C$5,G171="Tamamlandı",H171&gt;='Panel'!$N$5-WEEKDAY('Panel'!$N$5,2)+1,H171&lt;='Panel'!$N$5),COUNTIFS($B$7:B171,B171,$G$7:G171,"Tamamlandı",$H$7:H171,"&gt;="&amp;('Panel'!$N$5-WEEKDAY('Panel'!$N$5,2)+1),$H$7:H171,"&lt;="&amp;'Panel'!$N$5),"")</x:f>
      </x:c>
    </x:row>
    <x:row r="172" ht="22" customHeight="1">
      <x:c r="A172" s="6"/>
      <x:c r="B172" s="6"/>
      <x:c r="C172" s="6"/>
      <x:c r="D172" s="6"/>
      <x:c r="E172" s="7"/>
      <x:c r="F172" s="7"/>
      <x:c r="G172" s="6"/>
      <x:c r="H172" s="7"/>
      <x:c r="I172" s="6"/>
      <x:c r="J172" s="6"/>
      <x:c r="K172" s="6"/>
      <x:c r="L172" s="2" t="str">
        <x:f>IF(A172="","",IF(OR(E172="",F172=""),"Eksik tarih",IF(G172="Tamamlandı",IF(H172="","Eksik kapanış",MAX(0,H172-F172)),MAX(0,'Panel'!$N$5-F172))))</x:f>
      </x:c>
      <x:c r="M172" s="2" t="str">
        <x:f>IF(AND(A172&lt;&gt;"",B172='Panel'!$C$5,G172&lt;&gt;"Tamamlandı",E172&lt;='Panel'!$N$5),COUNTIFS($B$7:B172,B172,$A$7:A172,"&lt;&gt;",$G$7:G172,"&lt;&gt;Tamamlandı",$E$7:E172,"&lt;="&amp;'Panel'!$N$5),"")</x:f>
      </x:c>
      <x:c r="N172" s="2" t="str">
        <x:f>IF(AND(A172&lt;&gt;"",B172='Panel'!$C$5,G172="Tamamlandı",H172&gt;='Panel'!$N$5-WEEKDAY('Panel'!$N$5,2)+1,H172&lt;='Panel'!$N$5),COUNTIFS($B$7:B172,B172,$G$7:G172,"Tamamlandı",$H$7:H172,"&gt;="&amp;('Panel'!$N$5-WEEKDAY('Panel'!$N$5,2)+1),$H$7:H172,"&lt;="&amp;'Panel'!$N$5),"")</x:f>
      </x:c>
    </x:row>
    <x:row r="173" ht="22" customHeight="1">
      <x:c r="A173" s="6"/>
      <x:c r="B173" s="6"/>
      <x:c r="C173" s="6"/>
      <x:c r="D173" s="6"/>
      <x:c r="E173" s="7"/>
      <x:c r="F173" s="7"/>
      <x:c r="G173" s="6"/>
      <x:c r="H173" s="7"/>
      <x:c r="I173" s="6"/>
      <x:c r="J173" s="6"/>
      <x:c r="K173" s="6"/>
      <x:c r="L173" s="2" t="str">
        <x:f>IF(A173="","",IF(OR(E173="",F173=""),"Eksik tarih",IF(G173="Tamamlandı",IF(H173="","Eksik kapanış",MAX(0,H173-F173)),MAX(0,'Panel'!$N$5-F173))))</x:f>
      </x:c>
      <x:c r="M173" s="2" t="str">
        <x:f>IF(AND(A173&lt;&gt;"",B173='Panel'!$C$5,G173&lt;&gt;"Tamamlandı",E173&lt;='Panel'!$N$5),COUNTIFS($B$7:B173,B173,$A$7:A173,"&lt;&gt;",$G$7:G173,"&lt;&gt;Tamamlandı",$E$7:E173,"&lt;="&amp;'Panel'!$N$5),"")</x:f>
      </x:c>
      <x:c r="N173" s="2" t="str">
        <x:f>IF(AND(A173&lt;&gt;"",B173='Panel'!$C$5,G173="Tamamlandı",H173&gt;='Panel'!$N$5-WEEKDAY('Panel'!$N$5,2)+1,H173&lt;='Panel'!$N$5),COUNTIFS($B$7:B173,B173,$G$7:G173,"Tamamlandı",$H$7:H173,"&gt;="&amp;('Panel'!$N$5-WEEKDAY('Panel'!$N$5,2)+1),$H$7:H173,"&lt;="&amp;'Panel'!$N$5),"")</x:f>
      </x:c>
    </x:row>
    <x:row r="174" ht="22" customHeight="1">
      <x:c r="A174" s="6"/>
      <x:c r="B174" s="6"/>
      <x:c r="C174" s="6"/>
      <x:c r="D174" s="6"/>
      <x:c r="E174" s="7"/>
      <x:c r="F174" s="7"/>
      <x:c r="G174" s="6"/>
      <x:c r="H174" s="7"/>
      <x:c r="I174" s="6"/>
      <x:c r="J174" s="6"/>
      <x:c r="K174" s="6"/>
      <x:c r="L174" s="2" t="str">
        <x:f>IF(A174="","",IF(OR(E174="",F174=""),"Eksik tarih",IF(G174="Tamamlandı",IF(H174="","Eksik kapanış",MAX(0,H174-F174)),MAX(0,'Panel'!$N$5-F174))))</x:f>
      </x:c>
      <x:c r="M174" s="2" t="str">
        <x:f>IF(AND(A174&lt;&gt;"",B174='Panel'!$C$5,G174&lt;&gt;"Tamamlandı",E174&lt;='Panel'!$N$5),COUNTIFS($B$7:B174,B174,$A$7:A174,"&lt;&gt;",$G$7:G174,"&lt;&gt;Tamamlandı",$E$7:E174,"&lt;="&amp;'Panel'!$N$5),"")</x:f>
      </x:c>
      <x:c r="N174" s="2" t="str">
        <x:f>IF(AND(A174&lt;&gt;"",B174='Panel'!$C$5,G174="Tamamlandı",H174&gt;='Panel'!$N$5-WEEKDAY('Panel'!$N$5,2)+1,H174&lt;='Panel'!$N$5),COUNTIFS($B$7:B174,B174,$G$7:G174,"Tamamlandı",$H$7:H174,"&gt;="&amp;('Panel'!$N$5-WEEKDAY('Panel'!$N$5,2)+1),$H$7:H174,"&lt;="&amp;'Panel'!$N$5),"")</x:f>
      </x:c>
    </x:row>
    <x:row r="175" ht="22" customHeight="1">
      <x:c r="A175" s="6"/>
      <x:c r="B175" s="6"/>
      <x:c r="C175" s="6"/>
      <x:c r="D175" s="6"/>
      <x:c r="E175" s="7"/>
      <x:c r="F175" s="7"/>
      <x:c r="G175" s="6"/>
      <x:c r="H175" s="7"/>
      <x:c r="I175" s="6"/>
      <x:c r="J175" s="6"/>
      <x:c r="K175" s="6"/>
      <x:c r="L175" s="2" t="str">
        <x:f>IF(A175="","",IF(OR(E175="",F175=""),"Eksik tarih",IF(G175="Tamamlandı",IF(H175="","Eksik kapanış",MAX(0,H175-F175)),MAX(0,'Panel'!$N$5-F175))))</x:f>
      </x:c>
      <x:c r="M175" s="2" t="str">
        <x:f>IF(AND(A175&lt;&gt;"",B175='Panel'!$C$5,G175&lt;&gt;"Tamamlandı",E175&lt;='Panel'!$N$5),COUNTIFS($B$7:B175,B175,$A$7:A175,"&lt;&gt;",$G$7:G175,"&lt;&gt;Tamamlandı",$E$7:E175,"&lt;="&amp;'Panel'!$N$5),"")</x:f>
      </x:c>
      <x:c r="N175" s="2" t="str">
        <x:f>IF(AND(A175&lt;&gt;"",B175='Panel'!$C$5,G175="Tamamlandı",H175&gt;='Panel'!$N$5-WEEKDAY('Panel'!$N$5,2)+1,H175&lt;='Panel'!$N$5),COUNTIFS($B$7:B175,B175,$G$7:G175,"Tamamlandı",$H$7:H175,"&gt;="&amp;('Panel'!$N$5-WEEKDAY('Panel'!$N$5,2)+1),$H$7:H175,"&lt;="&amp;'Panel'!$N$5),"")</x:f>
      </x:c>
    </x:row>
    <x:row r="176" ht="22" customHeight="1">
      <x:c r="A176" s="6"/>
      <x:c r="B176" s="6"/>
      <x:c r="C176" s="6"/>
      <x:c r="D176" s="6"/>
      <x:c r="E176" s="7"/>
      <x:c r="F176" s="7"/>
      <x:c r="G176" s="6"/>
      <x:c r="H176" s="7"/>
      <x:c r="I176" s="6"/>
      <x:c r="J176" s="6"/>
      <x:c r="K176" s="6"/>
      <x:c r="L176" s="2" t="str">
        <x:f>IF(A176="","",IF(OR(E176="",F176=""),"Eksik tarih",IF(G176="Tamamlandı",IF(H176="","Eksik kapanış",MAX(0,H176-F176)),MAX(0,'Panel'!$N$5-F176))))</x:f>
      </x:c>
      <x:c r="M176" s="2" t="str">
        <x:f>IF(AND(A176&lt;&gt;"",B176='Panel'!$C$5,G176&lt;&gt;"Tamamlandı",E176&lt;='Panel'!$N$5),COUNTIFS($B$7:B176,B176,$A$7:A176,"&lt;&gt;",$G$7:G176,"&lt;&gt;Tamamlandı",$E$7:E176,"&lt;="&amp;'Panel'!$N$5),"")</x:f>
      </x:c>
      <x:c r="N176" s="2" t="str">
        <x:f>IF(AND(A176&lt;&gt;"",B176='Panel'!$C$5,G176="Tamamlandı",H176&gt;='Panel'!$N$5-WEEKDAY('Panel'!$N$5,2)+1,H176&lt;='Panel'!$N$5),COUNTIFS($B$7:B176,B176,$G$7:G176,"Tamamlandı",$H$7:H176,"&gt;="&amp;('Panel'!$N$5-WEEKDAY('Panel'!$N$5,2)+1),$H$7:H176,"&lt;="&amp;'Panel'!$N$5),"")</x:f>
      </x:c>
    </x:row>
    <x:row r="177" ht="22" customHeight="1">
      <x:c r="A177" s="6"/>
      <x:c r="B177" s="6"/>
      <x:c r="C177" s="6"/>
      <x:c r="D177" s="6"/>
      <x:c r="E177" s="7"/>
      <x:c r="F177" s="7"/>
      <x:c r="G177" s="6"/>
      <x:c r="H177" s="7"/>
      <x:c r="I177" s="6"/>
      <x:c r="J177" s="6"/>
      <x:c r="K177" s="6"/>
      <x:c r="L177" s="2" t="str">
        <x:f>IF(A177="","",IF(OR(E177="",F177=""),"Eksik tarih",IF(G177="Tamamlandı",IF(H177="","Eksik kapanış",MAX(0,H177-F177)),MAX(0,'Panel'!$N$5-F177))))</x:f>
      </x:c>
      <x:c r="M177" s="2" t="str">
        <x:f>IF(AND(A177&lt;&gt;"",B177='Panel'!$C$5,G177&lt;&gt;"Tamamlandı",E177&lt;='Panel'!$N$5),COUNTIFS($B$7:B177,B177,$A$7:A177,"&lt;&gt;",$G$7:G177,"&lt;&gt;Tamamlandı",$E$7:E177,"&lt;="&amp;'Panel'!$N$5),"")</x:f>
      </x:c>
      <x:c r="N177" s="2" t="str">
        <x:f>IF(AND(A177&lt;&gt;"",B177='Panel'!$C$5,G177="Tamamlandı",H177&gt;='Panel'!$N$5-WEEKDAY('Panel'!$N$5,2)+1,H177&lt;='Panel'!$N$5),COUNTIFS($B$7:B177,B177,$G$7:G177,"Tamamlandı",$H$7:H177,"&gt;="&amp;('Panel'!$N$5-WEEKDAY('Panel'!$N$5,2)+1),$H$7:H177,"&lt;="&amp;'Panel'!$N$5),"")</x:f>
      </x:c>
    </x:row>
    <x:row r="178" ht="22" customHeight="1">
      <x:c r="A178" s="6"/>
      <x:c r="B178" s="6"/>
      <x:c r="C178" s="6"/>
      <x:c r="D178" s="6"/>
      <x:c r="E178" s="7"/>
      <x:c r="F178" s="7"/>
      <x:c r="G178" s="6"/>
      <x:c r="H178" s="7"/>
      <x:c r="I178" s="6"/>
      <x:c r="J178" s="6"/>
      <x:c r="K178" s="6"/>
      <x:c r="L178" s="2" t="str">
        <x:f>IF(A178="","",IF(OR(E178="",F178=""),"Eksik tarih",IF(G178="Tamamlandı",IF(H178="","Eksik kapanış",MAX(0,H178-F178)),MAX(0,'Panel'!$N$5-F178))))</x:f>
      </x:c>
      <x:c r="M178" s="2" t="str">
        <x:f>IF(AND(A178&lt;&gt;"",B178='Panel'!$C$5,G178&lt;&gt;"Tamamlandı",E178&lt;='Panel'!$N$5),COUNTIFS($B$7:B178,B178,$A$7:A178,"&lt;&gt;",$G$7:G178,"&lt;&gt;Tamamlandı",$E$7:E178,"&lt;="&amp;'Panel'!$N$5),"")</x:f>
      </x:c>
      <x:c r="N178" s="2" t="str">
        <x:f>IF(AND(A178&lt;&gt;"",B178='Panel'!$C$5,G178="Tamamlandı",H178&gt;='Panel'!$N$5-WEEKDAY('Panel'!$N$5,2)+1,H178&lt;='Panel'!$N$5),COUNTIFS($B$7:B178,B178,$G$7:G178,"Tamamlandı",$H$7:H178,"&gt;="&amp;('Panel'!$N$5-WEEKDAY('Panel'!$N$5,2)+1),$H$7:H178,"&lt;="&amp;'Panel'!$N$5),"")</x:f>
      </x:c>
    </x:row>
    <x:row r="179" ht="22" customHeight="1">
      <x:c r="A179" s="6"/>
      <x:c r="B179" s="6"/>
      <x:c r="C179" s="6"/>
      <x:c r="D179" s="6"/>
      <x:c r="E179" s="7"/>
      <x:c r="F179" s="7"/>
      <x:c r="G179" s="6"/>
      <x:c r="H179" s="7"/>
      <x:c r="I179" s="6"/>
      <x:c r="J179" s="6"/>
      <x:c r="K179" s="6"/>
      <x:c r="L179" s="2" t="str">
        <x:f>IF(A179="","",IF(OR(E179="",F179=""),"Eksik tarih",IF(G179="Tamamlandı",IF(H179="","Eksik kapanış",MAX(0,H179-F179)),MAX(0,'Panel'!$N$5-F179))))</x:f>
      </x:c>
      <x:c r="M179" s="2" t="str">
        <x:f>IF(AND(A179&lt;&gt;"",B179='Panel'!$C$5,G179&lt;&gt;"Tamamlandı",E179&lt;='Panel'!$N$5),COUNTIFS($B$7:B179,B179,$A$7:A179,"&lt;&gt;",$G$7:G179,"&lt;&gt;Tamamlandı",$E$7:E179,"&lt;="&amp;'Panel'!$N$5),"")</x:f>
      </x:c>
      <x:c r="N179" s="2" t="str">
        <x:f>IF(AND(A179&lt;&gt;"",B179='Panel'!$C$5,G179="Tamamlandı",H179&gt;='Panel'!$N$5-WEEKDAY('Panel'!$N$5,2)+1,H179&lt;='Panel'!$N$5),COUNTIFS($B$7:B179,B179,$G$7:G179,"Tamamlandı",$H$7:H179,"&gt;="&amp;('Panel'!$N$5-WEEKDAY('Panel'!$N$5,2)+1),$H$7:H179,"&lt;="&amp;'Panel'!$N$5),"")</x:f>
      </x:c>
    </x:row>
    <x:row r="180" ht="22" customHeight="1">
      <x:c r="A180" s="6"/>
      <x:c r="B180" s="6"/>
      <x:c r="C180" s="6"/>
      <x:c r="D180" s="6"/>
      <x:c r="E180" s="7"/>
      <x:c r="F180" s="7"/>
      <x:c r="G180" s="6"/>
      <x:c r="H180" s="7"/>
      <x:c r="I180" s="6"/>
      <x:c r="J180" s="6"/>
      <x:c r="K180" s="6"/>
      <x:c r="L180" s="2" t="str">
        <x:f>IF(A180="","",IF(OR(E180="",F180=""),"Eksik tarih",IF(G180="Tamamlandı",IF(H180="","Eksik kapanış",MAX(0,H180-F180)),MAX(0,'Panel'!$N$5-F180))))</x:f>
      </x:c>
      <x:c r="M180" s="2" t="str">
        <x:f>IF(AND(A180&lt;&gt;"",B180='Panel'!$C$5,G180&lt;&gt;"Tamamlandı",E180&lt;='Panel'!$N$5),COUNTIFS($B$7:B180,B180,$A$7:A180,"&lt;&gt;",$G$7:G180,"&lt;&gt;Tamamlandı",$E$7:E180,"&lt;="&amp;'Panel'!$N$5),"")</x:f>
      </x:c>
      <x:c r="N180" s="2" t="str">
        <x:f>IF(AND(A180&lt;&gt;"",B180='Panel'!$C$5,G180="Tamamlandı",H180&gt;='Panel'!$N$5-WEEKDAY('Panel'!$N$5,2)+1,H180&lt;='Panel'!$N$5),COUNTIFS($B$7:B180,B180,$G$7:G180,"Tamamlandı",$H$7:H180,"&gt;="&amp;('Panel'!$N$5-WEEKDAY('Panel'!$N$5,2)+1),$H$7:H180,"&lt;="&amp;'Panel'!$N$5),"")</x:f>
      </x:c>
    </x:row>
    <x:row r="181" ht="22" customHeight="1">
      <x:c r="A181" s="6"/>
      <x:c r="B181" s="6"/>
      <x:c r="C181" s="6"/>
      <x:c r="D181" s="6"/>
      <x:c r="E181" s="7"/>
      <x:c r="F181" s="7"/>
      <x:c r="G181" s="6"/>
      <x:c r="H181" s="7"/>
      <x:c r="I181" s="6"/>
      <x:c r="J181" s="6"/>
      <x:c r="K181" s="6"/>
      <x:c r="L181" s="2" t="str">
        <x:f>IF(A181="","",IF(OR(E181="",F181=""),"Eksik tarih",IF(G181="Tamamlandı",IF(H181="","Eksik kapanış",MAX(0,H181-F181)),MAX(0,'Panel'!$N$5-F181))))</x:f>
      </x:c>
      <x:c r="M181" s="2" t="str">
        <x:f>IF(AND(A181&lt;&gt;"",B181='Panel'!$C$5,G181&lt;&gt;"Tamamlandı",E181&lt;='Panel'!$N$5),COUNTIFS($B$7:B181,B181,$A$7:A181,"&lt;&gt;",$G$7:G181,"&lt;&gt;Tamamlandı",$E$7:E181,"&lt;="&amp;'Panel'!$N$5),"")</x:f>
      </x:c>
      <x:c r="N181" s="2" t="str">
        <x:f>IF(AND(A181&lt;&gt;"",B181='Panel'!$C$5,G181="Tamamlandı",H181&gt;='Panel'!$N$5-WEEKDAY('Panel'!$N$5,2)+1,H181&lt;='Panel'!$N$5),COUNTIFS($B$7:B181,B181,$G$7:G181,"Tamamlandı",$H$7:H181,"&gt;="&amp;('Panel'!$N$5-WEEKDAY('Panel'!$N$5,2)+1),$H$7:H181,"&lt;="&amp;'Panel'!$N$5),"")</x:f>
      </x:c>
    </x:row>
    <x:row r="182" ht="22" customHeight="1">
      <x:c r="A182" s="6"/>
      <x:c r="B182" s="6"/>
      <x:c r="C182" s="6"/>
      <x:c r="D182" s="6"/>
      <x:c r="E182" s="7"/>
      <x:c r="F182" s="7"/>
      <x:c r="G182" s="6"/>
      <x:c r="H182" s="7"/>
      <x:c r="I182" s="6"/>
      <x:c r="J182" s="6"/>
      <x:c r="K182" s="6"/>
      <x:c r="L182" s="2" t="str">
        <x:f>IF(A182="","",IF(OR(E182="",F182=""),"Eksik tarih",IF(G182="Tamamlandı",IF(H182="","Eksik kapanış",MAX(0,H182-F182)),MAX(0,'Panel'!$N$5-F182))))</x:f>
      </x:c>
      <x:c r="M182" s="2" t="str">
        <x:f>IF(AND(A182&lt;&gt;"",B182='Panel'!$C$5,G182&lt;&gt;"Tamamlandı",E182&lt;='Panel'!$N$5),COUNTIFS($B$7:B182,B182,$A$7:A182,"&lt;&gt;",$G$7:G182,"&lt;&gt;Tamamlandı",$E$7:E182,"&lt;="&amp;'Panel'!$N$5),"")</x:f>
      </x:c>
      <x:c r="N182" s="2" t="str">
        <x:f>IF(AND(A182&lt;&gt;"",B182='Panel'!$C$5,G182="Tamamlandı",H182&gt;='Panel'!$N$5-WEEKDAY('Panel'!$N$5,2)+1,H182&lt;='Panel'!$N$5),COUNTIFS($B$7:B182,B182,$G$7:G182,"Tamamlandı",$H$7:H182,"&gt;="&amp;('Panel'!$N$5-WEEKDAY('Panel'!$N$5,2)+1),$H$7:H182,"&lt;="&amp;'Panel'!$N$5),"")</x:f>
      </x:c>
    </x:row>
    <x:row r="183" ht="22" customHeight="1">
      <x:c r="A183" s="6"/>
      <x:c r="B183" s="6"/>
      <x:c r="C183" s="6"/>
      <x:c r="D183" s="6"/>
      <x:c r="E183" s="7"/>
      <x:c r="F183" s="7"/>
      <x:c r="G183" s="6"/>
      <x:c r="H183" s="7"/>
      <x:c r="I183" s="6"/>
      <x:c r="J183" s="6"/>
      <x:c r="K183" s="6"/>
      <x:c r="L183" s="2" t="str">
        <x:f>IF(A183="","",IF(OR(E183="",F183=""),"Eksik tarih",IF(G183="Tamamlandı",IF(H183="","Eksik kapanış",MAX(0,H183-F183)),MAX(0,'Panel'!$N$5-F183))))</x:f>
      </x:c>
      <x:c r="M183" s="2" t="str">
        <x:f>IF(AND(A183&lt;&gt;"",B183='Panel'!$C$5,G183&lt;&gt;"Tamamlandı",E183&lt;='Panel'!$N$5),COUNTIFS($B$7:B183,B183,$A$7:A183,"&lt;&gt;",$G$7:G183,"&lt;&gt;Tamamlandı",$E$7:E183,"&lt;="&amp;'Panel'!$N$5),"")</x:f>
      </x:c>
      <x:c r="N183" s="2" t="str">
        <x:f>IF(AND(A183&lt;&gt;"",B183='Panel'!$C$5,G183="Tamamlandı",H183&gt;='Panel'!$N$5-WEEKDAY('Panel'!$N$5,2)+1,H183&lt;='Panel'!$N$5),COUNTIFS($B$7:B183,B183,$G$7:G183,"Tamamlandı",$H$7:H183,"&gt;="&amp;('Panel'!$N$5-WEEKDAY('Panel'!$N$5,2)+1),$H$7:H183,"&lt;="&amp;'Panel'!$N$5),"")</x:f>
      </x:c>
    </x:row>
    <x:row r="184" ht="22" customHeight="1">
      <x:c r="A184" s="6"/>
      <x:c r="B184" s="6"/>
      <x:c r="C184" s="6"/>
      <x:c r="D184" s="6"/>
      <x:c r="E184" s="7"/>
      <x:c r="F184" s="7"/>
      <x:c r="G184" s="6"/>
      <x:c r="H184" s="7"/>
      <x:c r="I184" s="6"/>
      <x:c r="J184" s="6"/>
      <x:c r="K184" s="6"/>
      <x:c r="L184" s="2" t="str">
        <x:f>IF(A184="","",IF(OR(E184="",F184=""),"Eksik tarih",IF(G184="Tamamlandı",IF(H184="","Eksik kapanış",MAX(0,H184-F184)),MAX(0,'Panel'!$N$5-F184))))</x:f>
      </x:c>
      <x:c r="M184" s="2" t="str">
        <x:f>IF(AND(A184&lt;&gt;"",B184='Panel'!$C$5,G184&lt;&gt;"Tamamlandı",E184&lt;='Panel'!$N$5),COUNTIFS($B$7:B184,B184,$A$7:A184,"&lt;&gt;",$G$7:G184,"&lt;&gt;Tamamlandı",$E$7:E184,"&lt;="&amp;'Panel'!$N$5),"")</x:f>
      </x:c>
      <x:c r="N184" s="2" t="str">
        <x:f>IF(AND(A184&lt;&gt;"",B184='Panel'!$C$5,G184="Tamamlandı",H184&gt;='Panel'!$N$5-WEEKDAY('Panel'!$N$5,2)+1,H184&lt;='Panel'!$N$5),COUNTIFS($B$7:B184,B184,$G$7:G184,"Tamamlandı",$H$7:H184,"&gt;="&amp;('Panel'!$N$5-WEEKDAY('Panel'!$N$5,2)+1),$H$7:H184,"&lt;="&amp;'Panel'!$N$5),"")</x:f>
      </x:c>
    </x:row>
    <x:row r="185" ht="22" customHeight="1">
      <x:c r="A185" s="6"/>
      <x:c r="B185" s="6"/>
      <x:c r="C185" s="6"/>
      <x:c r="D185" s="6"/>
      <x:c r="E185" s="7"/>
      <x:c r="F185" s="7"/>
      <x:c r="G185" s="6"/>
      <x:c r="H185" s="7"/>
      <x:c r="I185" s="6"/>
      <x:c r="J185" s="6"/>
      <x:c r="K185" s="6"/>
      <x:c r="L185" s="2" t="str">
        <x:f>IF(A185="","",IF(OR(E185="",F185=""),"Eksik tarih",IF(G185="Tamamlandı",IF(H185="","Eksik kapanış",MAX(0,H185-F185)),MAX(0,'Panel'!$N$5-F185))))</x:f>
      </x:c>
      <x:c r="M185" s="2" t="str">
        <x:f>IF(AND(A185&lt;&gt;"",B185='Panel'!$C$5,G185&lt;&gt;"Tamamlandı",E185&lt;='Panel'!$N$5),COUNTIFS($B$7:B185,B185,$A$7:A185,"&lt;&gt;",$G$7:G185,"&lt;&gt;Tamamlandı",$E$7:E185,"&lt;="&amp;'Panel'!$N$5),"")</x:f>
      </x:c>
      <x:c r="N185" s="2" t="str">
        <x:f>IF(AND(A185&lt;&gt;"",B185='Panel'!$C$5,G185="Tamamlandı",H185&gt;='Panel'!$N$5-WEEKDAY('Panel'!$N$5,2)+1,H185&lt;='Panel'!$N$5),COUNTIFS($B$7:B185,B185,$G$7:G185,"Tamamlandı",$H$7:H185,"&gt;="&amp;('Panel'!$N$5-WEEKDAY('Panel'!$N$5,2)+1),$H$7:H185,"&lt;="&amp;'Panel'!$N$5),"")</x:f>
      </x:c>
    </x:row>
    <x:row r="186" ht="22" customHeight="1">
      <x:c r="A186" s="6"/>
      <x:c r="B186" s="6"/>
      <x:c r="C186" s="6"/>
      <x:c r="D186" s="6"/>
      <x:c r="E186" s="7"/>
      <x:c r="F186" s="7"/>
      <x:c r="G186" s="6"/>
      <x:c r="H186" s="7"/>
      <x:c r="I186" s="6"/>
      <x:c r="J186" s="6"/>
      <x:c r="K186" s="6"/>
      <x:c r="L186" s="2" t="str">
        <x:f>IF(A186="","",IF(OR(E186="",F186=""),"Eksik tarih",IF(G186="Tamamlandı",IF(H186="","Eksik kapanış",MAX(0,H186-F186)),MAX(0,'Panel'!$N$5-F186))))</x:f>
      </x:c>
      <x:c r="M186" s="2" t="str">
        <x:f>IF(AND(A186&lt;&gt;"",B186='Panel'!$C$5,G186&lt;&gt;"Tamamlandı",E186&lt;='Panel'!$N$5),COUNTIFS($B$7:B186,B186,$A$7:A186,"&lt;&gt;",$G$7:G186,"&lt;&gt;Tamamlandı",$E$7:E186,"&lt;="&amp;'Panel'!$N$5),"")</x:f>
      </x:c>
      <x:c r="N186" s="2" t="str">
        <x:f>IF(AND(A186&lt;&gt;"",B186='Panel'!$C$5,G186="Tamamlandı",H186&gt;='Panel'!$N$5-WEEKDAY('Panel'!$N$5,2)+1,H186&lt;='Panel'!$N$5),COUNTIFS($B$7:B186,B186,$G$7:G186,"Tamamlandı",$H$7:H186,"&gt;="&amp;('Panel'!$N$5-WEEKDAY('Panel'!$N$5,2)+1),$H$7:H186,"&lt;="&amp;'Panel'!$N$5),"")</x:f>
      </x:c>
    </x:row>
    <x:row r="187" ht="22" customHeight="1">
      <x:c r="A187" s="6"/>
      <x:c r="B187" s="6"/>
      <x:c r="C187" s="6"/>
      <x:c r="D187" s="6"/>
      <x:c r="E187" s="7"/>
      <x:c r="F187" s="7"/>
      <x:c r="G187" s="6"/>
      <x:c r="H187" s="7"/>
      <x:c r="I187" s="6"/>
      <x:c r="J187" s="6"/>
      <x:c r="K187" s="6"/>
      <x:c r="L187" s="2" t="str">
        <x:f>IF(A187="","",IF(OR(E187="",F187=""),"Eksik tarih",IF(G187="Tamamlandı",IF(H187="","Eksik kapanış",MAX(0,H187-F187)),MAX(0,'Panel'!$N$5-F187))))</x:f>
      </x:c>
      <x:c r="M187" s="2" t="str">
        <x:f>IF(AND(A187&lt;&gt;"",B187='Panel'!$C$5,G187&lt;&gt;"Tamamlandı",E187&lt;='Panel'!$N$5),COUNTIFS($B$7:B187,B187,$A$7:A187,"&lt;&gt;",$G$7:G187,"&lt;&gt;Tamamlandı",$E$7:E187,"&lt;="&amp;'Panel'!$N$5),"")</x:f>
      </x:c>
      <x:c r="N187" s="2" t="str">
        <x:f>IF(AND(A187&lt;&gt;"",B187='Panel'!$C$5,G187="Tamamlandı",H187&gt;='Panel'!$N$5-WEEKDAY('Panel'!$N$5,2)+1,H187&lt;='Panel'!$N$5),COUNTIFS($B$7:B187,B187,$G$7:G187,"Tamamlandı",$H$7:H187,"&gt;="&amp;('Panel'!$N$5-WEEKDAY('Panel'!$N$5,2)+1),$H$7:H187,"&lt;="&amp;'Panel'!$N$5),"")</x:f>
      </x:c>
    </x:row>
    <x:row r="188" ht="22" customHeight="1">
      <x:c r="A188" s="6"/>
      <x:c r="B188" s="6"/>
      <x:c r="C188" s="6"/>
      <x:c r="D188" s="6"/>
      <x:c r="E188" s="7"/>
      <x:c r="F188" s="7"/>
      <x:c r="G188" s="6"/>
      <x:c r="H188" s="7"/>
      <x:c r="I188" s="6"/>
      <x:c r="J188" s="6"/>
      <x:c r="K188" s="6"/>
      <x:c r="L188" s="2" t="str">
        <x:f>IF(A188="","",IF(OR(E188="",F188=""),"Eksik tarih",IF(G188="Tamamlandı",IF(H188="","Eksik kapanış",MAX(0,H188-F188)),MAX(0,'Panel'!$N$5-F188))))</x:f>
      </x:c>
      <x:c r="M188" s="2" t="str">
        <x:f>IF(AND(A188&lt;&gt;"",B188='Panel'!$C$5,G188&lt;&gt;"Tamamlandı",E188&lt;='Panel'!$N$5),COUNTIFS($B$7:B188,B188,$A$7:A188,"&lt;&gt;",$G$7:G188,"&lt;&gt;Tamamlandı",$E$7:E188,"&lt;="&amp;'Panel'!$N$5),"")</x:f>
      </x:c>
      <x:c r="N188" s="2" t="str">
        <x:f>IF(AND(A188&lt;&gt;"",B188='Panel'!$C$5,G188="Tamamlandı",H188&gt;='Panel'!$N$5-WEEKDAY('Panel'!$N$5,2)+1,H188&lt;='Panel'!$N$5),COUNTIFS($B$7:B188,B188,$G$7:G188,"Tamamlandı",$H$7:H188,"&gt;="&amp;('Panel'!$N$5-WEEKDAY('Panel'!$N$5,2)+1),$H$7:H188,"&lt;="&amp;'Panel'!$N$5),"")</x:f>
      </x:c>
    </x:row>
    <x:row r="189" ht="22" customHeight="1">
      <x:c r="A189" s="6"/>
      <x:c r="B189" s="6"/>
      <x:c r="C189" s="6"/>
      <x:c r="D189" s="6"/>
      <x:c r="E189" s="7"/>
      <x:c r="F189" s="7"/>
      <x:c r="G189" s="6"/>
      <x:c r="H189" s="7"/>
      <x:c r="I189" s="6"/>
      <x:c r="J189" s="6"/>
      <x:c r="K189" s="6"/>
      <x:c r="L189" s="2" t="str">
        <x:f>IF(A189="","",IF(OR(E189="",F189=""),"Eksik tarih",IF(G189="Tamamlandı",IF(H189="","Eksik kapanış",MAX(0,H189-F189)),MAX(0,'Panel'!$N$5-F189))))</x:f>
      </x:c>
      <x:c r="M189" s="2" t="str">
        <x:f>IF(AND(A189&lt;&gt;"",B189='Panel'!$C$5,G189&lt;&gt;"Tamamlandı",E189&lt;='Panel'!$N$5),COUNTIFS($B$7:B189,B189,$A$7:A189,"&lt;&gt;",$G$7:G189,"&lt;&gt;Tamamlandı",$E$7:E189,"&lt;="&amp;'Panel'!$N$5),"")</x:f>
      </x:c>
      <x:c r="N189" s="2" t="str">
        <x:f>IF(AND(A189&lt;&gt;"",B189='Panel'!$C$5,G189="Tamamlandı",H189&gt;='Panel'!$N$5-WEEKDAY('Panel'!$N$5,2)+1,H189&lt;='Panel'!$N$5),COUNTIFS($B$7:B189,B189,$G$7:G189,"Tamamlandı",$H$7:H189,"&gt;="&amp;('Panel'!$N$5-WEEKDAY('Panel'!$N$5,2)+1),$H$7:H189,"&lt;="&amp;'Panel'!$N$5),"")</x:f>
      </x:c>
    </x:row>
    <x:row r="190" ht="22" customHeight="1">
      <x:c r="A190" s="6"/>
      <x:c r="B190" s="6"/>
      <x:c r="C190" s="6"/>
      <x:c r="D190" s="6"/>
      <x:c r="E190" s="7"/>
      <x:c r="F190" s="7"/>
      <x:c r="G190" s="6"/>
      <x:c r="H190" s="7"/>
      <x:c r="I190" s="6"/>
      <x:c r="J190" s="6"/>
      <x:c r="K190" s="6"/>
      <x:c r="L190" s="2" t="str">
        <x:f>IF(A190="","",IF(OR(E190="",F190=""),"Eksik tarih",IF(G190="Tamamlandı",IF(H190="","Eksik kapanış",MAX(0,H190-F190)),MAX(0,'Panel'!$N$5-F190))))</x:f>
      </x:c>
      <x:c r="M190" s="2" t="str">
        <x:f>IF(AND(A190&lt;&gt;"",B190='Panel'!$C$5,G190&lt;&gt;"Tamamlandı",E190&lt;='Panel'!$N$5),COUNTIFS($B$7:B190,B190,$A$7:A190,"&lt;&gt;",$G$7:G190,"&lt;&gt;Tamamlandı",$E$7:E190,"&lt;="&amp;'Panel'!$N$5),"")</x:f>
      </x:c>
      <x:c r="N190" s="2" t="str">
        <x:f>IF(AND(A190&lt;&gt;"",B190='Panel'!$C$5,G190="Tamamlandı",H190&gt;='Panel'!$N$5-WEEKDAY('Panel'!$N$5,2)+1,H190&lt;='Panel'!$N$5),COUNTIFS($B$7:B190,B190,$G$7:G190,"Tamamlandı",$H$7:H190,"&gt;="&amp;('Panel'!$N$5-WEEKDAY('Panel'!$N$5,2)+1),$H$7:H190,"&lt;="&amp;'Panel'!$N$5),"")</x:f>
      </x:c>
    </x:row>
    <x:row r="191" ht="22" customHeight="1">
      <x:c r="A191" s="6"/>
      <x:c r="B191" s="6"/>
      <x:c r="C191" s="6"/>
      <x:c r="D191" s="6"/>
      <x:c r="E191" s="7"/>
      <x:c r="F191" s="7"/>
      <x:c r="G191" s="6"/>
      <x:c r="H191" s="7"/>
      <x:c r="I191" s="6"/>
      <x:c r="J191" s="6"/>
      <x:c r="K191" s="6"/>
      <x:c r="L191" s="2" t="str">
        <x:f>IF(A191="","",IF(OR(E191="",F191=""),"Eksik tarih",IF(G191="Tamamlandı",IF(H191="","Eksik kapanış",MAX(0,H191-F191)),MAX(0,'Panel'!$N$5-F191))))</x:f>
      </x:c>
      <x:c r="M191" s="2" t="str">
        <x:f>IF(AND(A191&lt;&gt;"",B191='Panel'!$C$5,G191&lt;&gt;"Tamamlandı",E191&lt;='Panel'!$N$5),COUNTIFS($B$7:B191,B191,$A$7:A191,"&lt;&gt;",$G$7:G191,"&lt;&gt;Tamamlandı",$E$7:E191,"&lt;="&amp;'Panel'!$N$5),"")</x:f>
      </x:c>
      <x:c r="N191" s="2" t="str">
        <x:f>IF(AND(A191&lt;&gt;"",B191='Panel'!$C$5,G191="Tamamlandı",H191&gt;='Panel'!$N$5-WEEKDAY('Panel'!$N$5,2)+1,H191&lt;='Panel'!$N$5),COUNTIFS($B$7:B191,B191,$G$7:G191,"Tamamlandı",$H$7:H191,"&gt;="&amp;('Panel'!$N$5-WEEKDAY('Panel'!$N$5,2)+1),$H$7:H191,"&lt;="&amp;'Panel'!$N$5),"")</x:f>
      </x:c>
    </x:row>
    <x:row r="192" ht="22" customHeight="1">
      <x:c r="A192" s="6"/>
      <x:c r="B192" s="6"/>
      <x:c r="C192" s="6"/>
      <x:c r="D192" s="6"/>
      <x:c r="E192" s="7"/>
      <x:c r="F192" s="7"/>
      <x:c r="G192" s="6"/>
      <x:c r="H192" s="7"/>
      <x:c r="I192" s="6"/>
      <x:c r="J192" s="6"/>
      <x:c r="K192" s="6"/>
      <x:c r="L192" s="2" t="str">
        <x:f>IF(A192="","",IF(OR(E192="",F192=""),"Eksik tarih",IF(G192="Tamamlandı",IF(H192="","Eksik kapanış",MAX(0,H192-F192)),MAX(0,'Panel'!$N$5-F192))))</x:f>
      </x:c>
      <x:c r="M192" s="2" t="str">
        <x:f>IF(AND(A192&lt;&gt;"",B192='Panel'!$C$5,G192&lt;&gt;"Tamamlandı",E192&lt;='Panel'!$N$5),COUNTIFS($B$7:B192,B192,$A$7:A192,"&lt;&gt;",$G$7:G192,"&lt;&gt;Tamamlandı",$E$7:E192,"&lt;="&amp;'Panel'!$N$5),"")</x:f>
      </x:c>
      <x:c r="N192" s="2" t="str">
        <x:f>IF(AND(A192&lt;&gt;"",B192='Panel'!$C$5,G192="Tamamlandı",H192&gt;='Panel'!$N$5-WEEKDAY('Panel'!$N$5,2)+1,H192&lt;='Panel'!$N$5),COUNTIFS($B$7:B192,B192,$G$7:G192,"Tamamlandı",$H$7:H192,"&gt;="&amp;('Panel'!$N$5-WEEKDAY('Panel'!$N$5,2)+1),$H$7:H192,"&lt;="&amp;'Panel'!$N$5),"")</x:f>
      </x:c>
    </x:row>
    <x:row r="193" ht="22" customHeight="1">
      <x:c r="A193" s="6"/>
      <x:c r="B193" s="6"/>
      <x:c r="C193" s="6"/>
      <x:c r="D193" s="6"/>
      <x:c r="E193" s="7"/>
      <x:c r="F193" s="7"/>
      <x:c r="G193" s="6"/>
      <x:c r="H193" s="7"/>
      <x:c r="I193" s="6"/>
      <x:c r="J193" s="6"/>
      <x:c r="K193" s="6"/>
      <x:c r="L193" s="2" t="str">
        <x:f>IF(A193="","",IF(OR(E193="",F193=""),"Eksik tarih",IF(G193="Tamamlandı",IF(H193="","Eksik kapanış",MAX(0,H193-F193)),MAX(0,'Panel'!$N$5-F193))))</x:f>
      </x:c>
      <x:c r="M193" s="2" t="str">
        <x:f>IF(AND(A193&lt;&gt;"",B193='Panel'!$C$5,G193&lt;&gt;"Tamamlandı",E193&lt;='Panel'!$N$5),COUNTIFS($B$7:B193,B193,$A$7:A193,"&lt;&gt;",$G$7:G193,"&lt;&gt;Tamamlandı",$E$7:E193,"&lt;="&amp;'Panel'!$N$5),"")</x:f>
      </x:c>
      <x:c r="N193" s="2" t="str">
        <x:f>IF(AND(A193&lt;&gt;"",B193='Panel'!$C$5,G193="Tamamlandı",H193&gt;='Panel'!$N$5-WEEKDAY('Panel'!$N$5,2)+1,H193&lt;='Panel'!$N$5),COUNTIFS($B$7:B193,B193,$G$7:G193,"Tamamlandı",$H$7:H193,"&gt;="&amp;('Panel'!$N$5-WEEKDAY('Panel'!$N$5,2)+1),$H$7:H193,"&lt;="&amp;'Panel'!$N$5),"")</x:f>
      </x:c>
    </x:row>
    <x:row r="194" ht="22" customHeight="1">
      <x:c r="A194" s="6"/>
      <x:c r="B194" s="6"/>
      <x:c r="C194" s="6"/>
      <x:c r="D194" s="6"/>
      <x:c r="E194" s="7"/>
      <x:c r="F194" s="7"/>
      <x:c r="G194" s="6"/>
      <x:c r="H194" s="7"/>
      <x:c r="I194" s="6"/>
      <x:c r="J194" s="6"/>
      <x:c r="K194" s="6"/>
      <x:c r="L194" s="2" t="str">
        <x:f>IF(A194="","",IF(OR(E194="",F194=""),"Eksik tarih",IF(G194="Tamamlandı",IF(H194="","Eksik kapanış",MAX(0,H194-F194)),MAX(0,'Panel'!$N$5-F194))))</x:f>
      </x:c>
      <x:c r="M194" s="2" t="str">
        <x:f>IF(AND(A194&lt;&gt;"",B194='Panel'!$C$5,G194&lt;&gt;"Tamamlandı",E194&lt;='Panel'!$N$5),COUNTIFS($B$7:B194,B194,$A$7:A194,"&lt;&gt;",$G$7:G194,"&lt;&gt;Tamamlandı",$E$7:E194,"&lt;="&amp;'Panel'!$N$5),"")</x:f>
      </x:c>
      <x:c r="N194" s="2" t="str">
        <x:f>IF(AND(A194&lt;&gt;"",B194='Panel'!$C$5,G194="Tamamlandı",H194&gt;='Panel'!$N$5-WEEKDAY('Panel'!$N$5,2)+1,H194&lt;='Panel'!$N$5),COUNTIFS($B$7:B194,B194,$G$7:G194,"Tamamlandı",$H$7:H194,"&gt;="&amp;('Panel'!$N$5-WEEKDAY('Panel'!$N$5,2)+1),$H$7:H194,"&lt;="&amp;'Panel'!$N$5),"")</x:f>
      </x:c>
    </x:row>
    <x:row r="195" ht="22" customHeight="1">
      <x:c r="A195" s="6"/>
      <x:c r="B195" s="6"/>
      <x:c r="C195" s="6"/>
      <x:c r="D195" s="6"/>
      <x:c r="E195" s="7"/>
      <x:c r="F195" s="7"/>
      <x:c r="G195" s="6"/>
      <x:c r="H195" s="7"/>
      <x:c r="I195" s="6"/>
      <x:c r="J195" s="6"/>
      <x:c r="K195" s="6"/>
      <x:c r="L195" s="2" t="str">
        <x:f>IF(A195="","",IF(OR(E195="",F195=""),"Eksik tarih",IF(G195="Tamamlandı",IF(H195="","Eksik kapanış",MAX(0,H195-F195)),MAX(0,'Panel'!$N$5-F195))))</x:f>
      </x:c>
      <x:c r="M195" s="2" t="str">
        <x:f>IF(AND(A195&lt;&gt;"",B195='Panel'!$C$5,G195&lt;&gt;"Tamamlandı",E195&lt;='Panel'!$N$5),COUNTIFS($B$7:B195,B195,$A$7:A195,"&lt;&gt;",$G$7:G195,"&lt;&gt;Tamamlandı",$E$7:E195,"&lt;="&amp;'Panel'!$N$5),"")</x:f>
      </x:c>
      <x:c r="N195" s="2" t="str">
        <x:f>IF(AND(A195&lt;&gt;"",B195='Panel'!$C$5,G195="Tamamlandı",H195&gt;='Panel'!$N$5-WEEKDAY('Panel'!$N$5,2)+1,H195&lt;='Panel'!$N$5),COUNTIFS($B$7:B195,B195,$G$7:G195,"Tamamlandı",$H$7:H195,"&gt;="&amp;('Panel'!$N$5-WEEKDAY('Panel'!$N$5,2)+1),$H$7:H195,"&lt;="&amp;'Panel'!$N$5),"")</x:f>
      </x:c>
    </x:row>
    <x:row r="196" ht="22" customHeight="1">
      <x:c r="A196" s="6"/>
      <x:c r="B196" s="6"/>
      <x:c r="C196" s="6"/>
      <x:c r="D196" s="6"/>
      <x:c r="E196" s="7"/>
      <x:c r="F196" s="7"/>
      <x:c r="G196" s="6"/>
      <x:c r="H196" s="7"/>
      <x:c r="I196" s="6"/>
      <x:c r="J196" s="6"/>
      <x:c r="K196" s="6"/>
      <x:c r="L196" s="2" t="str">
        <x:f>IF(A196="","",IF(OR(E196="",F196=""),"Eksik tarih",IF(G196="Tamamlandı",IF(H196="","Eksik kapanış",MAX(0,H196-F196)),MAX(0,'Panel'!$N$5-F196))))</x:f>
      </x:c>
      <x:c r="M196" s="2" t="str">
        <x:f>IF(AND(A196&lt;&gt;"",B196='Panel'!$C$5,G196&lt;&gt;"Tamamlandı",E196&lt;='Panel'!$N$5),COUNTIFS($B$7:B196,B196,$A$7:A196,"&lt;&gt;",$G$7:G196,"&lt;&gt;Tamamlandı",$E$7:E196,"&lt;="&amp;'Panel'!$N$5),"")</x:f>
      </x:c>
      <x:c r="N196" s="2" t="str">
        <x:f>IF(AND(A196&lt;&gt;"",B196='Panel'!$C$5,G196="Tamamlandı",H196&gt;='Panel'!$N$5-WEEKDAY('Panel'!$N$5,2)+1,H196&lt;='Panel'!$N$5),COUNTIFS($B$7:B196,B196,$G$7:G196,"Tamamlandı",$H$7:H196,"&gt;="&amp;('Panel'!$N$5-WEEKDAY('Panel'!$N$5,2)+1),$H$7:H196,"&lt;="&amp;'Panel'!$N$5),"")</x:f>
      </x:c>
    </x:row>
    <x:row r="197" ht="22" customHeight="1">
      <x:c r="A197" s="6"/>
      <x:c r="B197" s="6"/>
      <x:c r="C197" s="6"/>
      <x:c r="D197" s="6"/>
      <x:c r="E197" s="7"/>
      <x:c r="F197" s="7"/>
      <x:c r="G197" s="6"/>
      <x:c r="H197" s="7"/>
      <x:c r="I197" s="6"/>
      <x:c r="J197" s="6"/>
      <x:c r="K197" s="6"/>
      <x:c r="L197" s="2" t="str">
        <x:f>IF(A197="","",IF(OR(E197="",F197=""),"Eksik tarih",IF(G197="Tamamlandı",IF(H197="","Eksik kapanış",MAX(0,H197-F197)),MAX(0,'Panel'!$N$5-F197))))</x:f>
      </x:c>
      <x:c r="M197" s="2" t="str">
        <x:f>IF(AND(A197&lt;&gt;"",B197='Panel'!$C$5,G197&lt;&gt;"Tamamlandı",E197&lt;='Panel'!$N$5),COUNTIFS($B$7:B197,B197,$A$7:A197,"&lt;&gt;",$G$7:G197,"&lt;&gt;Tamamlandı",$E$7:E197,"&lt;="&amp;'Panel'!$N$5),"")</x:f>
      </x:c>
      <x:c r="N197" s="2" t="str">
        <x:f>IF(AND(A197&lt;&gt;"",B197='Panel'!$C$5,G197="Tamamlandı",H197&gt;='Panel'!$N$5-WEEKDAY('Panel'!$N$5,2)+1,H197&lt;='Panel'!$N$5),COUNTIFS($B$7:B197,B197,$G$7:G197,"Tamamlandı",$H$7:H197,"&gt;="&amp;('Panel'!$N$5-WEEKDAY('Panel'!$N$5,2)+1),$H$7:H197,"&lt;="&amp;'Panel'!$N$5),"")</x:f>
      </x:c>
    </x:row>
    <x:row r="198" ht="22" customHeight="1">
      <x:c r="A198" s="6"/>
      <x:c r="B198" s="6"/>
      <x:c r="C198" s="6"/>
      <x:c r="D198" s="6"/>
      <x:c r="E198" s="7"/>
      <x:c r="F198" s="7"/>
      <x:c r="G198" s="6"/>
      <x:c r="H198" s="7"/>
      <x:c r="I198" s="6"/>
      <x:c r="J198" s="6"/>
      <x:c r="K198" s="6"/>
      <x:c r="L198" s="2" t="str">
        <x:f>IF(A198="","",IF(OR(E198="",F198=""),"Eksik tarih",IF(G198="Tamamlandı",IF(H198="","Eksik kapanış",MAX(0,H198-F198)),MAX(0,'Panel'!$N$5-F198))))</x:f>
      </x:c>
      <x:c r="M198" s="2" t="str">
        <x:f>IF(AND(A198&lt;&gt;"",B198='Panel'!$C$5,G198&lt;&gt;"Tamamlandı",E198&lt;='Panel'!$N$5),COUNTIFS($B$7:B198,B198,$A$7:A198,"&lt;&gt;",$G$7:G198,"&lt;&gt;Tamamlandı",$E$7:E198,"&lt;="&amp;'Panel'!$N$5),"")</x:f>
      </x:c>
      <x:c r="N198" s="2" t="str">
        <x:f>IF(AND(A198&lt;&gt;"",B198='Panel'!$C$5,G198="Tamamlandı",H198&gt;='Panel'!$N$5-WEEKDAY('Panel'!$N$5,2)+1,H198&lt;='Panel'!$N$5),COUNTIFS($B$7:B198,B198,$G$7:G198,"Tamamlandı",$H$7:H198,"&gt;="&amp;('Panel'!$N$5-WEEKDAY('Panel'!$N$5,2)+1),$H$7:H198,"&lt;="&amp;'Panel'!$N$5),"")</x:f>
      </x:c>
    </x:row>
    <x:row r="199" ht="22" customHeight="1">
      <x:c r="A199" s="6"/>
      <x:c r="B199" s="6"/>
      <x:c r="C199" s="6"/>
      <x:c r="D199" s="6"/>
      <x:c r="E199" s="7"/>
      <x:c r="F199" s="7"/>
      <x:c r="G199" s="6"/>
      <x:c r="H199" s="7"/>
      <x:c r="I199" s="6"/>
      <x:c r="J199" s="6"/>
      <x:c r="K199" s="6"/>
      <x:c r="L199" s="2" t="str">
        <x:f>IF(A199="","",IF(OR(E199="",F199=""),"Eksik tarih",IF(G199="Tamamlandı",IF(H199="","Eksik kapanış",MAX(0,H199-F199)),MAX(0,'Panel'!$N$5-F199))))</x:f>
      </x:c>
      <x:c r="M199" s="2" t="str">
        <x:f>IF(AND(A199&lt;&gt;"",B199='Panel'!$C$5,G199&lt;&gt;"Tamamlandı",E199&lt;='Panel'!$N$5),COUNTIFS($B$7:B199,B199,$A$7:A199,"&lt;&gt;",$G$7:G199,"&lt;&gt;Tamamlandı",$E$7:E199,"&lt;="&amp;'Panel'!$N$5),"")</x:f>
      </x:c>
      <x:c r="N199" s="2" t="str">
        <x:f>IF(AND(A199&lt;&gt;"",B199='Panel'!$C$5,G199="Tamamlandı",H199&gt;='Panel'!$N$5-WEEKDAY('Panel'!$N$5,2)+1,H199&lt;='Panel'!$N$5),COUNTIFS($B$7:B199,B199,$G$7:G199,"Tamamlandı",$H$7:H199,"&gt;="&amp;('Panel'!$N$5-WEEKDAY('Panel'!$N$5,2)+1),$H$7:H199,"&lt;="&amp;'Panel'!$N$5),"")</x:f>
      </x:c>
    </x:row>
    <x:row r="200" ht="22" customHeight="1">
      <x:c r="A200" s="6"/>
      <x:c r="B200" s="6"/>
      <x:c r="C200" s="6"/>
      <x:c r="D200" s="6"/>
      <x:c r="E200" s="7"/>
      <x:c r="F200" s="7"/>
      <x:c r="G200" s="6"/>
      <x:c r="H200" s="7"/>
      <x:c r="I200" s="6"/>
      <x:c r="J200" s="6"/>
      <x:c r="K200" s="6"/>
      <x:c r="L200" s="2" t="str">
        <x:f>IF(A200="","",IF(OR(E200="",F200=""),"Eksik tarih",IF(G200="Tamamlandı",IF(H200="","Eksik kapanış",MAX(0,H200-F200)),MAX(0,'Panel'!$N$5-F200))))</x:f>
      </x:c>
      <x:c r="M200" s="2" t="str">
        <x:f>IF(AND(A200&lt;&gt;"",B200='Panel'!$C$5,G200&lt;&gt;"Tamamlandı",E200&lt;='Panel'!$N$5),COUNTIFS($B$7:B200,B200,$A$7:A200,"&lt;&gt;",$G$7:G200,"&lt;&gt;Tamamlandı",$E$7:E200,"&lt;="&amp;'Panel'!$N$5),"")</x:f>
      </x:c>
      <x:c r="N200" s="2" t="str">
        <x:f>IF(AND(A200&lt;&gt;"",B200='Panel'!$C$5,G200="Tamamlandı",H200&gt;='Panel'!$N$5-WEEKDAY('Panel'!$N$5,2)+1,H200&lt;='Panel'!$N$5),COUNTIFS($B$7:B200,B200,$G$7:G200,"Tamamlandı",$H$7:H200,"&gt;="&amp;('Panel'!$N$5-WEEKDAY('Panel'!$N$5,2)+1),$H$7:H200,"&lt;="&amp;'Panel'!$N$5),"")</x:f>
      </x:c>
    </x:row>
    <x:row r="201" ht="22" customHeight="1">
      <x:c r="A201" s="6"/>
      <x:c r="B201" s="6"/>
      <x:c r="C201" s="6"/>
      <x:c r="D201" s="6"/>
      <x:c r="E201" s="7"/>
      <x:c r="F201" s="7"/>
      <x:c r="G201" s="6"/>
      <x:c r="H201" s="7"/>
      <x:c r="I201" s="6"/>
      <x:c r="J201" s="6"/>
      <x:c r="K201" s="6"/>
      <x:c r="L201" s="2" t="str">
        <x:f>IF(A201="","",IF(OR(E201="",F201=""),"Eksik tarih",IF(G201="Tamamlandı",IF(H201="","Eksik kapanış",MAX(0,H201-F201)),MAX(0,'Panel'!$N$5-F201))))</x:f>
      </x:c>
      <x:c r="M201" s="2" t="str">
        <x:f>IF(AND(A201&lt;&gt;"",B201='Panel'!$C$5,G201&lt;&gt;"Tamamlandı",E201&lt;='Panel'!$N$5),COUNTIFS($B$7:B201,B201,$A$7:A201,"&lt;&gt;",$G$7:G201,"&lt;&gt;Tamamlandı",$E$7:E201,"&lt;="&amp;'Panel'!$N$5),"")</x:f>
      </x:c>
      <x:c r="N201" s="2" t="str">
        <x:f>IF(AND(A201&lt;&gt;"",B201='Panel'!$C$5,G201="Tamamlandı",H201&gt;='Panel'!$N$5-WEEKDAY('Panel'!$N$5,2)+1,H201&lt;='Panel'!$N$5),COUNTIFS($B$7:B201,B201,$G$7:G201,"Tamamlandı",$H$7:H201,"&gt;="&amp;('Panel'!$N$5-WEEKDAY('Panel'!$N$5,2)+1),$H$7:H201,"&lt;="&amp;'Panel'!$N$5),"")</x:f>
      </x:c>
    </x:row>
    <x:row r="202" ht="22" customHeight="1">
      <x:c r="A202" s="6"/>
      <x:c r="B202" s="6"/>
      <x:c r="C202" s="6"/>
      <x:c r="D202" s="6"/>
      <x:c r="E202" s="7"/>
      <x:c r="F202" s="7"/>
      <x:c r="G202" s="6"/>
      <x:c r="H202" s="7"/>
      <x:c r="I202" s="6"/>
      <x:c r="J202" s="6"/>
      <x:c r="K202" s="6"/>
      <x:c r="L202" s="2" t="str">
        <x:f>IF(A202="","",IF(OR(E202="",F202=""),"Eksik tarih",IF(G202="Tamamlandı",IF(H202="","Eksik kapanış",MAX(0,H202-F202)),MAX(0,'Panel'!$N$5-F202))))</x:f>
      </x:c>
      <x:c r="M202" s="2" t="str">
        <x:f>IF(AND(A202&lt;&gt;"",B202='Panel'!$C$5,G202&lt;&gt;"Tamamlandı",E202&lt;='Panel'!$N$5),COUNTIFS($B$7:B202,B202,$A$7:A202,"&lt;&gt;",$G$7:G202,"&lt;&gt;Tamamlandı",$E$7:E202,"&lt;="&amp;'Panel'!$N$5),"")</x:f>
      </x:c>
      <x:c r="N202" s="2" t="str">
        <x:f>IF(AND(A202&lt;&gt;"",B202='Panel'!$C$5,G202="Tamamlandı",H202&gt;='Panel'!$N$5-WEEKDAY('Panel'!$N$5,2)+1,H202&lt;='Panel'!$N$5),COUNTIFS($B$7:B202,B202,$G$7:G202,"Tamamlandı",$H$7:H202,"&gt;="&amp;('Panel'!$N$5-WEEKDAY('Panel'!$N$5,2)+1),$H$7:H202,"&lt;="&amp;'Panel'!$N$5),"")</x:f>
      </x:c>
    </x:row>
    <x:row r="203" ht="22" customHeight="1">
      <x:c r="A203" s="6"/>
      <x:c r="B203" s="6"/>
      <x:c r="C203" s="6"/>
      <x:c r="D203" s="6"/>
      <x:c r="E203" s="7"/>
      <x:c r="F203" s="7"/>
      <x:c r="G203" s="6"/>
      <x:c r="H203" s="7"/>
      <x:c r="I203" s="6"/>
      <x:c r="J203" s="6"/>
      <x:c r="K203" s="6"/>
      <x:c r="L203" s="2" t="str">
        <x:f>IF(A203="","",IF(OR(E203="",F203=""),"Eksik tarih",IF(G203="Tamamlandı",IF(H203="","Eksik kapanış",MAX(0,H203-F203)),MAX(0,'Panel'!$N$5-F203))))</x:f>
      </x:c>
      <x:c r="M203" s="2" t="str">
        <x:f>IF(AND(A203&lt;&gt;"",B203='Panel'!$C$5,G203&lt;&gt;"Tamamlandı",E203&lt;='Panel'!$N$5),COUNTIFS($B$7:B203,B203,$A$7:A203,"&lt;&gt;",$G$7:G203,"&lt;&gt;Tamamlandı",$E$7:E203,"&lt;="&amp;'Panel'!$N$5),"")</x:f>
      </x:c>
      <x:c r="N203" s="2" t="str">
        <x:f>IF(AND(A203&lt;&gt;"",B203='Panel'!$C$5,G203="Tamamlandı",H203&gt;='Panel'!$N$5-WEEKDAY('Panel'!$N$5,2)+1,H203&lt;='Panel'!$N$5),COUNTIFS($B$7:B203,B203,$G$7:G203,"Tamamlandı",$H$7:H203,"&gt;="&amp;('Panel'!$N$5-WEEKDAY('Panel'!$N$5,2)+1),$H$7:H203,"&lt;="&amp;'Panel'!$N$5),"")</x:f>
      </x:c>
    </x:row>
    <x:row r="204" ht="22" customHeight="1">
      <x:c r="A204" s="6"/>
      <x:c r="B204" s="6"/>
      <x:c r="C204" s="6"/>
      <x:c r="D204" s="6"/>
      <x:c r="E204" s="7"/>
      <x:c r="F204" s="7"/>
      <x:c r="G204" s="6"/>
      <x:c r="H204" s="7"/>
      <x:c r="I204" s="6"/>
      <x:c r="J204" s="6"/>
      <x:c r="K204" s="6"/>
      <x:c r="L204" s="2" t="str">
        <x:f>IF(A204="","",IF(OR(E204="",F204=""),"Eksik tarih",IF(G204="Tamamlandı",IF(H204="","Eksik kapanış",MAX(0,H204-F204)),MAX(0,'Panel'!$N$5-F204))))</x:f>
      </x:c>
      <x:c r="M204" s="2" t="str">
        <x:f>IF(AND(A204&lt;&gt;"",B204='Panel'!$C$5,G204&lt;&gt;"Tamamlandı",E204&lt;='Panel'!$N$5),COUNTIFS($B$7:B204,B204,$A$7:A204,"&lt;&gt;",$G$7:G204,"&lt;&gt;Tamamlandı",$E$7:E204,"&lt;="&amp;'Panel'!$N$5),"")</x:f>
      </x:c>
      <x:c r="N204" s="2" t="str">
        <x:f>IF(AND(A204&lt;&gt;"",B204='Panel'!$C$5,G204="Tamamlandı",H204&gt;='Panel'!$N$5-WEEKDAY('Panel'!$N$5,2)+1,H204&lt;='Panel'!$N$5),COUNTIFS($B$7:B204,B204,$G$7:G204,"Tamamlandı",$H$7:H204,"&gt;="&amp;('Panel'!$N$5-WEEKDAY('Panel'!$N$5,2)+1),$H$7:H204,"&lt;="&amp;'Panel'!$N$5),"")</x:f>
      </x:c>
    </x:row>
    <x:row r="205" ht="22" customHeight="1">
      <x:c r="A205" s="6"/>
      <x:c r="B205" s="6"/>
      <x:c r="C205" s="6"/>
      <x:c r="D205" s="6"/>
      <x:c r="E205" s="7"/>
      <x:c r="F205" s="7"/>
      <x:c r="G205" s="6"/>
      <x:c r="H205" s="7"/>
      <x:c r="I205" s="6"/>
      <x:c r="J205" s="6"/>
      <x:c r="K205" s="6"/>
      <x:c r="L205" s="2" t="str">
        <x:f>IF(A205="","",IF(OR(E205="",F205=""),"Eksik tarih",IF(G205="Tamamlandı",IF(H205="","Eksik kapanış",MAX(0,H205-F205)),MAX(0,'Panel'!$N$5-F205))))</x:f>
      </x:c>
      <x:c r="M205" s="2" t="str">
        <x:f>IF(AND(A205&lt;&gt;"",B205='Panel'!$C$5,G205&lt;&gt;"Tamamlandı",E205&lt;='Panel'!$N$5),COUNTIFS($B$7:B205,B205,$A$7:A205,"&lt;&gt;",$G$7:G205,"&lt;&gt;Tamamlandı",$E$7:E205,"&lt;="&amp;'Panel'!$N$5),"")</x:f>
      </x:c>
      <x:c r="N205" s="2" t="str">
        <x:f>IF(AND(A205&lt;&gt;"",B205='Panel'!$C$5,G205="Tamamlandı",H205&gt;='Panel'!$N$5-WEEKDAY('Panel'!$N$5,2)+1,H205&lt;='Panel'!$N$5),COUNTIFS($B$7:B205,B205,$G$7:G205,"Tamamlandı",$H$7:H205,"&gt;="&amp;('Panel'!$N$5-WEEKDAY('Panel'!$N$5,2)+1),$H$7:H205,"&lt;="&amp;'Panel'!$N$5),"")</x:f>
      </x:c>
    </x:row>
    <x:row r="206" ht="22" customHeight="1">
      <x:c r="A206" s="6"/>
      <x:c r="B206" s="6"/>
      <x:c r="C206" s="6"/>
      <x:c r="D206" s="6"/>
      <x:c r="E206" s="7"/>
      <x:c r="F206" s="7"/>
      <x:c r="G206" s="6"/>
      <x:c r="H206" s="7"/>
      <x:c r="I206" s="6"/>
      <x:c r="J206" s="6"/>
      <x:c r="K206" s="6"/>
      <x:c r="L206" s="2" t="str">
        <x:f>IF(A206="","",IF(OR(E206="",F206=""),"Eksik tarih",IF(G206="Tamamlandı",IF(H206="","Eksik kapanış",MAX(0,H206-F206)),MAX(0,'Panel'!$N$5-F206))))</x:f>
      </x:c>
      <x:c r="M206" s="2" t="str">
        <x:f>IF(AND(A206&lt;&gt;"",B206='Panel'!$C$5,G206&lt;&gt;"Tamamlandı",E206&lt;='Panel'!$N$5),COUNTIFS($B$7:B206,B206,$A$7:A206,"&lt;&gt;",$G$7:G206,"&lt;&gt;Tamamlandı",$E$7:E206,"&lt;="&amp;'Panel'!$N$5),"")</x:f>
      </x:c>
      <x:c r="N206" s="2" t="str">
        <x:f>IF(AND(A206&lt;&gt;"",B206='Panel'!$C$5,G206="Tamamlandı",H206&gt;='Panel'!$N$5-WEEKDAY('Panel'!$N$5,2)+1,H206&lt;='Panel'!$N$5),COUNTIFS($B$7:B206,B206,$G$7:G206,"Tamamlandı",$H$7:H206,"&gt;="&amp;('Panel'!$N$5-WEEKDAY('Panel'!$N$5,2)+1),$H$7:H206,"&lt;="&amp;'Panel'!$N$5),"")</x:f>
      </x:c>
    </x:row>
  </x:sheetData>
  <x:conditionalFormatting sqref="L7:L206">
    <x:cfRule type="cellIs" dxfId="7" priority="1" operator="greaterThan">
      <x:formula>0</x:formula>
    </x:cfRule>
  </x:conditionalFormatting>
  <x:conditionalFormatting sqref="H7:H206">
    <x:cfRule type="expression" dxfId="8" priority="2">
      <x:formula>AND(A7&lt;&gt;"",G7="Tamamlandı",H7="")</x:formula>
    </x:cfRule>
  </x:conditionalFormatting>
  <x:dataValidations count="4">
    <x:dataValidation type="list" sqref="G7:G206">
      <x:formula1>"Bekliyor,Devam ediyor,Bloke,Tamamlandı"</x:formula1>
    </x:dataValidation>
    <x:dataValidation type="list" sqref="I7:I206">
      <x:formula1>"Düşük,Orta,Yüksek"</x:formula1>
    </x:dataValidation>
    <x:dataValidation type="list" sqref="J7:J206">
      <x:formula1>"Aksiyon,Karar,Konu"</x:formula1>
    </x:dataValidation>
    <x:dataValidation type="list" sqref="B7:B206">
      <x:formula1>'Projeler'!$A$7:$A$26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44b8ad27664a9d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24" hidden="0" customWidth="1"/>
    <x:col min="8" max="8" width="58" hidden="0" customWidth="1"/>
    <x:col min="9" max="9" width="58" hidden="0" customWidth="1"/>
    <x:col min="10" max="10" width="58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2" customHeight="1">
      <x:c r="A2" s="3" t="str">
        <x:v>Haftalık toplantı arşivi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2" customHeight="1">
      <x:c r="A4" s="8" t="str">
        <x:v>Sarı alanlar veri girişi. Örnek veriler kurgusaldır. TL tutarları KDV hariçtir.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34" customHeight="1">
      <x:c r="A6" s="12" t="str">
        <x:v>Proje ID</x:v>
      </x:c>
      <x:c r="B6" s="12" t="str">
        <x:v>Rapor tarihi</x:v>
      </x:c>
      <x:c r="C6" s="12" t="str">
        <x:v>Tamamlanma %</x:v>
      </x:c>
      <x:c r="D6" s="12" t="str">
        <x:v>Planlanan %</x:v>
      </x:c>
      <x:c r="E6" s="12" t="str">
        <x:v>Gerçek maliyet (TL)</x:v>
      </x:c>
      <x:c r="F6" s="12" t="str">
        <x:v>Tahmini toplam (TL)</x:v>
      </x:c>
      <x:c r="G6" s="12" t="str">
        <x:v>Yüksek / kritik risk</x:v>
      </x:c>
      <x:c r="H6" s="12" t="str">
        <x:v>Bu hafta yapılanlar</x:v>
      </x:c>
      <x:c r="I6" s="12" t="str">
        <x:v>Gelecek hafta yapılacaklar</x:v>
      </x:c>
      <x:c r="J6" s="12" t="str">
        <x:v>Kritik konu / karar ihtiyacı</x:v>
      </x:c>
      <x:c r="K6" s="12" t="str">
        <x:v>Proje yöneticisi</x:v>
      </x:c>
      <x:c r="L6" s="12" t="str">
        <x:v>Hafta başlangıcı</x:v>
      </x:c>
      <x:c r="M6" s="12" t="str">
        <x:v>Proje / hafta anahtarı</x:v>
      </x:c>
      <x:c r="N6" s="12" t="str">
        <x:v>Seçili rapor tarihi</x:v>
      </x:c>
    </x:row>
    <x:row r="7" ht="22" customHeight="1">
      <x:c r="A7" s="6" t="str">
        <x:v>PRJ-001</x:v>
      </x:c>
      <x:c r="B7" s="7" t="n">
        <x:v>46275</x:v>
      </x:c>
      <x:c r="C7" s="15" t="n">
        <x:v>0.08</x:v>
      </x:c>
      <x:c r="D7" s="15" t="n">
        <x:v>0.14</x:v>
      </x:c>
      <x:c r="E7" s="13" t="n">
        <x:v>125000</x:v>
      </x:c>
      <x:c r="F7" s="13" t="n">
        <x:v>2250000</x:v>
      </x:c>
      <x:c r="G7" s="6" t="n">
        <x:v>2</x:v>
      </x:c>
      <x:c r="H7" s="6" t="str">
        <x:v>Tasarım onaylandı. Sensör paketi teslim alındı.</x:v>
      </x:c>
      <x:c r="I7" s="6" t="str">
        <x:v>Motor terminini netleştir. Saha hazırlığını ilerlet.</x:v>
      </x:c>
      <x:c r="J7" s="6" t="str">
        <x:v>Motor gecikmesi için alternatif tedarikçi kararı.</x:v>
      </x:c>
      <x:c r="K7" s="6" t="str">
        <x:v>Ayşe Yılmaz</x:v>
      </x:c>
      <x:c r="L7" s="5" t="n">
        <x:f>IF(A7="","",IF(B7="","Eksik tarih",B7-WEEKDAY(B7,2)+1))</x:f>
        <x:v>46272</x:v>
      </x:c>
      <x:c r="M7" s="2" t="str">
        <x:f>IF(A7="","",A7&amp;L7)</x:f>
        <x:v>PRJ-00146272</x:v>
      </x:c>
      <x:c r="N7" s="2" t="n">
        <x:f>IF(AND(A7='Panel'!$C$5,B7&lt;='Panel'!$N$5),B7,0)</x:f>
        <x:v>46275</x:v>
      </x:c>
    </x:row>
    <x:row r="8" ht="22" customHeight="1">
      <x:c r="A8" s="6" t="str">
        <x:v>PRJ-001</x:v>
      </x:c>
      <x:c r="B8" s="7" t="n">
        <x:v>46282</x:v>
      </x:c>
      <x:c r="C8" s="15" t="n">
        <x:v>0.18</x:v>
      </x:c>
      <x:c r="D8" s="15" t="n">
        <x:v>0.24</x:v>
      </x:c>
      <x:c r="E8" s="13" t="n">
        <x:v>250000</x:v>
      </x:c>
      <x:c r="F8" s="13" t="n">
        <x:v>2250000</x:v>
      </x:c>
      <x:c r="G8" s="6" t="n">
        <x:v>2</x:v>
      </x:c>
      <x:c r="H8" s="6" t="str">
        <x:v>Tasarım onaylandı. Sensör paketi teslim alındı.</x:v>
      </x:c>
      <x:c r="I8" s="6" t="str">
        <x:v>Motor terminini netleştir. Saha hazırlığını ilerlet.</x:v>
      </x:c>
      <x:c r="J8" s="6" t="str">
        <x:v>Motor gecikmesi için alternatif tedarikçi kararı.</x:v>
      </x:c>
      <x:c r="K8" s="6" t="str">
        <x:v>Ayşe Yılmaz</x:v>
      </x:c>
      <x:c r="L8" s="5" t="n">
        <x:f>IF(A8="","",IF(B8="","Eksik tarih",B8-WEEKDAY(B8,2)+1))</x:f>
        <x:v>46279</x:v>
      </x:c>
      <x:c r="M8" s="2" t="str">
        <x:f>IF(A8="","",A8&amp;L8)</x:f>
        <x:v>PRJ-00146279</x:v>
      </x:c>
      <x:c r="N8" s="2" t="n">
        <x:f>IF(AND(A8='Panel'!$C$5,B8&lt;='Panel'!$N$5),B8,0)</x:f>
        <x:v>46282</x:v>
      </x:c>
    </x:row>
    <x:row r="9" ht="22" customHeight="1">
      <x:c r="A9" s="6" t="str">
        <x:v>PRJ-001</x:v>
      </x:c>
      <x:c r="B9" s="7" t="n">
        <x:v>46289</x:v>
      </x:c>
      <x:c r="C9" s="15" t="n">
        <x:v>0.28</x:v>
      </x:c>
      <x:c r="D9" s="15" t="n">
        <x:v>0.34</x:v>
      </x:c>
      <x:c r="E9" s="13" t="n">
        <x:v>375000</x:v>
      </x:c>
      <x:c r="F9" s="13" t="n">
        <x:v>2250000</x:v>
      </x:c>
      <x:c r="G9" s="6" t="n">
        <x:v>2</x:v>
      </x:c>
      <x:c r="H9" s="6" t="str">
        <x:v>Tasarım onaylandı. Sensör paketi teslim alındı.</x:v>
      </x:c>
      <x:c r="I9" s="6" t="str">
        <x:v>Motor terminini netleştir. Saha hazırlığını ilerlet.</x:v>
      </x:c>
      <x:c r="J9" s="6" t="str">
        <x:v>Motor gecikmesi için alternatif tedarikçi kararı.</x:v>
      </x:c>
      <x:c r="K9" s="6" t="str">
        <x:v>Ayşe Yılmaz</x:v>
      </x:c>
      <x:c r="L9" s="5" t="n">
        <x:f>IF(A9="","",IF(B9="","Eksik tarih",B9-WEEKDAY(B9,2)+1))</x:f>
        <x:v>46286</x:v>
      </x:c>
      <x:c r="M9" s="2" t="str">
        <x:f>IF(A9="","",A9&amp;L9)</x:f>
        <x:v>PRJ-00146286</x:v>
      </x:c>
      <x:c r="N9" s="2" t="n">
        <x:f>IF(AND(A9='Panel'!$C$5,B9&lt;='Panel'!$N$5),B9,0)</x:f>
        <x:v>46289</x:v>
      </x:c>
    </x:row>
    <x:row r="10" ht="22" customHeight="1">
      <x:c r="A10" s="6" t="str">
        <x:v>PRJ-001</x:v>
      </x:c>
      <x:c r="B10" s="7" t="n">
        <x:v>46296</x:v>
      </x:c>
      <x:c r="C10" s="15" t="n">
        <x:v>0.37</x:v>
      </x:c>
      <x:c r="D10" s="15" t="n">
        <x:v>0.43</x:v>
      </x:c>
      <x:c r="E10" s="13" t="n">
        <x:v>500000</x:v>
      </x:c>
      <x:c r="F10" s="13" t="n">
        <x:v>2250000</x:v>
      </x:c>
      <x:c r="G10" s="6" t="n">
        <x:v>2</x:v>
      </x:c>
      <x:c r="H10" s="6" t="str">
        <x:v>Tasarım onaylandı. Sensör paketi teslim alındı.</x:v>
      </x:c>
      <x:c r="I10" s="6" t="str">
        <x:v>Motor terminini netleştir. Saha hazırlığını ilerlet.</x:v>
      </x:c>
      <x:c r="J10" s="6" t="str">
        <x:v>Motor gecikmesi için alternatif tedarikçi kararı.</x:v>
      </x:c>
      <x:c r="K10" s="6" t="str">
        <x:v>Ayşe Yılmaz</x:v>
      </x:c>
      <x:c r="L10" s="5" t="n">
        <x:f>IF(A10="","",IF(B10="","Eksik tarih",B10-WEEKDAY(B10,2)+1))</x:f>
        <x:v>46293</x:v>
      </x:c>
      <x:c r="M10" s="2" t="str">
        <x:f>IF(A10="","",A10&amp;L10)</x:f>
        <x:v>PRJ-00146293</x:v>
      </x:c>
      <x:c r="N10" s="2" t="n">
        <x:f>IF(AND(A10='Panel'!$C$5,B10&lt;='Panel'!$N$5),B10,0)</x:f>
        <x:v>46296</x:v>
      </x:c>
    </x:row>
    <x:row r="11" ht="22" customHeight="1">
      <x:c r="A11" s="6" t="str">
        <x:v>PRJ-001</x:v>
      </x:c>
      <x:c r="B11" s="7" t="n">
        <x:v>46303</x:v>
      </x:c>
      <x:c r="C11" s="15" t="n">
        <x:v>0.43</x:v>
      </x:c>
      <x:c r="D11" s="15" t="n">
        <x:v>0.49</x:v>
      </x:c>
      <x:c r="E11" s="13" t="n">
        <x:v>625000</x:v>
      </x:c>
      <x:c r="F11" s="13" t="n">
        <x:v>2250000</x:v>
      </x:c>
      <x:c r="G11" s="6" t="n">
        <x:v>2</x:v>
      </x:c>
      <x:c r="H11" s="6" t="str">
        <x:v>Tasarım onaylandı. Sensör paketi teslim alındı.</x:v>
      </x:c>
      <x:c r="I11" s="6" t="str">
        <x:v>Motor terminini netleştir. Saha hazırlığını ilerlet.</x:v>
      </x:c>
      <x:c r="J11" s="6" t="str">
        <x:v>Motor gecikmesi için alternatif tedarikçi kararı.</x:v>
      </x:c>
      <x:c r="K11" s="6" t="str">
        <x:v>Ayşe Yılmaz</x:v>
      </x:c>
      <x:c r="L11" s="5" t="n">
        <x:f>IF(A11="","",IF(B11="","Eksik tarih",B11-WEEKDAY(B11,2)+1))</x:f>
        <x:v>46300</x:v>
      </x:c>
      <x:c r="M11" s="2" t="str">
        <x:f>IF(A11="","",A11&amp;L11)</x:f>
        <x:v>PRJ-00146300</x:v>
      </x:c>
      <x:c r="N11" s="2" t="n">
        <x:f>IF(AND(A11='Panel'!$C$5,B11&lt;='Panel'!$N$5),B11,0)</x:f>
        <x:v>46303</x:v>
      </x:c>
    </x:row>
    <x:row r="12" ht="22" customHeight="1">
      <x:c r="A12" s="6" t="str">
        <x:v>PRJ-002</x:v>
      </x:c>
      <x:c r="B12" s="7" t="n">
        <x:v>46275</x:v>
      </x:c>
      <x:c r="C12" s="15" t="n">
        <x:v>0.084</x:v>
      </x:c>
      <x:c r="D12" s="15" t="n">
        <x:v>0.059000000000000004</x:v>
      </x:c>
      <x:c r="E12" s="13" t="n">
        <x:v>62000</x:v>
      </x:c>
      <x:c r="F12" s="13" t="n">
        <x:v>910000</x:v>
      </x:c>
      <x:c r="G12" s="6" t="n">
        <x:v>0</x:v>
      </x:c>
      <x:c r="H12" s="6" t="str">
        <x:v>Ekran tasarımları onaylandı. Geliştirme sürüyor.</x:v>
      </x:c>
      <x:c r="I12" s="6" t="str">
        <x:v>Entegrasyon ortamını aç. Geliştirmeye devam et.</x:v>
      </x:c>
      <x:c r="J12" s="6" t="str">
        <x:v>Test kullanıcılarının atanması gerekiyor.</x:v>
      </x:c>
      <x:c r="K12" s="6" t="str">
        <x:v>Mehmet Demir</x:v>
      </x:c>
      <x:c r="L12" s="5" t="n">
        <x:f>IF(A12="","",IF(B12="","Eksik tarih",B12-WEEKDAY(B12,2)+1))</x:f>
        <x:v>46272</x:v>
      </x:c>
      <x:c r="M12" s="2" t="str">
        <x:f>IF(A12="","",A12&amp;L12)</x:f>
        <x:v>PRJ-00246272</x:v>
      </x:c>
      <x:c r="N12" s="2" t="n">
        <x:f>IF(AND(A12='Panel'!$C$5,B12&lt;='Panel'!$N$5),B12,0)</x:f>
        <x:v>0</x:v>
      </x:c>
    </x:row>
    <x:row r="13" ht="22" customHeight="1">
      <x:c r="A13" s="6" t="str">
        <x:v>PRJ-002</x:v>
      </x:c>
      <x:c r="B13" s="7" t="n">
        <x:v>46282</x:v>
      </x:c>
      <x:c r="C13" s="15" t="n">
        <x:v>0.189</x:v>
      </x:c>
      <x:c r="D13" s="15" t="n">
        <x:v>0.164</x:v>
      </x:c>
      <x:c r="E13" s="13" t="n">
        <x:v>124000</x:v>
      </x:c>
      <x:c r="F13" s="13" t="n">
        <x:v>910000</x:v>
      </x:c>
      <x:c r="G13" s="6" t="n">
        <x:v>0</x:v>
      </x:c>
      <x:c r="H13" s="6" t="str">
        <x:v>Ekran tasarımları onaylandı. Geliştirme sürüyor.</x:v>
      </x:c>
      <x:c r="I13" s="6" t="str">
        <x:v>Entegrasyon ortamını aç. Geliştirmeye devam et.</x:v>
      </x:c>
      <x:c r="J13" s="6" t="str">
        <x:v>Test kullanıcılarının atanması gerekiyor.</x:v>
      </x:c>
      <x:c r="K13" s="6" t="str">
        <x:v>Mehmet Demir</x:v>
      </x:c>
      <x:c r="L13" s="5" t="n">
        <x:f>IF(A13="","",IF(B13="","Eksik tarih",B13-WEEKDAY(B13,2)+1))</x:f>
        <x:v>46279</x:v>
      </x:c>
      <x:c r="M13" s="2" t="str">
        <x:f>IF(A13="","",A13&amp;L13)</x:f>
        <x:v>PRJ-00246279</x:v>
      </x:c>
      <x:c r="N13" s="2" t="n">
        <x:f>IF(AND(A13='Panel'!$C$5,B13&lt;='Panel'!$N$5),B13,0)</x:f>
        <x:v>0</x:v>
      </x:c>
    </x:row>
    <x:row r="14" ht="22" customHeight="1">
      <x:c r="A14" s="6" t="str">
        <x:v>PRJ-002</x:v>
      </x:c>
      <x:c r="B14" s="7" t="n">
        <x:v>46289</x:v>
      </x:c>
      <x:c r="C14" s="15" t="n">
        <x:v>0.29400000000000004</x:v>
      </x:c>
      <x:c r="D14" s="15" t="n">
        <x:v>0.269</x:v>
      </x:c>
      <x:c r="E14" s="13" t="n">
        <x:v>186000</x:v>
      </x:c>
      <x:c r="F14" s="13" t="n">
        <x:v>910000</x:v>
      </x:c>
      <x:c r="G14" s="6" t="n">
        <x:v>0</x:v>
      </x:c>
      <x:c r="H14" s="6" t="str">
        <x:v>Ekran tasarımları onaylandı. Geliştirme sürüyor.</x:v>
      </x:c>
      <x:c r="I14" s="6" t="str">
        <x:v>Entegrasyon ortamını aç. Geliştirmeye devam et.</x:v>
      </x:c>
      <x:c r="J14" s="6" t="str">
        <x:v>Test kullanıcılarının atanması gerekiyor.</x:v>
      </x:c>
      <x:c r="K14" s="6" t="str">
        <x:v>Mehmet Demir</x:v>
      </x:c>
      <x:c r="L14" s="5" t="n">
        <x:f>IF(A14="","",IF(B14="","Eksik tarih",B14-WEEKDAY(B14,2)+1))</x:f>
        <x:v>46286</x:v>
      </x:c>
      <x:c r="M14" s="2" t="str">
        <x:f>IF(A14="","",A14&amp;L14)</x:f>
        <x:v>PRJ-00246286</x:v>
      </x:c>
      <x:c r="N14" s="2" t="n">
        <x:f>IF(AND(A14='Panel'!$C$5,B14&lt;='Panel'!$N$5),B14,0)</x:f>
        <x:v>0</x:v>
      </x:c>
    </x:row>
    <x:row r="15" ht="22" customHeight="1">
      <x:c r="A15" s="6" t="str">
        <x:v>PRJ-002</x:v>
      </x:c>
      <x:c r="B15" s="7" t="n">
        <x:v>46296</x:v>
      </x:c>
      <x:c r="C15" s="15" t="n">
        <x:v>0.3885</x:v>
      </x:c>
      <x:c r="D15" s="15" t="n">
        <x:v>0.3635</x:v>
      </x:c>
      <x:c r="E15" s="13" t="n">
        <x:v>248000</x:v>
      </x:c>
      <x:c r="F15" s="13" t="n">
        <x:v>910000</x:v>
      </x:c>
      <x:c r="G15" s="6" t="n">
        <x:v>0</x:v>
      </x:c>
      <x:c r="H15" s="6" t="str">
        <x:v>Ekran tasarımları onaylandı. Geliştirme sürüyor.</x:v>
      </x:c>
      <x:c r="I15" s="6" t="str">
        <x:v>Entegrasyon ortamını aç. Geliştirmeye devam et.</x:v>
      </x:c>
      <x:c r="J15" s="6" t="str">
        <x:v>Test kullanıcılarının atanması gerekiyor.</x:v>
      </x:c>
      <x:c r="K15" s="6" t="str">
        <x:v>Mehmet Demir</x:v>
      </x:c>
      <x:c r="L15" s="5" t="n">
        <x:f>IF(A15="","",IF(B15="","Eksik tarih",B15-WEEKDAY(B15,2)+1))</x:f>
        <x:v>46293</x:v>
      </x:c>
      <x:c r="M15" s="2" t="str">
        <x:f>IF(A15="","",A15&amp;L15)</x:f>
        <x:v>PRJ-00246293</x:v>
      </x:c>
      <x:c r="N15" s="2" t="n">
        <x:f>IF(AND(A15='Panel'!$C$5,B15&lt;='Panel'!$N$5),B15,0)</x:f>
        <x:v>0</x:v>
      </x:c>
    </x:row>
    <x:row r="16" ht="22" customHeight="1">
      <x:c r="A16" s="6" t="str">
        <x:v>PRJ-002</x:v>
      </x:c>
      <x:c r="B16" s="7" t="n">
        <x:v>46303</x:v>
      </x:c>
      <x:c r="C16" s="15" t="n">
        <x:v>0.4515</x:v>
      </x:c>
      <x:c r="D16" s="15" t="n">
        <x:v>0.4265</x:v>
      </x:c>
      <x:c r="E16" s="13" t="n">
        <x:v>310000</x:v>
      </x:c>
      <x:c r="F16" s="13" t="n">
        <x:v>910000</x:v>
      </x:c>
      <x:c r="G16" s="6" t="n">
        <x:v>0</x:v>
      </x:c>
      <x:c r="H16" s="6" t="str">
        <x:v>Ekran tasarımları onaylandı. Geliştirme sürüyor.</x:v>
      </x:c>
      <x:c r="I16" s="6" t="str">
        <x:v>Entegrasyon ortamını aç. Geliştirmeye devam et.</x:v>
      </x:c>
      <x:c r="J16" s="6" t="str">
        <x:v>Test kullanıcılarının atanması gerekiyor.</x:v>
      </x:c>
      <x:c r="K16" s="6" t="str">
        <x:v>Mehmet Demir</x:v>
      </x:c>
      <x:c r="L16" s="5" t="n">
        <x:f>IF(A16="","",IF(B16="","Eksik tarih",B16-WEEKDAY(B16,2)+1))</x:f>
        <x:v>46300</x:v>
      </x:c>
      <x:c r="M16" s="2" t="str">
        <x:f>IF(A16="","",A16&amp;L16)</x:f>
        <x:v>PRJ-00246300</x:v>
      </x:c>
      <x:c r="N16" s="2" t="n">
        <x:f>IF(AND(A16='Panel'!$C$5,B16&lt;='Panel'!$N$5),B16,0)</x:f>
        <x:v>0</x:v>
      </x:c>
    </x:row>
    <x:row r="17" ht="22" customHeight="1">
      <x:c r="A17" s="6" t="str">
        <x:v>PRJ-003</x:v>
      </x:c>
      <x:c r="B17" s="7" t="n">
        <x:v>46275</x:v>
      </x:c>
      <x:c r="C17" s="15" t="n">
        <x:v>0.07200000000000001</x:v>
      </x:c>
      <x:c r="D17" s="15" t="n">
        <x:v>0.132</x:v>
      </x:c>
      <x:c r="E17" s="13" t="n">
        <x:v>90000</x:v>
      </x:c>
      <x:c r="F17" s="13" t="n">
        <x:v>1480000</x:v>
      </x:c>
      <x:c r="G17" s="6" t="n">
        <x:v>2</x:v>
      </x:c>
      <x:c r="H17" s="6" t="str">
        <x:v>Pilot süreç analizi tamamlandı.</x:v>
      </x:c>
      <x:c r="I17" s="6" t="str">
        <x:v>Kısmi sevkiyat planını onaylat.</x:v>
      </x:c>
      <x:c r="J17" s="6" t="str">
        <x:v>Sevkiyat gecikmesi takvimi etkiliyor.</x:v>
      </x:c>
      <x:c r="K17" s="6" t="str">
        <x:v>Selin Kaya</x:v>
      </x:c>
      <x:c r="L17" s="5" t="n">
        <x:f>IF(A17="","",IF(B17="","Eksik tarih",B17-WEEKDAY(B17,2)+1))</x:f>
        <x:v>46272</x:v>
      </x:c>
      <x:c r="M17" s="2" t="str">
        <x:f>IF(A17="","",A17&amp;L17)</x:f>
        <x:v>PRJ-00346272</x:v>
      </x:c>
      <x:c r="N17" s="2" t="n">
        <x:f>IF(AND(A17='Panel'!$C$5,B17&lt;='Panel'!$N$5),B17,0)</x:f>
        <x:v>0</x:v>
      </x:c>
    </x:row>
    <x:row r="18" ht="22" customHeight="1">
      <x:c r="A18" s="6" t="str">
        <x:v>PRJ-003</x:v>
      </x:c>
      <x:c r="B18" s="7" t="n">
        <x:v>46282</x:v>
      </x:c>
      <x:c r="C18" s="15" t="n">
        <x:v>0.162</x:v>
      </x:c>
      <x:c r="D18" s="15" t="n">
        <x:v>0.222</x:v>
      </x:c>
      <x:c r="E18" s="13" t="n">
        <x:v>180000</x:v>
      </x:c>
      <x:c r="F18" s="13" t="n">
        <x:v>1480000</x:v>
      </x:c>
      <x:c r="G18" s="6" t="n">
        <x:v>2</x:v>
      </x:c>
      <x:c r="H18" s="6" t="str">
        <x:v>Pilot süreç analizi tamamlandı.</x:v>
      </x:c>
      <x:c r="I18" s="6" t="str">
        <x:v>Kısmi sevkiyat planını onaylat.</x:v>
      </x:c>
      <x:c r="J18" s="6" t="str">
        <x:v>Sevkiyat gecikmesi takvimi etkiliyor.</x:v>
      </x:c>
      <x:c r="K18" s="6" t="str">
        <x:v>Selin Kaya</x:v>
      </x:c>
      <x:c r="L18" s="5" t="n">
        <x:f>IF(A18="","",IF(B18="","Eksik tarih",B18-WEEKDAY(B18,2)+1))</x:f>
        <x:v>46279</x:v>
      </x:c>
      <x:c r="M18" s="2" t="str">
        <x:f>IF(A18="","",A18&amp;L18)</x:f>
        <x:v>PRJ-00346279</x:v>
      </x:c>
      <x:c r="N18" s="2" t="n">
        <x:f>IF(AND(A18='Panel'!$C$5,B18&lt;='Panel'!$N$5),B18,0)</x:f>
        <x:v>0</x:v>
      </x:c>
    </x:row>
    <x:row r="19" ht="22" customHeight="1">
      <x:c r="A19" s="6" t="str">
        <x:v>PRJ-003</x:v>
      </x:c>
      <x:c r="B19" s="7" t="n">
        <x:v>46289</x:v>
      </x:c>
      <x:c r="C19" s="15" t="n">
        <x:v>0.25200000000000006</x:v>
      </x:c>
      <x:c r="D19" s="15" t="n">
        <x:v>0.31200000000000006</x:v>
      </x:c>
      <x:c r="E19" s="13" t="n">
        <x:v>270000</x:v>
      </x:c>
      <x:c r="F19" s="13" t="n">
        <x:v>1480000</x:v>
      </x:c>
      <x:c r="G19" s="6" t="n">
        <x:v>2</x:v>
      </x:c>
      <x:c r="H19" s="6" t="str">
        <x:v>Pilot süreç analizi tamamlandı.</x:v>
      </x:c>
      <x:c r="I19" s="6" t="str">
        <x:v>Kısmi sevkiyat planını onaylat.</x:v>
      </x:c>
      <x:c r="J19" s="6" t="str">
        <x:v>Sevkiyat gecikmesi takvimi etkiliyor.</x:v>
      </x:c>
      <x:c r="K19" s="6" t="str">
        <x:v>Selin Kaya</x:v>
      </x:c>
      <x:c r="L19" s="5" t="n">
        <x:f>IF(A19="","",IF(B19="","Eksik tarih",B19-WEEKDAY(B19,2)+1))</x:f>
        <x:v>46286</x:v>
      </x:c>
      <x:c r="M19" s="2" t="str">
        <x:f>IF(A19="","",A19&amp;L19)</x:f>
        <x:v>PRJ-00346286</x:v>
      </x:c>
      <x:c r="N19" s="2" t="n">
        <x:f>IF(AND(A19='Panel'!$C$5,B19&lt;='Panel'!$N$5),B19,0)</x:f>
        <x:v>0</x:v>
      </x:c>
    </x:row>
    <x:row r="20" ht="22" customHeight="1">
      <x:c r="A20" s="6" t="str">
        <x:v>PRJ-003</x:v>
      </x:c>
      <x:c r="B20" s="7" t="n">
        <x:v>46296</x:v>
      </x:c>
      <x:c r="C20" s="15" t="n">
        <x:v>0.333</x:v>
      </x:c>
      <x:c r="D20" s="15" t="n">
        <x:v>0.393</x:v>
      </x:c>
      <x:c r="E20" s="13" t="n">
        <x:v>360000</x:v>
      </x:c>
      <x:c r="F20" s="13" t="n">
        <x:v>1480000</x:v>
      </x:c>
      <x:c r="G20" s="6" t="n">
        <x:v>2</x:v>
      </x:c>
      <x:c r="H20" s="6" t="str">
        <x:v>Pilot süreç analizi tamamlandı.</x:v>
      </x:c>
      <x:c r="I20" s="6" t="str">
        <x:v>Kısmi sevkiyat planını onaylat.</x:v>
      </x:c>
      <x:c r="J20" s="6" t="str">
        <x:v>Sevkiyat gecikmesi takvimi etkiliyor.</x:v>
      </x:c>
      <x:c r="K20" s="6" t="str">
        <x:v>Selin Kaya</x:v>
      </x:c>
      <x:c r="L20" s="5" t="n">
        <x:f>IF(A20="","",IF(B20="","Eksik tarih",B20-WEEKDAY(B20,2)+1))</x:f>
        <x:v>46293</x:v>
      </x:c>
      <x:c r="M20" s="2" t="str">
        <x:f>IF(A20="","",A20&amp;L20)</x:f>
        <x:v>PRJ-00346293</x:v>
      </x:c>
      <x:c r="N20" s="2" t="n">
        <x:f>IF(AND(A20='Panel'!$C$5,B20&lt;='Panel'!$N$5),B20,0)</x:f>
        <x:v>0</x:v>
      </x:c>
    </x:row>
    <x:row r="21" ht="22" customHeight="1">
      <x:c r="A21" s="6" t="str">
        <x:v>PRJ-003</x:v>
      </x:c>
      <x:c r="B21" s="7" t="n">
        <x:v>46303</x:v>
      </x:c>
      <x:c r="C21" s="15" t="n">
        <x:v>0.387</x:v>
      </x:c>
      <x:c r="D21" s="15" t="n">
        <x:v>0.447</x:v>
      </x:c>
      <x:c r="E21" s="13" t="n">
        <x:v>450000</x:v>
      </x:c>
      <x:c r="F21" s="13" t="n">
        <x:v>1480000</x:v>
      </x:c>
      <x:c r="G21" s="6" t="n">
        <x:v>2</x:v>
      </x:c>
      <x:c r="H21" s="6" t="str">
        <x:v>Pilot süreç analizi tamamlandı.</x:v>
      </x:c>
      <x:c r="I21" s="6" t="str">
        <x:v>Kısmi sevkiyat planını onaylat.</x:v>
      </x:c>
      <x:c r="J21" s="6" t="str">
        <x:v>Sevkiyat gecikmesi takvimi etkiliyor.</x:v>
      </x:c>
      <x:c r="K21" s="6" t="str">
        <x:v>Selin Kaya</x:v>
      </x:c>
      <x:c r="L21" s="5" t="n">
        <x:f>IF(A21="","",IF(B21="","Eksik tarih",B21-WEEKDAY(B21,2)+1))</x:f>
        <x:v>46300</x:v>
      </x:c>
      <x:c r="M21" s="2" t="str">
        <x:f>IF(A21="","",A21&amp;L21)</x:f>
        <x:v>PRJ-00346300</x:v>
      </x:c>
      <x:c r="N21" s="2" t="n">
        <x:f>IF(AND(A21='Panel'!$C$5,B21&lt;='Panel'!$N$5),B21,0)</x:f>
        <x:v>0</x:v>
      </x:c>
    </x:row>
    <x:row r="22" ht="22" customHeight="1">
      <x:c r="A22" s="6"/>
      <x:c r="B22" s="7"/>
      <x:c r="C22" s="15"/>
      <x:c r="D22" s="15"/>
      <x:c r="E22" s="13"/>
      <x:c r="F22" s="13"/>
      <x:c r="G22" s="6"/>
      <x:c r="H22" s="6"/>
      <x:c r="I22" s="6"/>
      <x:c r="J22" s="6"/>
      <x:c r="K22" s="6"/>
      <x:c r="L22" s="5" t="str">
        <x:f>IF(A22="","",IF(B22="","Eksik tarih",B22-WEEKDAY(B22,2)+1))</x:f>
      </x:c>
      <x:c r="M22" s="2" t="str">
        <x:f>IF(A22="","",A22&amp;L22)</x:f>
      </x:c>
      <x:c r="N22" s="2" t="n">
        <x:f>IF(AND(A22='Panel'!$C$5,B22&lt;='Panel'!$N$5),B22,0)</x:f>
        <x:v>0</x:v>
      </x:c>
    </x:row>
    <x:row r="23" ht="22" customHeight="1">
      <x:c r="A23" s="6"/>
      <x:c r="B23" s="7"/>
      <x:c r="C23" s="15"/>
      <x:c r="D23" s="15"/>
      <x:c r="E23" s="13"/>
      <x:c r="F23" s="13"/>
      <x:c r="G23" s="6"/>
      <x:c r="H23" s="6"/>
      <x:c r="I23" s="6"/>
      <x:c r="J23" s="6"/>
      <x:c r="K23" s="6"/>
      <x:c r="L23" s="5" t="str">
        <x:f>IF(A23="","",IF(B23="","Eksik tarih",B23-WEEKDAY(B23,2)+1))</x:f>
      </x:c>
      <x:c r="M23" s="2" t="str">
        <x:f>IF(A23="","",A23&amp;L23)</x:f>
      </x:c>
      <x:c r="N23" s="2" t="n">
        <x:f>IF(AND(A23='Panel'!$C$5,B23&lt;='Panel'!$N$5),B23,0)</x:f>
        <x:v>0</x:v>
      </x:c>
    </x:row>
    <x:row r="24" ht="22" customHeight="1">
      <x:c r="A24" s="6"/>
      <x:c r="B24" s="7"/>
      <x:c r="C24" s="15"/>
      <x:c r="D24" s="15"/>
      <x:c r="E24" s="13"/>
      <x:c r="F24" s="13"/>
      <x:c r="G24" s="6"/>
      <x:c r="H24" s="6"/>
      <x:c r="I24" s="6"/>
      <x:c r="J24" s="6"/>
      <x:c r="K24" s="6"/>
      <x:c r="L24" s="5" t="str">
        <x:f>IF(A24="","",IF(B24="","Eksik tarih",B24-WEEKDAY(B24,2)+1))</x:f>
      </x:c>
      <x:c r="M24" s="2" t="str">
        <x:f>IF(A24="","",A24&amp;L24)</x:f>
      </x:c>
      <x:c r="N24" s="2" t="n">
        <x:f>IF(AND(A24='Panel'!$C$5,B24&lt;='Panel'!$N$5),B24,0)</x:f>
        <x:v>0</x:v>
      </x:c>
    </x:row>
    <x:row r="25" ht="22" customHeight="1">
      <x:c r="A25" s="6"/>
      <x:c r="B25" s="7"/>
      <x:c r="C25" s="15"/>
      <x:c r="D25" s="15"/>
      <x:c r="E25" s="13"/>
      <x:c r="F25" s="13"/>
      <x:c r="G25" s="6"/>
      <x:c r="H25" s="6"/>
      <x:c r="I25" s="6"/>
      <x:c r="J25" s="6"/>
      <x:c r="K25" s="6"/>
      <x:c r="L25" s="5" t="str">
        <x:f>IF(A25="","",IF(B25="","Eksik tarih",B25-WEEKDAY(B25,2)+1))</x:f>
      </x:c>
      <x:c r="M25" s="2" t="str">
        <x:f>IF(A25="","",A25&amp;L25)</x:f>
      </x:c>
      <x:c r="N25" s="2" t="n">
        <x:f>IF(AND(A25='Panel'!$C$5,B25&lt;='Panel'!$N$5),B25,0)</x:f>
        <x:v>0</x:v>
      </x:c>
    </x:row>
    <x:row r="26" ht="22" customHeight="1">
      <x:c r="A26" s="6"/>
      <x:c r="B26" s="7"/>
      <x:c r="C26" s="15"/>
      <x:c r="D26" s="15"/>
      <x:c r="E26" s="13"/>
      <x:c r="F26" s="13"/>
      <x:c r="G26" s="6"/>
      <x:c r="H26" s="6"/>
      <x:c r="I26" s="6"/>
      <x:c r="J26" s="6"/>
      <x:c r="K26" s="6"/>
      <x:c r="L26" s="5" t="str">
        <x:f>IF(A26="","",IF(B26="","Eksik tarih",B26-WEEKDAY(B26,2)+1))</x:f>
      </x:c>
      <x:c r="M26" s="2" t="str">
        <x:f>IF(A26="","",A26&amp;L26)</x:f>
      </x:c>
      <x:c r="N26" s="2" t="n">
        <x:f>IF(AND(A26='Panel'!$C$5,B26&lt;='Panel'!$N$5),B26,0)</x:f>
        <x:v>0</x:v>
      </x:c>
    </x:row>
    <x:row r="27" ht="22" customHeight="1">
      <x:c r="A27" s="6"/>
      <x:c r="B27" s="7"/>
      <x:c r="C27" s="15"/>
      <x:c r="D27" s="15"/>
      <x:c r="E27" s="13"/>
      <x:c r="F27" s="13"/>
      <x:c r="G27" s="6"/>
      <x:c r="H27" s="6"/>
      <x:c r="I27" s="6"/>
      <x:c r="J27" s="6"/>
      <x:c r="K27" s="6"/>
      <x:c r="L27" s="5" t="str">
        <x:f>IF(A27="","",IF(B27="","Eksik tarih",B27-WEEKDAY(B27,2)+1))</x:f>
      </x:c>
      <x:c r="M27" s="2" t="str">
        <x:f>IF(A27="","",A27&amp;L27)</x:f>
      </x:c>
      <x:c r="N27" s="2" t="n">
        <x:f>IF(AND(A27='Panel'!$C$5,B27&lt;='Panel'!$N$5),B27,0)</x:f>
        <x:v>0</x:v>
      </x:c>
    </x:row>
    <x:row r="28" ht="22" customHeight="1">
      <x:c r="A28" s="6"/>
      <x:c r="B28" s="7"/>
      <x:c r="C28" s="15"/>
      <x:c r="D28" s="15"/>
      <x:c r="E28" s="13"/>
      <x:c r="F28" s="13"/>
      <x:c r="G28" s="6"/>
      <x:c r="H28" s="6"/>
      <x:c r="I28" s="6"/>
      <x:c r="J28" s="6"/>
      <x:c r="K28" s="6"/>
      <x:c r="L28" s="5" t="str">
        <x:f>IF(A28="","",IF(B28="","Eksik tarih",B28-WEEKDAY(B28,2)+1))</x:f>
      </x:c>
      <x:c r="M28" s="2" t="str">
        <x:f>IF(A28="","",A28&amp;L28)</x:f>
      </x:c>
      <x:c r="N28" s="2" t="n">
        <x:f>IF(AND(A28='Panel'!$C$5,B28&lt;='Panel'!$N$5),B28,0)</x:f>
        <x:v>0</x:v>
      </x:c>
    </x:row>
    <x:row r="29" ht="22" customHeight="1">
      <x:c r="A29" s="6"/>
      <x:c r="B29" s="7"/>
      <x:c r="C29" s="15"/>
      <x:c r="D29" s="15"/>
      <x:c r="E29" s="13"/>
      <x:c r="F29" s="13"/>
      <x:c r="G29" s="6"/>
      <x:c r="H29" s="6"/>
      <x:c r="I29" s="6"/>
      <x:c r="J29" s="6"/>
      <x:c r="K29" s="6"/>
      <x:c r="L29" s="5" t="str">
        <x:f>IF(A29="","",IF(B29="","Eksik tarih",B29-WEEKDAY(B29,2)+1))</x:f>
      </x:c>
      <x:c r="M29" s="2" t="str">
        <x:f>IF(A29="","",A29&amp;L29)</x:f>
      </x:c>
      <x:c r="N29" s="2" t="n">
        <x:f>IF(AND(A29='Panel'!$C$5,B29&lt;='Panel'!$N$5),B29,0)</x:f>
        <x:v>0</x:v>
      </x:c>
    </x:row>
    <x:row r="30" ht="22" customHeight="1">
      <x:c r="A30" s="6"/>
      <x:c r="B30" s="7"/>
      <x:c r="C30" s="15"/>
      <x:c r="D30" s="15"/>
      <x:c r="E30" s="13"/>
      <x:c r="F30" s="13"/>
      <x:c r="G30" s="6"/>
      <x:c r="H30" s="6"/>
      <x:c r="I30" s="6"/>
      <x:c r="J30" s="6"/>
      <x:c r="K30" s="6"/>
      <x:c r="L30" s="5" t="str">
        <x:f>IF(A30="","",IF(B30="","Eksik tarih",B30-WEEKDAY(B30,2)+1))</x:f>
      </x:c>
      <x:c r="M30" s="2" t="str">
        <x:f>IF(A30="","",A30&amp;L30)</x:f>
      </x:c>
      <x:c r="N30" s="2" t="n">
        <x:f>IF(AND(A30='Panel'!$C$5,B30&lt;='Panel'!$N$5),B30,0)</x:f>
        <x:v>0</x:v>
      </x:c>
    </x:row>
    <x:row r="31" ht="22" customHeight="1">
      <x:c r="A31" s="6"/>
      <x:c r="B31" s="7"/>
      <x:c r="C31" s="15"/>
      <x:c r="D31" s="15"/>
      <x:c r="E31" s="13"/>
      <x:c r="F31" s="13"/>
      <x:c r="G31" s="6"/>
      <x:c r="H31" s="6"/>
      <x:c r="I31" s="6"/>
      <x:c r="J31" s="6"/>
      <x:c r="K31" s="6"/>
      <x:c r="L31" s="5" t="str">
        <x:f>IF(A31="","",IF(B31="","Eksik tarih",B31-WEEKDAY(B31,2)+1))</x:f>
      </x:c>
      <x:c r="M31" s="2" t="str">
        <x:f>IF(A31="","",A31&amp;L31)</x:f>
      </x:c>
      <x:c r="N31" s="2" t="n">
        <x:f>IF(AND(A31='Panel'!$C$5,B31&lt;='Panel'!$N$5),B31,0)</x:f>
        <x:v>0</x:v>
      </x:c>
    </x:row>
    <x:row r="32" ht="22" customHeight="1">
      <x:c r="A32" s="6"/>
      <x:c r="B32" s="7"/>
      <x:c r="C32" s="15"/>
      <x:c r="D32" s="15"/>
      <x:c r="E32" s="13"/>
      <x:c r="F32" s="13"/>
      <x:c r="G32" s="6"/>
      <x:c r="H32" s="6"/>
      <x:c r="I32" s="6"/>
      <x:c r="J32" s="6"/>
      <x:c r="K32" s="6"/>
      <x:c r="L32" s="5" t="str">
        <x:f>IF(A32="","",IF(B32="","Eksik tarih",B32-WEEKDAY(B32,2)+1))</x:f>
      </x:c>
      <x:c r="M32" s="2" t="str">
        <x:f>IF(A32="","",A32&amp;L32)</x:f>
      </x:c>
      <x:c r="N32" s="2" t="n">
        <x:f>IF(AND(A32='Panel'!$C$5,B32&lt;='Panel'!$N$5),B32,0)</x:f>
        <x:v>0</x:v>
      </x:c>
    </x:row>
    <x:row r="33" ht="22" customHeight="1">
      <x:c r="A33" s="6"/>
      <x:c r="B33" s="7"/>
      <x:c r="C33" s="15"/>
      <x:c r="D33" s="15"/>
      <x:c r="E33" s="13"/>
      <x:c r="F33" s="13"/>
      <x:c r="G33" s="6"/>
      <x:c r="H33" s="6"/>
      <x:c r="I33" s="6"/>
      <x:c r="J33" s="6"/>
      <x:c r="K33" s="6"/>
      <x:c r="L33" s="5" t="str">
        <x:f>IF(A33="","",IF(B33="","Eksik tarih",B33-WEEKDAY(B33,2)+1))</x:f>
      </x:c>
      <x:c r="M33" s="2" t="str">
        <x:f>IF(A33="","",A33&amp;L33)</x:f>
      </x:c>
      <x:c r="N33" s="2" t="n">
        <x:f>IF(AND(A33='Panel'!$C$5,B33&lt;='Panel'!$N$5),B33,0)</x:f>
        <x:v>0</x:v>
      </x:c>
    </x:row>
    <x:row r="34" ht="22" customHeight="1">
      <x:c r="A34" s="6"/>
      <x:c r="B34" s="7"/>
      <x:c r="C34" s="15"/>
      <x:c r="D34" s="15"/>
      <x:c r="E34" s="13"/>
      <x:c r="F34" s="13"/>
      <x:c r="G34" s="6"/>
      <x:c r="H34" s="6"/>
      <x:c r="I34" s="6"/>
      <x:c r="J34" s="6"/>
      <x:c r="K34" s="6"/>
      <x:c r="L34" s="5" t="str">
        <x:f>IF(A34="","",IF(B34="","Eksik tarih",B34-WEEKDAY(B34,2)+1))</x:f>
      </x:c>
      <x:c r="M34" s="2" t="str">
        <x:f>IF(A34="","",A34&amp;L34)</x:f>
      </x:c>
      <x:c r="N34" s="2" t="n">
        <x:f>IF(AND(A34='Panel'!$C$5,B34&lt;='Panel'!$N$5),B34,0)</x:f>
        <x:v>0</x:v>
      </x:c>
    </x:row>
    <x:row r="35" ht="22" customHeight="1">
      <x:c r="A35" s="6"/>
      <x:c r="B35" s="7"/>
      <x:c r="C35" s="15"/>
      <x:c r="D35" s="15"/>
      <x:c r="E35" s="13"/>
      <x:c r="F35" s="13"/>
      <x:c r="G35" s="6"/>
      <x:c r="H35" s="6"/>
      <x:c r="I35" s="6"/>
      <x:c r="J35" s="6"/>
      <x:c r="K35" s="6"/>
      <x:c r="L35" s="5" t="str">
        <x:f>IF(A35="","",IF(B35="","Eksik tarih",B35-WEEKDAY(B35,2)+1))</x:f>
      </x:c>
      <x:c r="M35" s="2" t="str">
        <x:f>IF(A35="","",A35&amp;L35)</x:f>
      </x:c>
      <x:c r="N35" s="2" t="n">
        <x:f>IF(AND(A35='Panel'!$C$5,B35&lt;='Panel'!$N$5),B35,0)</x:f>
        <x:v>0</x:v>
      </x:c>
    </x:row>
    <x:row r="36" ht="22" customHeight="1">
      <x:c r="A36" s="6"/>
      <x:c r="B36" s="7"/>
      <x:c r="C36" s="15"/>
      <x:c r="D36" s="15"/>
      <x:c r="E36" s="13"/>
      <x:c r="F36" s="13"/>
      <x:c r="G36" s="6"/>
      <x:c r="H36" s="6"/>
      <x:c r="I36" s="6"/>
      <x:c r="J36" s="6"/>
      <x:c r="K36" s="6"/>
      <x:c r="L36" s="5" t="str">
        <x:f>IF(A36="","",IF(B36="","Eksik tarih",B36-WEEKDAY(B36,2)+1))</x:f>
      </x:c>
      <x:c r="M36" s="2" t="str">
        <x:f>IF(A36="","",A36&amp;L36)</x:f>
      </x:c>
      <x:c r="N36" s="2" t="n">
        <x:f>IF(AND(A36='Panel'!$C$5,B36&lt;='Panel'!$N$5),B36,0)</x:f>
        <x:v>0</x:v>
      </x:c>
    </x:row>
    <x:row r="37" ht="22" customHeight="1">
      <x:c r="A37" s="6"/>
      <x:c r="B37" s="7"/>
      <x:c r="C37" s="15"/>
      <x:c r="D37" s="15"/>
      <x:c r="E37" s="13"/>
      <x:c r="F37" s="13"/>
      <x:c r="G37" s="6"/>
      <x:c r="H37" s="6"/>
      <x:c r="I37" s="6"/>
      <x:c r="J37" s="6"/>
      <x:c r="K37" s="6"/>
      <x:c r="L37" s="5" t="str">
        <x:f>IF(A37="","",IF(B37="","Eksik tarih",B37-WEEKDAY(B37,2)+1))</x:f>
      </x:c>
      <x:c r="M37" s="2" t="str">
        <x:f>IF(A37="","",A37&amp;L37)</x:f>
      </x:c>
      <x:c r="N37" s="2" t="n">
        <x:f>IF(AND(A37='Panel'!$C$5,B37&lt;='Panel'!$N$5),B37,0)</x:f>
        <x:v>0</x:v>
      </x:c>
    </x:row>
    <x:row r="38" ht="22" customHeight="1">
      <x:c r="A38" s="6"/>
      <x:c r="B38" s="7"/>
      <x:c r="C38" s="15"/>
      <x:c r="D38" s="15"/>
      <x:c r="E38" s="13"/>
      <x:c r="F38" s="13"/>
      <x:c r="G38" s="6"/>
      <x:c r="H38" s="6"/>
      <x:c r="I38" s="6"/>
      <x:c r="J38" s="6"/>
      <x:c r="K38" s="6"/>
      <x:c r="L38" s="5" t="str">
        <x:f>IF(A38="","",IF(B38="","Eksik tarih",B38-WEEKDAY(B38,2)+1))</x:f>
      </x:c>
      <x:c r="M38" s="2" t="str">
        <x:f>IF(A38="","",A38&amp;L38)</x:f>
      </x:c>
      <x:c r="N38" s="2" t="n">
        <x:f>IF(AND(A38='Panel'!$C$5,B38&lt;='Panel'!$N$5),B38,0)</x:f>
        <x:v>0</x:v>
      </x:c>
    </x:row>
    <x:row r="39" ht="22" customHeight="1">
      <x:c r="A39" s="6"/>
      <x:c r="B39" s="7"/>
      <x:c r="C39" s="15"/>
      <x:c r="D39" s="15"/>
      <x:c r="E39" s="13"/>
      <x:c r="F39" s="13"/>
      <x:c r="G39" s="6"/>
      <x:c r="H39" s="6"/>
      <x:c r="I39" s="6"/>
      <x:c r="J39" s="6"/>
      <x:c r="K39" s="6"/>
      <x:c r="L39" s="5" t="str">
        <x:f>IF(A39="","",IF(B39="","Eksik tarih",B39-WEEKDAY(B39,2)+1))</x:f>
      </x:c>
      <x:c r="M39" s="2" t="str">
        <x:f>IF(A39="","",A39&amp;L39)</x:f>
      </x:c>
      <x:c r="N39" s="2" t="n">
        <x:f>IF(AND(A39='Panel'!$C$5,B39&lt;='Panel'!$N$5),B39,0)</x:f>
        <x:v>0</x:v>
      </x:c>
    </x:row>
    <x:row r="40" ht="22" customHeight="1">
      <x:c r="A40" s="6"/>
      <x:c r="B40" s="7"/>
      <x:c r="C40" s="15"/>
      <x:c r="D40" s="15"/>
      <x:c r="E40" s="13"/>
      <x:c r="F40" s="13"/>
      <x:c r="G40" s="6"/>
      <x:c r="H40" s="6"/>
      <x:c r="I40" s="6"/>
      <x:c r="J40" s="6"/>
      <x:c r="K40" s="6"/>
      <x:c r="L40" s="5" t="str">
        <x:f>IF(A40="","",IF(B40="","Eksik tarih",B40-WEEKDAY(B40,2)+1))</x:f>
      </x:c>
      <x:c r="M40" s="2" t="str">
        <x:f>IF(A40="","",A40&amp;L40)</x:f>
      </x:c>
      <x:c r="N40" s="2" t="n">
        <x:f>IF(AND(A40='Panel'!$C$5,B40&lt;='Panel'!$N$5),B40,0)</x:f>
        <x:v>0</x:v>
      </x:c>
    </x:row>
    <x:row r="41" ht="22" customHeight="1">
      <x:c r="A41" s="6"/>
      <x:c r="B41" s="7"/>
      <x:c r="C41" s="15"/>
      <x:c r="D41" s="15"/>
      <x:c r="E41" s="13"/>
      <x:c r="F41" s="13"/>
      <x:c r="G41" s="6"/>
      <x:c r="H41" s="6"/>
      <x:c r="I41" s="6"/>
      <x:c r="J41" s="6"/>
      <x:c r="K41" s="6"/>
      <x:c r="L41" s="5" t="str">
        <x:f>IF(A41="","",IF(B41="","Eksik tarih",B41-WEEKDAY(B41,2)+1))</x:f>
      </x:c>
      <x:c r="M41" s="2" t="str">
        <x:f>IF(A41="","",A41&amp;L41)</x:f>
      </x:c>
      <x:c r="N41" s="2" t="n">
        <x:f>IF(AND(A41='Panel'!$C$5,B41&lt;='Panel'!$N$5),B41,0)</x:f>
        <x:v>0</x:v>
      </x:c>
    </x:row>
    <x:row r="42" ht="22" customHeight="1">
      <x:c r="A42" s="6"/>
      <x:c r="B42" s="7"/>
      <x:c r="C42" s="15"/>
      <x:c r="D42" s="15"/>
      <x:c r="E42" s="13"/>
      <x:c r="F42" s="13"/>
      <x:c r="G42" s="6"/>
      <x:c r="H42" s="6"/>
      <x:c r="I42" s="6"/>
      <x:c r="J42" s="6"/>
      <x:c r="K42" s="6"/>
      <x:c r="L42" s="5" t="str">
        <x:f>IF(A42="","",IF(B42="","Eksik tarih",B42-WEEKDAY(B42,2)+1))</x:f>
      </x:c>
      <x:c r="M42" s="2" t="str">
        <x:f>IF(A42="","",A42&amp;L42)</x:f>
      </x:c>
      <x:c r="N42" s="2" t="n">
        <x:f>IF(AND(A42='Panel'!$C$5,B42&lt;='Panel'!$N$5),B42,0)</x:f>
        <x:v>0</x:v>
      </x:c>
    </x:row>
    <x:row r="43" ht="22" customHeight="1">
      <x:c r="A43" s="6"/>
      <x:c r="B43" s="7"/>
      <x:c r="C43" s="15"/>
      <x:c r="D43" s="15"/>
      <x:c r="E43" s="13"/>
      <x:c r="F43" s="13"/>
      <x:c r="G43" s="6"/>
      <x:c r="H43" s="6"/>
      <x:c r="I43" s="6"/>
      <x:c r="J43" s="6"/>
      <x:c r="K43" s="6"/>
      <x:c r="L43" s="5" t="str">
        <x:f>IF(A43="","",IF(B43="","Eksik tarih",B43-WEEKDAY(B43,2)+1))</x:f>
      </x:c>
      <x:c r="M43" s="2" t="str">
        <x:f>IF(A43="","",A43&amp;L43)</x:f>
      </x:c>
      <x:c r="N43" s="2" t="n">
        <x:f>IF(AND(A43='Panel'!$C$5,B43&lt;='Panel'!$N$5),B43,0)</x:f>
        <x:v>0</x:v>
      </x:c>
    </x:row>
    <x:row r="44" ht="22" customHeight="1">
      <x:c r="A44" s="6"/>
      <x:c r="B44" s="7"/>
      <x:c r="C44" s="15"/>
      <x:c r="D44" s="15"/>
      <x:c r="E44" s="13"/>
      <x:c r="F44" s="13"/>
      <x:c r="G44" s="6"/>
      <x:c r="H44" s="6"/>
      <x:c r="I44" s="6"/>
      <x:c r="J44" s="6"/>
      <x:c r="K44" s="6"/>
      <x:c r="L44" s="5" t="str">
        <x:f>IF(A44="","",IF(B44="","Eksik tarih",B44-WEEKDAY(B44,2)+1))</x:f>
      </x:c>
      <x:c r="M44" s="2" t="str">
        <x:f>IF(A44="","",A44&amp;L44)</x:f>
      </x:c>
      <x:c r="N44" s="2" t="n">
        <x:f>IF(AND(A44='Panel'!$C$5,B44&lt;='Panel'!$N$5),B44,0)</x:f>
        <x:v>0</x:v>
      </x:c>
    </x:row>
    <x:row r="45" ht="22" customHeight="1">
      <x:c r="A45" s="6"/>
      <x:c r="B45" s="7"/>
      <x:c r="C45" s="15"/>
      <x:c r="D45" s="15"/>
      <x:c r="E45" s="13"/>
      <x:c r="F45" s="13"/>
      <x:c r="G45" s="6"/>
      <x:c r="H45" s="6"/>
      <x:c r="I45" s="6"/>
      <x:c r="J45" s="6"/>
      <x:c r="K45" s="6"/>
      <x:c r="L45" s="5" t="str">
        <x:f>IF(A45="","",IF(B45="","Eksik tarih",B45-WEEKDAY(B45,2)+1))</x:f>
      </x:c>
      <x:c r="M45" s="2" t="str">
        <x:f>IF(A45="","",A45&amp;L45)</x:f>
      </x:c>
      <x:c r="N45" s="2" t="n">
        <x:f>IF(AND(A45='Panel'!$C$5,B45&lt;='Panel'!$N$5),B45,0)</x:f>
        <x:v>0</x:v>
      </x:c>
    </x:row>
    <x:row r="46" ht="22" customHeight="1">
      <x:c r="A46" s="6"/>
      <x:c r="B46" s="7"/>
      <x:c r="C46" s="15"/>
      <x:c r="D46" s="15"/>
      <x:c r="E46" s="13"/>
      <x:c r="F46" s="13"/>
      <x:c r="G46" s="6"/>
      <x:c r="H46" s="6"/>
      <x:c r="I46" s="6"/>
      <x:c r="J46" s="6"/>
      <x:c r="K46" s="6"/>
      <x:c r="L46" s="5" t="str">
        <x:f>IF(A46="","",IF(B46="","Eksik tarih",B46-WEEKDAY(B46,2)+1))</x:f>
      </x:c>
      <x:c r="M46" s="2" t="str">
        <x:f>IF(A46="","",A46&amp;L46)</x:f>
      </x:c>
      <x:c r="N46" s="2" t="n">
        <x:f>IF(AND(A46='Panel'!$C$5,B46&lt;='Panel'!$N$5),B46,0)</x:f>
        <x:v>0</x:v>
      </x:c>
    </x:row>
    <x:row r="47" ht="22" customHeight="1">
      <x:c r="A47" s="6"/>
      <x:c r="B47" s="7"/>
      <x:c r="C47" s="15"/>
      <x:c r="D47" s="15"/>
      <x:c r="E47" s="13"/>
      <x:c r="F47" s="13"/>
      <x:c r="G47" s="6"/>
      <x:c r="H47" s="6"/>
      <x:c r="I47" s="6"/>
      <x:c r="J47" s="6"/>
      <x:c r="K47" s="6"/>
      <x:c r="L47" s="5" t="str">
        <x:f>IF(A47="","",IF(B47="","Eksik tarih",B47-WEEKDAY(B47,2)+1))</x:f>
      </x:c>
      <x:c r="M47" s="2" t="str">
        <x:f>IF(A47="","",A47&amp;L47)</x:f>
      </x:c>
      <x:c r="N47" s="2" t="n">
        <x:f>IF(AND(A47='Panel'!$C$5,B47&lt;='Panel'!$N$5),B47,0)</x:f>
        <x:v>0</x:v>
      </x:c>
    </x:row>
    <x:row r="48" ht="22" customHeight="1">
      <x:c r="A48" s="6"/>
      <x:c r="B48" s="7"/>
      <x:c r="C48" s="15"/>
      <x:c r="D48" s="15"/>
      <x:c r="E48" s="13"/>
      <x:c r="F48" s="13"/>
      <x:c r="G48" s="6"/>
      <x:c r="H48" s="6"/>
      <x:c r="I48" s="6"/>
      <x:c r="J48" s="6"/>
      <x:c r="K48" s="6"/>
      <x:c r="L48" s="5" t="str">
        <x:f>IF(A48="","",IF(B48="","Eksik tarih",B48-WEEKDAY(B48,2)+1))</x:f>
      </x:c>
      <x:c r="M48" s="2" t="str">
        <x:f>IF(A48="","",A48&amp;L48)</x:f>
      </x:c>
      <x:c r="N48" s="2" t="n">
        <x:f>IF(AND(A48='Panel'!$C$5,B48&lt;='Panel'!$N$5),B48,0)</x:f>
        <x:v>0</x:v>
      </x:c>
    </x:row>
    <x:row r="49" ht="22" customHeight="1">
      <x:c r="A49" s="6"/>
      <x:c r="B49" s="7"/>
      <x:c r="C49" s="15"/>
      <x:c r="D49" s="15"/>
      <x:c r="E49" s="13"/>
      <x:c r="F49" s="13"/>
      <x:c r="G49" s="6"/>
      <x:c r="H49" s="6"/>
      <x:c r="I49" s="6"/>
      <x:c r="J49" s="6"/>
      <x:c r="K49" s="6"/>
      <x:c r="L49" s="5" t="str">
        <x:f>IF(A49="","",IF(B49="","Eksik tarih",B49-WEEKDAY(B49,2)+1))</x:f>
      </x:c>
      <x:c r="M49" s="2" t="str">
        <x:f>IF(A49="","",A49&amp;L49)</x:f>
      </x:c>
      <x:c r="N49" s="2" t="n">
        <x:f>IF(AND(A49='Panel'!$C$5,B49&lt;='Panel'!$N$5),B49,0)</x:f>
        <x:v>0</x:v>
      </x:c>
    </x:row>
    <x:row r="50" ht="22" customHeight="1">
      <x:c r="A50" s="6"/>
      <x:c r="B50" s="7"/>
      <x:c r="C50" s="15"/>
      <x:c r="D50" s="15"/>
      <x:c r="E50" s="13"/>
      <x:c r="F50" s="13"/>
      <x:c r="G50" s="6"/>
      <x:c r="H50" s="6"/>
      <x:c r="I50" s="6"/>
      <x:c r="J50" s="6"/>
      <x:c r="K50" s="6"/>
      <x:c r="L50" s="5" t="str">
        <x:f>IF(A50="","",IF(B50="","Eksik tarih",B50-WEEKDAY(B50,2)+1))</x:f>
      </x:c>
      <x:c r="M50" s="2" t="str">
        <x:f>IF(A50="","",A50&amp;L50)</x:f>
      </x:c>
      <x:c r="N50" s="2" t="n">
        <x:f>IF(AND(A50='Panel'!$C$5,B50&lt;='Panel'!$N$5),B50,0)</x:f>
        <x:v>0</x:v>
      </x:c>
    </x:row>
    <x:row r="51" ht="22" customHeight="1">
      <x:c r="A51" s="6"/>
      <x:c r="B51" s="7"/>
      <x:c r="C51" s="15"/>
      <x:c r="D51" s="15"/>
      <x:c r="E51" s="13"/>
      <x:c r="F51" s="13"/>
      <x:c r="G51" s="6"/>
      <x:c r="H51" s="6"/>
      <x:c r="I51" s="6"/>
      <x:c r="J51" s="6"/>
      <x:c r="K51" s="6"/>
      <x:c r="L51" s="5" t="str">
        <x:f>IF(A51="","",IF(B51="","Eksik tarih",B51-WEEKDAY(B51,2)+1))</x:f>
      </x:c>
      <x:c r="M51" s="2" t="str">
        <x:f>IF(A51="","",A51&amp;L51)</x:f>
      </x:c>
      <x:c r="N51" s="2" t="n">
        <x:f>IF(AND(A51='Panel'!$C$5,B51&lt;='Panel'!$N$5),B51,0)</x:f>
        <x:v>0</x:v>
      </x:c>
    </x:row>
    <x:row r="52" ht="22" customHeight="1">
      <x:c r="A52" s="6"/>
      <x:c r="B52" s="7"/>
      <x:c r="C52" s="15"/>
      <x:c r="D52" s="15"/>
      <x:c r="E52" s="13"/>
      <x:c r="F52" s="13"/>
      <x:c r="G52" s="6"/>
      <x:c r="H52" s="6"/>
      <x:c r="I52" s="6"/>
      <x:c r="J52" s="6"/>
      <x:c r="K52" s="6"/>
      <x:c r="L52" s="5" t="str">
        <x:f>IF(A52="","",IF(B52="","Eksik tarih",B52-WEEKDAY(B52,2)+1))</x:f>
      </x:c>
      <x:c r="M52" s="2" t="str">
        <x:f>IF(A52="","",A52&amp;L52)</x:f>
      </x:c>
      <x:c r="N52" s="2" t="n">
        <x:f>IF(AND(A52='Panel'!$C$5,B52&lt;='Panel'!$N$5),B52,0)</x:f>
        <x:v>0</x:v>
      </x:c>
    </x:row>
    <x:row r="53" ht="22" customHeight="1">
      <x:c r="A53" s="6"/>
      <x:c r="B53" s="7"/>
      <x:c r="C53" s="15"/>
      <x:c r="D53" s="15"/>
      <x:c r="E53" s="13"/>
      <x:c r="F53" s="13"/>
      <x:c r="G53" s="6"/>
      <x:c r="H53" s="6"/>
      <x:c r="I53" s="6"/>
      <x:c r="J53" s="6"/>
      <x:c r="K53" s="6"/>
      <x:c r="L53" s="5" t="str">
        <x:f>IF(A53="","",IF(B53="","Eksik tarih",B53-WEEKDAY(B53,2)+1))</x:f>
      </x:c>
      <x:c r="M53" s="2" t="str">
        <x:f>IF(A53="","",A53&amp;L53)</x:f>
      </x:c>
      <x:c r="N53" s="2" t="n">
        <x:f>IF(AND(A53='Panel'!$C$5,B53&lt;='Panel'!$N$5),B53,0)</x:f>
        <x:v>0</x:v>
      </x:c>
    </x:row>
    <x:row r="54" ht="22" customHeight="1">
      <x:c r="A54" s="6"/>
      <x:c r="B54" s="7"/>
      <x:c r="C54" s="15"/>
      <x:c r="D54" s="15"/>
      <x:c r="E54" s="13"/>
      <x:c r="F54" s="13"/>
      <x:c r="G54" s="6"/>
      <x:c r="H54" s="6"/>
      <x:c r="I54" s="6"/>
      <x:c r="J54" s="6"/>
      <x:c r="K54" s="6"/>
      <x:c r="L54" s="5" t="str">
        <x:f>IF(A54="","",IF(B54="","Eksik tarih",B54-WEEKDAY(B54,2)+1))</x:f>
      </x:c>
      <x:c r="M54" s="2" t="str">
        <x:f>IF(A54="","",A54&amp;L54)</x:f>
      </x:c>
      <x:c r="N54" s="2" t="n">
        <x:f>IF(AND(A54='Panel'!$C$5,B54&lt;='Panel'!$N$5),B54,0)</x:f>
        <x:v>0</x:v>
      </x:c>
    </x:row>
    <x:row r="55" ht="22" customHeight="1">
      <x:c r="A55" s="6"/>
      <x:c r="B55" s="7"/>
      <x:c r="C55" s="15"/>
      <x:c r="D55" s="15"/>
      <x:c r="E55" s="13"/>
      <x:c r="F55" s="13"/>
      <x:c r="G55" s="6"/>
      <x:c r="H55" s="6"/>
      <x:c r="I55" s="6"/>
      <x:c r="J55" s="6"/>
      <x:c r="K55" s="6"/>
      <x:c r="L55" s="5" t="str">
        <x:f>IF(A55="","",IF(B55="","Eksik tarih",B55-WEEKDAY(B55,2)+1))</x:f>
      </x:c>
      <x:c r="M55" s="2" t="str">
        <x:f>IF(A55="","",A55&amp;L55)</x:f>
      </x:c>
      <x:c r="N55" s="2" t="n">
        <x:f>IF(AND(A55='Panel'!$C$5,B55&lt;='Panel'!$N$5),B55,0)</x:f>
        <x:v>0</x:v>
      </x:c>
    </x:row>
    <x:row r="56" ht="22" customHeight="1">
      <x:c r="A56" s="6"/>
      <x:c r="B56" s="7"/>
      <x:c r="C56" s="15"/>
      <x:c r="D56" s="15"/>
      <x:c r="E56" s="13"/>
      <x:c r="F56" s="13"/>
      <x:c r="G56" s="6"/>
      <x:c r="H56" s="6"/>
      <x:c r="I56" s="6"/>
      <x:c r="J56" s="6"/>
      <x:c r="K56" s="6"/>
      <x:c r="L56" s="5" t="str">
        <x:f>IF(A56="","",IF(B56="","Eksik tarih",B56-WEEKDAY(B56,2)+1))</x:f>
      </x:c>
      <x:c r="M56" s="2" t="str">
        <x:f>IF(A56="","",A56&amp;L56)</x:f>
      </x:c>
      <x:c r="N56" s="2" t="n">
        <x:f>IF(AND(A56='Panel'!$C$5,B56&lt;='Panel'!$N$5),B56,0)</x:f>
        <x:v>0</x:v>
      </x:c>
    </x:row>
    <x:row r="57" ht="22" customHeight="1">
      <x:c r="A57" s="6"/>
      <x:c r="B57" s="7"/>
      <x:c r="C57" s="15"/>
      <x:c r="D57" s="15"/>
      <x:c r="E57" s="13"/>
      <x:c r="F57" s="13"/>
      <x:c r="G57" s="6"/>
      <x:c r="H57" s="6"/>
      <x:c r="I57" s="6"/>
      <x:c r="J57" s="6"/>
      <x:c r="K57" s="6"/>
      <x:c r="L57" s="5" t="str">
        <x:f>IF(A57="","",IF(B57="","Eksik tarih",B57-WEEKDAY(B57,2)+1))</x:f>
      </x:c>
      <x:c r="M57" s="2" t="str">
        <x:f>IF(A57="","",A57&amp;L57)</x:f>
      </x:c>
      <x:c r="N57" s="2" t="n">
        <x:f>IF(AND(A57='Panel'!$C$5,B57&lt;='Panel'!$N$5),B57,0)</x:f>
        <x:v>0</x:v>
      </x:c>
    </x:row>
    <x:row r="58" ht="22" customHeight="1">
      <x:c r="A58" s="6"/>
      <x:c r="B58" s="7"/>
      <x:c r="C58" s="15"/>
      <x:c r="D58" s="15"/>
      <x:c r="E58" s="13"/>
      <x:c r="F58" s="13"/>
      <x:c r="G58" s="6"/>
      <x:c r="H58" s="6"/>
      <x:c r="I58" s="6"/>
      <x:c r="J58" s="6"/>
      <x:c r="K58" s="6"/>
      <x:c r="L58" s="5" t="str">
        <x:f>IF(A58="","",IF(B58="","Eksik tarih",B58-WEEKDAY(B58,2)+1))</x:f>
      </x:c>
      <x:c r="M58" s="2" t="str">
        <x:f>IF(A58="","",A58&amp;L58)</x:f>
      </x:c>
      <x:c r="N58" s="2" t="n">
        <x:f>IF(AND(A58='Panel'!$C$5,B58&lt;='Panel'!$N$5),B58,0)</x:f>
        <x:v>0</x:v>
      </x:c>
    </x:row>
    <x:row r="59" ht="22" customHeight="1">
      <x:c r="A59" s="6"/>
      <x:c r="B59" s="7"/>
      <x:c r="C59" s="15"/>
      <x:c r="D59" s="15"/>
      <x:c r="E59" s="13"/>
      <x:c r="F59" s="13"/>
      <x:c r="G59" s="6"/>
      <x:c r="H59" s="6"/>
      <x:c r="I59" s="6"/>
      <x:c r="J59" s="6"/>
      <x:c r="K59" s="6"/>
      <x:c r="L59" s="5" t="str">
        <x:f>IF(A59="","",IF(B59="","Eksik tarih",B59-WEEKDAY(B59,2)+1))</x:f>
      </x:c>
      <x:c r="M59" s="2" t="str">
        <x:f>IF(A59="","",A59&amp;L59)</x:f>
      </x:c>
      <x:c r="N59" s="2" t="n">
        <x:f>IF(AND(A59='Panel'!$C$5,B59&lt;='Panel'!$N$5),B59,0)</x:f>
        <x:v>0</x:v>
      </x:c>
    </x:row>
    <x:row r="60" ht="22" customHeight="1">
      <x:c r="A60" s="6"/>
      <x:c r="B60" s="7"/>
      <x:c r="C60" s="15"/>
      <x:c r="D60" s="15"/>
      <x:c r="E60" s="13"/>
      <x:c r="F60" s="13"/>
      <x:c r="G60" s="6"/>
      <x:c r="H60" s="6"/>
      <x:c r="I60" s="6"/>
      <x:c r="J60" s="6"/>
      <x:c r="K60" s="6"/>
      <x:c r="L60" s="5" t="str">
        <x:f>IF(A60="","",IF(B60="","Eksik tarih",B60-WEEKDAY(B60,2)+1))</x:f>
      </x:c>
      <x:c r="M60" s="2" t="str">
        <x:f>IF(A60="","",A60&amp;L60)</x:f>
      </x:c>
      <x:c r="N60" s="2" t="n">
        <x:f>IF(AND(A60='Panel'!$C$5,B60&lt;='Panel'!$N$5),B60,0)</x:f>
        <x:v>0</x:v>
      </x:c>
    </x:row>
    <x:row r="61" ht="22" customHeight="1">
      <x:c r="A61" s="6"/>
      <x:c r="B61" s="7"/>
      <x:c r="C61" s="15"/>
      <x:c r="D61" s="15"/>
      <x:c r="E61" s="13"/>
      <x:c r="F61" s="13"/>
      <x:c r="G61" s="6"/>
      <x:c r="H61" s="6"/>
      <x:c r="I61" s="6"/>
      <x:c r="J61" s="6"/>
      <x:c r="K61" s="6"/>
      <x:c r="L61" s="5" t="str">
        <x:f>IF(A61="","",IF(B61="","Eksik tarih",B61-WEEKDAY(B61,2)+1))</x:f>
      </x:c>
      <x:c r="M61" s="2" t="str">
        <x:f>IF(A61="","",A61&amp;L61)</x:f>
      </x:c>
      <x:c r="N61" s="2" t="n">
        <x:f>IF(AND(A61='Panel'!$C$5,B61&lt;='Panel'!$N$5),B61,0)</x:f>
        <x:v>0</x:v>
      </x:c>
    </x:row>
    <x:row r="62" ht="22" customHeight="1">
      <x:c r="A62" s="6"/>
      <x:c r="B62" s="7"/>
      <x:c r="C62" s="15"/>
      <x:c r="D62" s="15"/>
      <x:c r="E62" s="13"/>
      <x:c r="F62" s="13"/>
      <x:c r="G62" s="6"/>
      <x:c r="H62" s="6"/>
      <x:c r="I62" s="6"/>
      <x:c r="J62" s="6"/>
      <x:c r="K62" s="6"/>
      <x:c r="L62" s="5" t="str">
        <x:f>IF(A62="","",IF(B62="","Eksik tarih",B62-WEEKDAY(B62,2)+1))</x:f>
      </x:c>
      <x:c r="M62" s="2" t="str">
        <x:f>IF(A62="","",A62&amp;L62)</x:f>
      </x:c>
      <x:c r="N62" s="2" t="n">
        <x:f>IF(AND(A62='Panel'!$C$5,B62&lt;='Panel'!$N$5),B62,0)</x:f>
        <x:v>0</x:v>
      </x:c>
    </x:row>
    <x:row r="63" ht="22" customHeight="1">
      <x:c r="A63" s="6"/>
      <x:c r="B63" s="7"/>
      <x:c r="C63" s="15"/>
      <x:c r="D63" s="15"/>
      <x:c r="E63" s="13"/>
      <x:c r="F63" s="13"/>
      <x:c r="G63" s="6"/>
      <x:c r="H63" s="6"/>
      <x:c r="I63" s="6"/>
      <x:c r="J63" s="6"/>
      <x:c r="K63" s="6"/>
      <x:c r="L63" s="5" t="str">
        <x:f>IF(A63="","",IF(B63="","Eksik tarih",B63-WEEKDAY(B63,2)+1))</x:f>
      </x:c>
      <x:c r="M63" s="2" t="str">
        <x:f>IF(A63="","",A63&amp;L63)</x:f>
      </x:c>
      <x:c r="N63" s="2" t="n">
        <x:f>IF(AND(A63='Panel'!$C$5,B63&lt;='Panel'!$N$5),B63,0)</x:f>
        <x:v>0</x:v>
      </x:c>
    </x:row>
    <x:row r="64" ht="22" customHeight="1">
      <x:c r="A64" s="6"/>
      <x:c r="B64" s="7"/>
      <x:c r="C64" s="15"/>
      <x:c r="D64" s="15"/>
      <x:c r="E64" s="13"/>
      <x:c r="F64" s="13"/>
      <x:c r="G64" s="6"/>
      <x:c r="H64" s="6"/>
      <x:c r="I64" s="6"/>
      <x:c r="J64" s="6"/>
      <x:c r="K64" s="6"/>
      <x:c r="L64" s="5" t="str">
        <x:f>IF(A64="","",IF(B64="","Eksik tarih",B64-WEEKDAY(B64,2)+1))</x:f>
      </x:c>
      <x:c r="M64" s="2" t="str">
        <x:f>IF(A64="","",A64&amp;L64)</x:f>
      </x:c>
      <x:c r="N64" s="2" t="n">
        <x:f>IF(AND(A64='Panel'!$C$5,B64&lt;='Panel'!$N$5),B64,0)</x:f>
        <x:v>0</x:v>
      </x:c>
    </x:row>
    <x:row r="65" ht="22" customHeight="1">
      <x:c r="A65" s="6"/>
      <x:c r="B65" s="7"/>
      <x:c r="C65" s="15"/>
      <x:c r="D65" s="15"/>
      <x:c r="E65" s="13"/>
      <x:c r="F65" s="13"/>
      <x:c r="G65" s="6"/>
      <x:c r="H65" s="6"/>
      <x:c r="I65" s="6"/>
      <x:c r="J65" s="6"/>
      <x:c r="K65" s="6"/>
      <x:c r="L65" s="5" t="str">
        <x:f>IF(A65="","",IF(B65="","Eksik tarih",B65-WEEKDAY(B65,2)+1))</x:f>
      </x:c>
      <x:c r="M65" s="2" t="str">
        <x:f>IF(A65="","",A65&amp;L65)</x:f>
      </x:c>
      <x:c r="N65" s="2" t="n">
        <x:f>IF(AND(A65='Panel'!$C$5,B65&lt;='Panel'!$N$5),B65,0)</x:f>
        <x:v>0</x:v>
      </x:c>
    </x:row>
    <x:row r="66" ht="22" customHeight="1">
      <x:c r="A66" s="6"/>
      <x:c r="B66" s="7"/>
      <x:c r="C66" s="15"/>
      <x:c r="D66" s="15"/>
      <x:c r="E66" s="13"/>
      <x:c r="F66" s="13"/>
      <x:c r="G66" s="6"/>
      <x:c r="H66" s="6"/>
      <x:c r="I66" s="6"/>
      <x:c r="J66" s="6"/>
      <x:c r="K66" s="6"/>
      <x:c r="L66" s="5" t="str">
        <x:f>IF(A66="","",IF(B66="","Eksik tarih",B66-WEEKDAY(B66,2)+1))</x:f>
      </x:c>
      <x:c r="M66" s="2" t="str">
        <x:f>IF(A66="","",A66&amp;L66)</x:f>
      </x:c>
      <x:c r="N66" s="2" t="n">
        <x:f>IF(AND(A66='Panel'!$C$5,B66&lt;='Panel'!$N$5),B66,0)</x:f>
        <x:v>0</x:v>
      </x:c>
    </x:row>
    <x:row r="67" ht="22" customHeight="1">
      <x:c r="A67" s="6"/>
      <x:c r="B67" s="7"/>
      <x:c r="C67" s="15"/>
      <x:c r="D67" s="15"/>
      <x:c r="E67" s="13"/>
      <x:c r="F67" s="13"/>
      <x:c r="G67" s="6"/>
      <x:c r="H67" s="6"/>
      <x:c r="I67" s="6"/>
      <x:c r="J67" s="6"/>
      <x:c r="K67" s="6"/>
      <x:c r="L67" s="5" t="str">
        <x:f>IF(A67="","",IF(B67="","Eksik tarih",B67-WEEKDAY(B67,2)+1))</x:f>
      </x:c>
      <x:c r="M67" s="2" t="str">
        <x:f>IF(A67="","",A67&amp;L67)</x:f>
      </x:c>
      <x:c r="N67" s="2" t="n">
        <x:f>IF(AND(A67='Panel'!$C$5,B67&lt;='Panel'!$N$5),B67,0)</x:f>
        <x:v>0</x:v>
      </x:c>
    </x:row>
    <x:row r="68" ht="22" customHeight="1">
      <x:c r="A68" s="6"/>
      <x:c r="B68" s="7"/>
      <x:c r="C68" s="15"/>
      <x:c r="D68" s="15"/>
      <x:c r="E68" s="13"/>
      <x:c r="F68" s="13"/>
      <x:c r="G68" s="6"/>
      <x:c r="H68" s="6"/>
      <x:c r="I68" s="6"/>
      <x:c r="J68" s="6"/>
      <x:c r="K68" s="6"/>
      <x:c r="L68" s="5" t="str">
        <x:f>IF(A68="","",IF(B68="","Eksik tarih",B68-WEEKDAY(B68,2)+1))</x:f>
      </x:c>
      <x:c r="M68" s="2" t="str">
        <x:f>IF(A68="","",A68&amp;L68)</x:f>
      </x:c>
      <x:c r="N68" s="2" t="n">
        <x:f>IF(AND(A68='Panel'!$C$5,B68&lt;='Panel'!$N$5),B68,0)</x:f>
        <x:v>0</x:v>
      </x:c>
    </x:row>
    <x:row r="69" ht="22" customHeight="1">
      <x:c r="A69" s="6"/>
      <x:c r="B69" s="7"/>
      <x:c r="C69" s="15"/>
      <x:c r="D69" s="15"/>
      <x:c r="E69" s="13"/>
      <x:c r="F69" s="13"/>
      <x:c r="G69" s="6"/>
      <x:c r="H69" s="6"/>
      <x:c r="I69" s="6"/>
      <x:c r="J69" s="6"/>
      <x:c r="K69" s="6"/>
      <x:c r="L69" s="5" t="str">
        <x:f>IF(A69="","",IF(B69="","Eksik tarih",B69-WEEKDAY(B69,2)+1))</x:f>
      </x:c>
      <x:c r="M69" s="2" t="str">
        <x:f>IF(A69="","",A69&amp;L69)</x:f>
      </x:c>
      <x:c r="N69" s="2" t="n">
        <x:f>IF(AND(A69='Panel'!$C$5,B69&lt;='Panel'!$N$5),B69,0)</x:f>
        <x:v>0</x:v>
      </x:c>
    </x:row>
    <x:row r="70" ht="22" customHeight="1">
      <x:c r="A70" s="6"/>
      <x:c r="B70" s="7"/>
      <x:c r="C70" s="15"/>
      <x:c r="D70" s="15"/>
      <x:c r="E70" s="13"/>
      <x:c r="F70" s="13"/>
      <x:c r="G70" s="6"/>
      <x:c r="H70" s="6"/>
      <x:c r="I70" s="6"/>
      <x:c r="J70" s="6"/>
      <x:c r="K70" s="6"/>
      <x:c r="L70" s="5" t="str">
        <x:f>IF(A70="","",IF(B70="","Eksik tarih",B70-WEEKDAY(B70,2)+1))</x:f>
      </x:c>
      <x:c r="M70" s="2" t="str">
        <x:f>IF(A70="","",A70&amp;L70)</x:f>
      </x:c>
      <x:c r="N70" s="2" t="n">
        <x:f>IF(AND(A70='Panel'!$C$5,B70&lt;='Panel'!$N$5),B70,0)</x:f>
        <x:v>0</x:v>
      </x:c>
    </x:row>
    <x:row r="71" ht="22" customHeight="1">
      <x:c r="A71" s="6"/>
      <x:c r="B71" s="7"/>
      <x:c r="C71" s="15"/>
      <x:c r="D71" s="15"/>
      <x:c r="E71" s="13"/>
      <x:c r="F71" s="13"/>
      <x:c r="G71" s="6"/>
      <x:c r="H71" s="6"/>
      <x:c r="I71" s="6"/>
      <x:c r="J71" s="6"/>
      <x:c r="K71" s="6"/>
      <x:c r="L71" s="5" t="str">
        <x:f>IF(A71="","",IF(B71="","Eksik tarih",B71-WEEKDAY(B71,2)+1))</x:f>
      </x:c>
      <x:c r="M71" s="2" t="str">
        <x:f>IF(A71="","",A71&amp;L71)</x:f>
      </x:c>
      <x:c r="N71" s="2" t="n">
        <x:f>IF(AND(A71='Panel'!$C$5,B71&lt;='Panel'!$N$5),B71,0)</x:f>
        <x:v>0</x:v>
      </x:c>
    </x:row>
    <x:row r="72" ht="22" customHeight="1">
      <x:c r="A72" s="6"/>
      <x:c r="B72" s="7"/>
      <x:c r="C72" s="15"/>
      <x:c r="D72" s="15"/>
      <x:c r="E72" s="13"/>
      <x:c r="F72" s="13"/>
      <x:c r="G72" s="6"/>
      <x:c r="H72" s="6"/>
      <x:c r="I72" s="6"/>
      <x:c r="J72" s="6"/>
      <x:c r="K72" s="6"/>
      <x:c r="L72" s="5" t="str">
        <x:f>IF(A72="","",IF(B72="","Eksik tarih",B72-WEEKDAY(B72,2)+1))</x:f>
      </x:c>
      <x:c r="M72" s="2" t="str">
        <x:f>IF(A72="","",A72&amp;L72)</x:f>
      </x:c>
      <x:c r="N72" s="2" t="n">
        <x:f>IF(AND(A72='Panel'!$C$5,B72&lt;='Panel'!$N$5),B72,0)</x:f>
        <x:v>0</x:v>
      </x:c>
    </x:row>
    <x:row r="73" ht="22" customHeight="1">
      <x:c r="A73" s="6"/>
      <x:c r="B73" s="7"/>
      <x:c r="C73" s="15"/>
      <x:c r="D73" s="15"/>
      <x:c r="E73" s="13"/>
      <x:c r="F73" s="13"/>
      <x:c r="G73" s="6"/>
      <x:c r="H73" s="6"/>
      <x:c r="I73" s="6"/>
      <x:c r="J73" s="6"/>
      <x:c r="K73" s="6"/>
      <x:c r="L73" s="5" t="str">
        <x:f>IF(A73="","",IF(B73="","Eksik tarih",B73-WEEKDAY(B73,2)+1))</x:f>
      </x:c>
      <x:c r="M73" s="2" t="str">
        <x:f>IF(A73="","",A73&amp;L73)</x:f>
      </x:c>
      <x:c r="N73" s="2" t="n">
        <x:f>IF(AND(A73='Panel'!$C$5,B73&lt;='Panel'!$N$5),B73,0)</x:f>
        <x:v>0</x:v>
      </x:c>
    </x:row>
    <x:row r="74" ht="22" customHeight="1">
      <x:c r="A74" s="6"/>
      <x:c r="B74" s="7"/>
      <x:c r="C74" s="15"/>
      <x:c r="D74" s="15"/>
      <x:c r="E74" s="13"/>
      <x:c r="F74" s="13"/>
      <x:c r="G74" s="6"/>
      <x:c r="H74" s="6"/>
      <x:c r="I74" s="6"/>
      <x:c r="J74" s="6"/>
      <x:c r="K74" s="6"/>
      <x:c r="L74" s="5" t="str">
        <x:f>IF(A74="","",IF(B74="","Eksik tarih",B74-WEEKDAY(B74,2)+1))</x:f>
      </x:c>
      <x:c r="M74" s="2" t="str">
        <x:f>IF(A74="","",A74&amp;L74)</x:f>
      </x:c>
      <x:c r="N74" s="2" t="n">
        <x:f>IF(AND(A74='Panel'!$C$5,B74&lt;='Panel'!$N$5),B74,0)</x:f>
        <x:v>0</x:v>
      </x:c>
    </x:row>
    <x:row r="75" ht="22" customHeight="1">
      <x:c r="A75" s="6"/>
      <x:c r="B75" s="7"/>
      <x:c r="C75" s="15"/>
      <x:c r="D75" s="15"/>
      <x:c r="E75" s="13"/>
      <x:c r="F75" s="13"/>
      <x:c r="G75" s="6"/>
      <x:c r="H75" s="6"/>
      <x:c r="I75" s="6"/>
      <x:c r="J75" s="6"/>
      <x:c r="K75" s="6"/>
      <x:c r="L75" s="5" t="str">
        <x:f>IF(A75="","",IF(B75="","Eksik tarih",B75-WEEKDAY(B75,2)+1))</x:f>
      </x:c>
      <x:c r="M75" s="2" t="str">
        <x:f>IF(A75="","",A75&amp;L75)</x:f>
      </x:c>
      <x:c r="N75" s="2" t="n">
        <x:f>IF(AND(A75='Panel'!$C$5,B75&lt;='Panel'!$N$5),B75,0)</x:f>
        <x:v>0</x:v>
      </x:c>
    </x:row>
    <x:row r="76" ht="22" customHeight="1">
      <x:c r="A76" s="6"/>
      <x:c r="B76" s="7"/>
      <x:c r="C76" s="15"/>
      <x:c r="D76" s="15"/>
      <x:c r="E76" s="13"/>
      <x:c r="F76" s="13"/>
      <x:c r="G76" s="6"/>
      <x:c r="H76" s="6"/>
      <x:c r="I76" s="6"/>
      <x:c r="J76" s="6"/>
      <x:c r="K76" s="6"/>
      <x:c r="L76" s="5" t="str">
        <x:f>IF(A76="","",IF(B76="","Eksik tarih",B76-WEEKDAY(B76,2)+1))</x:f>
      </x:c>
      <x:c r="M76" s="2" t="str">
        <x:f>IF(A76="","",A76&amp;L76)</x:f>
      </x:c>
      <x:c r="N76" s="2" t="n">
        <x:f>IF(AND(A76='Panel'!$C$5,B76&lt;='Panel'!$N$5),B76,0)</x:f>
        <x:v>0</x:v>
      </x:c>
    </x:row>
    <x:row r="77" ht="22" customHeight="1">
      <x:c r="A77" s="6"/>
      <x:c r="B77" s="7"/>
      <x:c r="C77" s="15"/>
      <x:c r="D77" s="15"/>
      <x:c r="E77" s="13"/>
      <x:c r="F77" s="13"/>
      <x:c r="G77" s="6"/>
      <x:c r="H77" s="6"/>
      <x:c r="I77" s="6"/>
      <x:c r="J77" s="6"/>
      <x:c r="K77" s="6"/>
      <x:c r="L77" s="5" t="str">
        <x:f>IF(A77="","",IF(B77="","Eksik tarih",B77-WEEKDAY(B77,2)+1))</x:f>
      </x:c>
      <x:c r="M77" s="2" t="str">
        <x:f>IF(A77="","",A77&amp;L77)</x:f>
      </x:c>
      <x:c r="N77" s="2" t="n">
        <x:f>IF(AND(A77='Panel'!$C$5,B77&lt;='Panel'!$N$5),B77,0)</x:f>
        <x:v>0</x:v>
      </x:c>
    </x:row>
    <x:row r="78" ht="22" customHeight="1">
      <x:c r="A78" s="6"/>
      <x:c r="B78" s="7"/>
      <x:c r="C78" s="15"/>
      <x:c r="D78" s="15"/>
      <x:c r="E78" s="13"/>
      <x:c r="F78" s="13"/>
      <x:c r="G78" s="6"/>
      <x:c r="H78" s="6"/>
      <x:c r="I78" s="6"/>
      <x:c r="J78" s="6"/>
      <x:c r="K78" s="6"/>
      <x:c r="L78" s="5" t="str">
        <x:f>IF(A78="","",IF(B78="","Eksik tarih",B78-WEEKDAY(B78,2)+1))</x:f>
      </x:c>
      <x:c r="M78" s="2" t="str">
        <x:f>IF(A78="","",A78&amp;L78)</x:f>
      </x:c>
      <x:c r="N78" s="2" t="n">
        <x:f>IF(AND(A78='Panel'!$C$5,B78&lt;='Panel'!$N$5),B78,0)</x:f>
        <x:v>0</x:v>
      </x:c>
    </x:row>
    <x:row r="79" ht="22" customHeight="1">
      <x:c r="A79" s="6"/>
      <x:c r="B79" s="7"/>
      <x:c r="C79" s="15"/>
      <x:c r="D79" s="15"/>
      <x:c r="E79" s="13"/>
      <x:c r="F79" s="13"/>
      <x:c r="G79" s="6"/>
      <x:c r="H79" s="6"/>
      <x:c r="I79" s="6"/>
      <x:c r="J79" s="6"/>
      <x:c r="K79" s="6"/>
      <x:c r="L79" s="5" t="str">
        <x:f>IF(A79="","",IF(B79="","Eksik tarih",B79-WEEKDAY(B79,2)+1))</x:f>
      </x:c>
      <x:c r="M79" s="2" t="str">
        <x:f>IF(A79="","",A79&amp;L79)</x:f>
      </x:c>
      <x:c r="N79" s="2" t="n">
        <x:f>IF(AND(A79='Panel'!$C$5,B79&lt;='Panel'!$N$5),B79,0)</x:f>
        <x:v>0</x:v>
      </x:c>
    </x:row>
    <x:row r="80" ht="22" customHeight="1">
      <x:c r="A80" s="6"/>
      <x:c r="B80" s="7"/>
      <x:c r="C80" s="15"/>
      <x:c r="D80" s="15"/>
      <x:c r="E80" s="13"/>
      <x:c r="F80" s="13"/>
      <x:c r="G80" s="6"/>
      <x:c r="H80" s="6"/>
      <x:c r="I80" s="6"/>
      <x:c r="J80" s="6"/>
      <x:c r="K80" s="6"/>
      <x:c r="L80" s="5" t="str">
        <x:f>IF(A80="","",IF(B80="","Eksik tarih",B80-WEEKDAY(B80,2)+1))</x:f>
      </x:c>
      <x:c r="M80" s="2" t="str">
        <x:f>IF(A80="","",A80&amp;L80)</x:f>
      </x:c>
      <x:c r="N80" s="2" t="n">
        <x:f>IF(AND(A80='Panel'!$C$5,B80&lt;='Panel'!$N$5),B80,0)</x:f>
        <x:v>0</x:v>
      </x:c>
    </x:row>
    <x:row r="81" ht="22" customHeight="1">
      <x:c r="A81" s="6"/>
      <x:c r="B81" s="7"/>
      <x:c r="C81" s="15"/>
      <x:c r="D81" s="15"/>
      <x:c r="E81" s="13"/>
      <x:c r="F81" s="13"/>
      <x:c r="G81" s="6"/>
      <x:c r="H81" s="6"/>
      <x:c r="I81" s="6"/>
      <x:c r="J81" s="6"/>
      <x:c r="K81" s="6"/>
      <x:c r="L81" s="5" t="str">
        <x:f>IF(A81="","",IF(B81="","Eksik tarih",B81-WEEKDAY(B81,2)+1))</x:f>
      </x:c>
      <x:c r="M81" s="2" t="str">
        <x:f>IF(A81="","",A81&amp;L81)</x:f>
      </x:c>
      <x:c r="N81" s="2" t="n">
        <x:f>IF(AND(A81='Panel'!$C$5,B81&lt;='Panel'!$N$5),B81,0)</x:f>
        <x:v>0</x:v>
      </x:c>
    </x:row>
    <x:row r="82" ht="22" customHeight="1">
      <x:c r="A82" s="6"/>
      <x:c r="B82" s="7"/>
      <x:c r="C82" s="15"/>
      <x:c r="D82" s="15"/>
      <x:c r="E82" s="13"/>
      <x:c r="F82" s="13"/>
      <x:c r="G82" s="6"/>
      <x:c r="H82" s="6"/>
      <x:c r="I82" s="6"/>
      <x:c r="J82" s="6"/>
      <x:c r="K82" s="6"/>
      <x:c r="L82" s="5" t="str">
        <x:f>IF(A82="","",IF(B82="","Eksik tarih",B82-WEEKDAY(B82,2)+1))</x:f>
      </x:c>
      <x:c r="M82" s="2" t="str">
        <x:f>IF(A82="","",A82&amp;L82)</x:f>
      </x:c>
      <x:c r="N82" s="2" t="n">
        <x:f>IF(AND(A82='Panel'!$C$5,B82&lt;='Panel'!$N$5),B82,0)</x:f>
        <x:v>0</x:v>
      </x:c>
    </x:row>
    <x:row r="83" ht="22" customHeight="1">
      <x:c r="A83" s="6"/>
      <x:c r="B83" s="7"/>
      <x:c r="C83" s="15"/>
      <x:c r="D83" s="15"/>
      <x:c r="E83" s="13"/>
      <x:c r="F83" s="13"/>
      <x:c r="G83" s="6"/>
      <x:c r="H83" s="6"/>
      <x:c r="I83" s="6"/>
      <x:c r="J83" s="6"/>
      <x:c r="K83" s="6"/>
      <x:c r="L83" s="5" t="str">
        <x:f>IF(A83="","",IF(B83="","Eksik tarih",B83-WEEKDAY(B83,2)+1))</x:f>
      </x:c>
      <x:c r="M83" s="2" t="str">
        <x:f>IF(A83="","",A83&amp;L83)</x:f>
      </x:c>
      <x:c r="N83" s="2" t="n">
        <x:f>IF(AND(A83='Panel'!$C$5,B83&lt;='Panel'!$N$5),B83,0)</x:f>
        <x:v>0</x:v>
      </x:c>
    </x:row>
    <x:row r="84" ht="22" customHeight="1">
      <x:c r="A84" s="6"/>
      <x:c r="B84" s="7"/>
      <x:c r="C84" s="15"/>
      <x:c r="D84" s="15"/>
      <x:c r="E84" s="13"/>
      <x:c r="F84" s="13"/>
      <x:c r="G84" s="6"/>
      <x:c r="H84" s="6"/>
      <x:c r="I84" s="6"/>
      <x:c r="J84" s="6"/>
      <x:c r="K84" s="6"/>
      <x:c r="L84" s="5" t="str">
        <x:f>IF(A84="","",IF(B84="","Eksik tarih",B84-WEEKDAY(B84,2)+1))</x:f>
      </x:c>
      <x:c r="M84" s="2" t="str">
        <x:f>IF(A84="","",A84&amp;L84)</x:f>
      </x:c>
      <x:c r="N84" s="2" t="n">
        <x:f>IF(AND(A84='Panel'!$C$5,B84&lt;='Panel'!$N$5),B84,0)</x:f>
        <x:v>0</x:v>
      </x:c>
    </x:row>
    <x:row r="85" ht="22" customHeight="1">
      <x:c r="A85" s="6"/>
      <x:c r="B85" s="7"/>
      <x:c r="C85" s="15"/>
      <x:c r="D85" s="15"/>
      <x:c r="E85" s="13"/>
      <x:c r="F85" s="13"/>
      <x:c r="G85" s="6"/>
      <x:c r="H85" s="6"/>
      <x:c r="I85" s="6"/>
      <x:c r="J85" s="6"/>
      <x:c r="K85" s="6"/>
      <x:c r="L85" s="5" t="str">
        <x:f>IF(A85="","",IF(B85="","Eksik tarih",B85-WEEKDAY(B85,2)+1))</x:f>
      </x:c>
      <x:c r="M85" s="2" t="str">
        <x:f>IF(A85="","",A85&amp;L85)</x:f>
      </x:c>
      <x:c r="N85" s="2" t="n">
        <x:f>IF(AND(A85='Panel'!$C$5,B85&lt;='Panel'!$N$5),B85,0)</x:f>
        <x:v>0</x:v>
      </x:c>
    </x:row>
    <x:row r="86" ht="22" customHeight="1">
      <x:c r="A86" s="6"/>
      <x:c r="B86" s="7"/>
      <x:c r="C86" s="15"/>
      <x:c r="D86" s="15"/>
      <x:c r="E86" s="13"/>
      <x:c r="F86" s="13"/>
      <x:c r="G86" s="6"/>
      <x:c r="H86" s="6"/>
      <x:c r="I86" s="6"/>
      <x:c r="J86" s="6"/>
      <x:c r="K86" s="6"/>
      <x:c r="L86" s="5" t="str">
        <x:f>IF(A86="","",IF(B86="","Eksik tarih",B86-WEEKDAY(B86,2)+1))</x:f>
      </x:c>
      <x:c r="M86" s="2" t="str">
        <x:f>IF(A86="","",A86&amp;L86)</x:f>
      </x:c>
      <x:c r="N86" s="2" t="n">
        <x:f>IF(AND(A86='Panel'!$C$5,B86&lt;='Panel'!$N$5),B86,0)</x:f>
        <x:v>0</x:v>
      </x:c>
    </x:row>
    <x:row r="87" ht="22" customHeight="1">
      <x:c r="A87" s="6"/>
      <x:c r="B87" s="7"/>
      <x:c r="C87" s="15"/>
      <x:c r="D87" s="15"/>
      <x:c r="E87" s="13"/>
      <x:c r="F87" s="13"/>
      <x:c r="G87" s="6"/>
      <x:c r="H87" s="6"/>
      <x:c r="I87" s="6"/>
      <x:c r="J87" s="6"/>
      <x:c r="K87" s="6"/>
      <x:c r="L87" s="5" t="str">
        <x:f>IF(A87="","",IF(B87="","Eksik tarih",B87-WEEKDAY(B87,2)+1))</x:f>
      </x:c>
      <x:c r="M87" s="2" t="str">
        <x:f>IF(A87="","",A87&amp;L87)</x:f>
      </x:c>
      <x:c r="N87" s="2" t="n">
        <x:f>IF(AND(A87='Panel'!$C$5,B87&lt;='Panel'!$N$5),B87,0)</x:f>
        <x:v>0</x:v>
      </x:c>
    </x:row>
    <x:row r="88" ht="22" customHeight="1">
      <x:c r="A88" s="6"/>
      <x:c r="B88" s="7"/>
      <x:c r="C88" s="15"/>
      <x:c r="D88" s="15"/>
      <x:c r="E88" s="13"/>
      <x:c r="F88" s="13"/>
      <x:c r="G88" s="6"/>
      <x:c r="H88" s="6"/>
      <x:c r="I88" s="6"/>
      <x:c r="J88" s="6"/>
      <x:c r="K88" s="6"/>
      <x:c r="L88" s="5" t="str">
        <x:f>IF(A88="","",IF(B88="","Eksik tarih",B88-WEEKDAY(B88,2)+1))</x:f>
      </x:c>
      <x:c r="M88" s="2" t="str">
        <x:f>IF(A88="","",A88&amp;L88)</x:f>
      </x:c>
      <x:c r="N88" s="2" t="n">
        <x:f>IF(AND(A88='Panel'!$C$5,B88&lt;='Panel'!$N$5),B88,0)</x:f>
        <x:v>0</x:v>
      </x:c>
    </x:row>
    <x:row r="89" ht="22" customHeight="1">
      <x:c r="A89" s="6"/>
      <x:c r="B89" s="7"/>
      <x:c r="C89" s="15"/>
      <x:c r="D89" s="15"/>
      <x:c r="E89" s="13"/>
      <x:c r="F89" s="13"/>
      <x:c r="G89" s="6"/>
      <x:c r="H89" s="6"/>
      <x:c r="I89" s="6"/>
      <x:c r="J89" s="6"/>
      <x:c r="K89" s="6"/>
      <x:c r="L89" s="5" t="str">
        <x:f>IF(A89="","",IF(B89="","Eksik tarih",B89-WEEKDAY(B89,2)+1))</x:f>
      </x:c>
      <x:c r="M89" s="2" t="str">
        <x:f>IF(A89="","",A89&amp;L89)</x:f>
      </x:c>
      <x:c r="N89" s="2" t="n">
        <x:f>IF(AND(A89='Panel'!$C$5,B89&lt;='Panel'!$N$5),B89,0)</x:f>
        <x:v>0</x:v>
      </x:c>
    </x:row>
    <x:row r="90" ht="22" customHeight="1">
      <x:c r="A90" s="6"/>
      <x:c r="B90" s="7"/>
      <x:c r="C90" s="15"/>
      <x:c r="D90" s="15"/>
      <x:c r="E90" s="13"/>
      <x:c r="F90" s="13"/>
      <x:c r="G90" s="6"/>
      <x:c r="H90" s="6"/>
      <x:c r="I90" s="6"/>
      <x:c r="J90" s="6"/>
      <x:c r="K90" s="6"/>
      <x:c r="L90" s="5" t="str">
        <x:f>IF(A90="","",IF(B90="","Eksik tarih",B90-WEEKDAY(B90,2)+1))</x:f>
      </x:c>
      <x:c r="M90" s="2" t="str">
        <x:f>IF(A90="","",A90&amp;L90)</x:f>
      </x:c>
      <x:c r="N90" s="2" t="n">
        <x:f>IF(AND(A90='Panel'!$C$5,B90&lt;='Panel'!$N$5),B90,0)</x:f>
        <x:v>0</x:v>
      </x:c>
    </x:row>
    <x:row r="91" ht="22" customHeight="1">
      <x:c r="A91" s="6"/>
      <x:c r="B91" s="7"/>
      <x:c r="C91" s="15"/>
      <x:c r="D91" s="15"/>
      <x:c r="E91" s="13"/>
      <x:c r="F91" s="13"/>
      <x:c r="G91" s="6"/>
      <x:c r="H91" s="6"/>
      <x:c r="I91" s="6"/>
      <x:c r="J91" s="6"/>
      <x:c r="K91" s="6"/>
      <x:c r="L91" s="5" t="str">
        <x:f>IF(A91="","",IF(B91="","Eksik tarih",B91-WEEKDAY(B91,2)+1))</x:f>
      </x:c>
      <x:c r="M91" s="2" t="str">
        <x:f>IF(A91="","",A91&amp;L91)</x:f>
      </x:c>
      <x:c r="N91" s="2" t="n">
        <x:f>IF(AND(A91='Panel'!$C$5,B91&lt;='Panel'!$N$5),B91,0)</x:f>
        <x:v>0</x:v>
      </x:c>
    </x:row>
    <x:row r="92" ht="22" customHeight="1">
      <x:c r="A92" s="6"/>
      <x:c r="B92" s="7"/>
      <x:c r="C92" s="15"/>
      <x:c r="D92" s="15"/>
      <x:c r="E92" s="13"/>
      <x:c r="F92" s="13"/>
      <x:c r="G92" s="6"/>
      <x:c r="H92" s="6"/>
      <x:c r="I92" s="6"/>
      <x:c r="J92" s="6"/>
      <x:c r="K92" s="6"/>
      <x:c r="L92" s="5" t="str">
        <x:f>IF(A92="","",IF(B92="","Eksik tarih",B92-WEEKDAY(B92,2)+1))</x:f>
      </x:c>
      <x:c r="M92" s="2" t="str">
        <x:f>IF(A92="","",A92&amp;L92)</x:f>
      </x:c>
      <x:c r="N92" s="2" t="n">
        <x:f>IF(AND(A92='Panel'!$C$5,B92&lt;='Panel'!$N$5),B92,0)</x:f>
        <x:v>0</x:v>
      </x:c>
    </x:row>
    <x:row r="93" ht="22" customHeight="1">
      <x:c r="A93" s="6"/>
      <x:c r="B93" s="7"/>
      <x:c r="C93" s="15"/>
      <x:c r="D93" s="15"/>
      <x:c r="E93" s="13"/>
      <x:c r="F93" s="13"/>
      <x:c r="G93" s="6"/>
      <x:c r="H93" s="6"/>
      <x:c r="I93" s="6"/>
      <x:c r="J93" s="6"/>
      <x:c r="K93" s="6"/>
      <x:c r="L93" s="5" t="str">
        <x:f>IF(A93="","",IF(B93="","Eksik tarih",B93-WEEKDAY(B93,2)+1))</x:f>
      </x:c>
      <x:c r="M93" s="2" t="str">
        <x:f>IF(A93="","",A93&amp;L93)</x:f>
      </x:c>
      <x:c r="N93" s="2" t="n">
        <x:f>IF(AND(A93='Panel'!$C$5,B93&lt;='Panel'!$N$5),B93,0)</x:f>
        <x:v>0</x:v>
      </x:c>
    </x:row>
    <x:row r="94" ht="22" customHeight="1">
      <x:c r="A94" s="6"/>
      <x:c r="B94" s="7"/>
      <x:c r="C94" s="15"/>
      <x:c r="D94" s="15"/>
      <x:c r="E94" s="13"/>
      <x:c r="F94" s="13"/>
      <x:c r="G94" s="6"/>
      <x:c r="H94" s="6"/>
      <x:c r="I94" s="6"/>
      <x:c r="J94" s="6"/>
      <x:c r="K94" s="6"/>
      <x:c r="L94" s="5" t="str">
        <x:f>IF(A94="","",IF(B94="","Eksik tarih",B94-WEEKDAY(B94,2)+1))</x:f>
      </x:c>
      <x:c r="M94" s="2" t="str">
        <x:f>IF(A94="","",A94&amp;L94)</x:f>
      </x:c>
      <x:c r="N94" s="2" t="n">
        <x:f>IF(AND(A94='Panel'!$C$5,B94&lt;='Panel'!$N$5),B94,0)</x:f>
        <x:v>0</x:v>
      </x:c>
    </x:row>
    <x:row r="95" ht="22" customHeight="1">
      <x:c r="A95" s="6"/>
      <x:c r="B95" s="7"/>
      <x:c r="C95" s="15"/>
      <x:c r="D95" s="15"/>
      <x:c r="E95" s="13"/>
      <x:c r="F95" s="13"/>
      <x:c r="G95" s="6"/>
      <x:c r="H95" s="6"/>
      <x:c r="I95" s="6"/>
      <x:c r="J95" s="6"/>
      <x:c r="K95" s="6"/>
      <x:c r="L95" s="5" t="str">
        <x:f>IF(A95="","",IF(B95="","Eksik tarih",B95-WEEKDAY(B95,2)+1))</x:f>
      </x:c>
      <x:c r="M95" s="2" t="str">
        <x:f>IF(A95="","",A95&amp;L95)</x:f>
      </x:c>
      <x:c r="N95" s="2" t="n">
        <x:f>IF(AND(A95='Panel'!$C$5,B95&lt;='Panel'!$N$5),B95,0)</x:f>
        <x:v>0</x:v>
      </x:c>
    </x:row>
    <x:row r="96" ht="22" customHeight="1">
      <x:c r="A96" s="6"/>
      <x:c r="B96" s="7"/>
      <x:c r="C96" s="15"/>
      <x:c r="D96" s="15"/>
      <x:c r="E96" s="13"/>
      <x:c r="F96" s="13"/>
      <x:c r="G96" s="6"/>
      <x:c r="H96" s="6"/>
      <x:c r="I96" s="6"/>
      <x:c r="J96" s="6"/>
      <x:c r="K96" s="6"/>
      <x:c r="L96" s="5" t="str">
        <x:f>IF(A96="","",IF(B96="","Eksik tarih",B96-WEEKDAY(B96,2)+1))</x:f>
      </x:c>
      <x:c r="M96" s="2" t="str">
        <x:f>IF(A96="","",A96&amp;L96)</x:f>
      </x:c>
      <x:c r="N96" s="2" t="n">
        <x:f>IF(AND(A96='Panel'!$C$5,B96&lt;='Panel'!$N$5),B96,0)</x:f>
        <x:v>0</x:v>
      </x:c>
    </x:row>
    <x:row r="97" ht="22" customHeight="1">
      <x:c r="A97" s="6"/>
      <x:c r="B97" s="7"/>
      <x:c r="C97" s="15"/>
      <x:c r="D97" s="15"/>
      <x:c r="E97" s="13"/>
      <x:c r="F97" s="13"/>
      <x:c r="G97" s="6"/>
      <x:c r="H97" s="6"/>
      <x:c r="I97" s="6"/>
      <x:c r="J97" s="6"/>
      <x:c r="K97" s="6"/>
      <x:c r="L97" s="5" t="str">
        <x:f>IF(A97="","",IF(B97="","Eksik tarih",B97-WEEKDAY(B97,2)+1))</x:f>
      </x:c>
      <x:c r="M97" s="2" t="str">
        <x:f>IF(A97="","",A97&amp;L97)</x:f>
      </x:c>
      <x:c r="N97" s="2" t="n">
        <x:f>IF(AND(A97='Panel'!$C$5,B97&lt;='Panel'!$N$5),B97,0)</x:f>
        <x:v>0</x:v>
      </x:c>
    </x:row>
    <x:row r="98" ht="22" customHeight="1">
      <x:c r="A98" s="6"/>
      <x:c r="B98" s="7"/>
      <x:c r="C98" s="15"/>
      <x:c r="D98" s="15"/>
      <x:c r="E98" s="13"/>
      <x:c r="F98" s="13"/>
      <x:c r="G98" s="6"/>
      <x:c r="H98" s="6"/>
      <x:c r="I98" s="6"/>
      <x:c r="J98" s="6"/>
      <x:c r="K98" s="6"/>
      <x:c r="L98" s="5" t="str">
        <x:f>IF(A98="","",IF(B98="","Eksik tarih",B98-WEEKDAY(B98,2)+1))</x:f>
      </x:c>
      <x:c r="M98" s="2" t="str">
        <x:f>IF(A98="","",A98&amp;L98)</x:f>
      </x:c>
      <x:c r="N98" s="2" t="n">
        <x:f>IF(AND(A98='Panel'!$C$5,B98&lt;='Panel'!$N$5),B98,0)</x:f>
        <x:v>0</x:v>
      </x:c>
    </x:row>
    <x:row r="99" ht="22" customHeight="1">
      <x:c r="A99" s="6"/>
      <x:c r="B99" s="7"/>
      <x:c r="C99" s="15"/>
      <x:c r="D99" s="15"/>
      <x:c r="E99" s="13"/>
      <x:c r="F99" s="13"/>
      <x:c r="G99" s="6"/>
      <x:c r="H99" s="6"/>
      <x:c r="I99" s="6"/>
      <x:c r="J99" s="6"/>
      <x:c r="K99" s="6"/>
      <x:c r="L99" s="5" t="str">
        <x:f>IF(A99="","",IF(B99="","Eksik tarih",B99-WEEKDAY(B99,2)+1))</x:f>
      </x:c>
      <x:c r="M99" s="2" t="str">
        <x:f>IF(A99="","",A99&amp;L99)</x:f>
      </x:c>
      <x:c r="N99" s="2" t="n">
        <x:f>IF(AND(A99='Panel'!$C$5,B99&lt;='Panel'!$N$5),B99,0)</x:f>
        <x:v>0</x:v>
      </x:c>
    </x:row>
    <x:row r="100" ht="22" customHeight="1">
      <x:c r="A100" s="6"/>
      <x:c r="B100" s="7"/>
      <x:c r="C100" s="15"/>
      <x:c r="D100" s="15"/>
      <x:c r="E100" s="13"/>
      <x:c r="F100" s="13"/>
      <x:c r="G100" s="6"/>
      <x:c r="H100" s="6"/>
      <x:c r="I100" s="6"/>
      <x:c r="J100" s="6"/>
      <x:c r="K100" s="6"/>
      <x:c r="L100" s="5" t="str">
        <x:f>IF(A100="","",IF(B100="","Eksik tarih",B100-WEEKDAY(B100,2)+1))</x:f>
      </x:c>
      <x:c r="M100" s="2" t="str">
        <x:f>IF(A100="","",A100&amp;L100)</x:f>
      </x:c>
      <x:c r="N100" s="2" t="n">
        <x:f>IF(AND(A100='Panel'!$C$5,B100&lt;='Panel'!$N$5),B100,0)</x:f>
        <x:v>0</x:v>
      </x:c>
    </x:row>
    <x:row r="101" ht="22" customHeight="1">
      <x:c r="A101" s="6"/>
      <x:c r="B101" s="7"/>
      <x:c r="C101" s="15"/>
      <x:c r="D101" s="15"/>
      <x:c r="E101" s="13"/>
      <x:c r="F101" s="13"/>
      <x:c r="G101" s="6"/>
      <x:c r="H101" s="6"/>
      <x:c r="I101" s="6"/>
      <x:c r="J101" s="6"/>
      <x:c r="K101" s="6"/>
      <x:c r="L101" s="5" t="str">
        <x:f>IF(A101="","",IF(B101="","Eksik tarih",B101-WEEKDAY(B101,2)+1))</x:f>
      </x:c>
      <x:c r="M101" s="2" t="str">
        <x:f>IF(A101="","",A101&amp;L101)</x:f>
      </x:c>
      <x:c r="N101" s="2" t="n">
        <x:f>IF(AND(A101='Panel'!$C$5,B101&lt;='Panel'!$N$5),B101,0)</x:f>
        <x:v>0</x:v>
      </x:c>
    </x:row>
    <x:row r="102" ht="22" customHeight="1">
      <x:c r="A102" s="6"/>
      <x:c r="B102" s="7"/>
      <x:c r="C102" s="15"/>
      <x:c r="D102" s="15"/>
      <x:c r="E102" s="13"/>
      <x:c r="F102" s="13"/>
      <x:c r="G102" s="6"/>
      <x:c r="H102" s="6"/>
      <x:c r="I102" s="6"/>
      <x:c r="J102" s="6"/>
      <x:c r="K102" s="6"/>
      <x:c r="L102" s="5" t="str">
        <x:f>IF(A102="","",IF(B102="","Eksik tarih",B102-WEEKDAY(B102,2)+1))</x:f>
      </x:c>
      <x:c r="M102" s="2" t="str">
        <x:f>IF(A102="","",A102&amp;L102)</x:f>
      </x:c>
      <x:c r="N102" s="2" t="n">
        <x:f>IF(AND(A102='Panel'!$C$5,B102&lt;='Panel'!$N$5),B102,0)</x:f>
        <x:v>0</x:v>
      </x:c>
    </x:row>
    <x:row r="103" ht="22" customHeight="1">
      <x:c r="A103" s="6"/>
      <x:c r="B103" s="7"/>
      <x:c r="C103" s="15"/>
      <x:c r="D103" s="15"/>
      <x:c r="E103" s="13"/>
      <x:c r="F103" s="13"/>
      <x:c r="G103" s="6"/>
      <x:c r="H103" s="6"/>
      <x:c r="I103" s="6"/>
      <x:c r="J103" s="6"/>
      <x:c r="K103" s="6"/>
      <x:c r="L103" s="5" t="str">
        <x:f>IF(A103="","",IF(B103="","Eksik tarih",B103-WEEKDAY(B103,2)+1))</x:f>
      </x:c>
      <x:c r="M103" s="2" t="str">
        <x:f>IF(A103="","",A103&amp;L103)</x:f>
      </x:c>
      <x:c r="N103" s="2" t="n">
        <x:f>IF(AND(A103='Panel'!$C$5,B103&lt;='Panel'!$N$5),B103,0)</x:f>
        <x:v>0</x:v>
      </x:c>
    </x:row>
    <x:row r="104" ht="22" customHeight="1">
      <x:c r="A104" s="6"/>
      <x:c r="B104" s="7"/>
      <x:c r="C104" s="15"/>
      <x:c r="D104" s="15"/>
      <x:c r="E104" s="13"/>
      <x:c r="F104" s="13"/>
      <x:c r="G104" s="6"/>
      <x:c r="H104" s="6"/>
      <x:c r="I104" s="6"/>
      <x:c r="J104" s="6"/>
      <x:c r="K104" s="6"/>
      <x:c r="L104" s="5" t="str">
        <x:f>IF(A104="","",IF(B104="","Eksik tarih",B104-WEEKDAY(B104,2)+1))</x:f>
      </x:c>
      <x:c r="M104" s="2" t="str">
        <x:f>IF(A104="","",A104&amp;L104)</x:f>
      </x:c>
      <x:c r="N104" s="2" t="n">
        <x:f>IF(AND(A104='Panel'!$C$5,B104&lt;='Panel'!$N$5),B104,0)</x:f>
        <x:v>0</x:v>
      </x:c>
    </x:row>
    <x:row r="105" ht="22" customHeight="1">
      <x:c r="A105" s="6"/>
      <x:c r="B105" s="7"/>
      <x:c r="C105" s="15"/>
      <x:c r="D105" s="15"/>
      <x:c r="E105" s="13"/>
      <x:c r="F105" s="13"/>
      <x:c r="G105" s="6"/>
      <x:c r="H105" s="6"/>
      <x:c r="I105" s="6"/>
      <x:c r="J105" s="6"/>
      <x:c r="K105" s="6"/>
      <x:c r="L105" s="5" t="str">
        <x:f>IF(A105="","",IF(B105="","Eksik tarih",B105-WEEKDAY(B105,2)+1))</x:f>
      </x:c>
      <x:c r="M105" s="2" t="str">
        <x:f>IF(A105="","",A105&amp;L105)</x:f>
      </x:c>
      <x:c r="N105" s="2" t="n">
        <x:f>IF(AND(A105='Panel'!$C$5,B105&lt;='Panel'!$N$5),B105,0)</x:f>
        <x:v>0</x:v>
      </x:c>
    </x:row>
    <x:row r="106" ht="22" customHeight="1">
      <x:c r="A106" s="6"/>
      <x:c r="B106" s="7"/>
      <x:c r="C106" s="15"/>
      <x:c r="D106" s="15"/>
      <x:c r="E106" s="13"/>
      <x:c r="F106" s="13"/>
      <x:c r="G106" s="6"/>
      <x:c r="H106" s="6"/>
      <x:c r="I106" s="6"/>
      <x:c r="J106" s="6"/>
      <x:c r="K106" s="6"/>
      <x:c r="L106" s="5" t="str">
        <x:f>IF(A106="","",IF(B106="","Eksik tarih",B106-WEEKDAY(B106,2)+1))</x:f>
      </x:c>
      <x:c r="M106" s="2" t="str">
        <x:f>IF(A106="","",A106&amp;L106)</x:f>
      </x:c>
      <x:c r="N106" s="2" t="n">
        <x:f>IF(AND(A106='Panel'!$C$5,B106&lt;='Panel'!$N$5),B106,0)</x:f>
        <x:v>0</x:v>
      </x:c>
    </x:row>
    <x:row r="107" ht="22" customHeight="1">
      <x:c r="A107" s="6"/>
      <x:c r="B107" s="7"/>
      <x:c r="C107" s="15"/>
      <x:c r="D107" s="15"/>
      <x:c r="E107" s="13"/>
      <x:c r="F107" s="13"/>
      <x:c r="G107" s="6"/>
      <x:c r="H107" s="6"/>
      <x:c r="I107" s="6"/>
      <x:c r="J107" s="6"/>
      <x:c r="K107" s="6"/>
      <x:c r="L107" s="5" t="str">
        <x:f>IF(A107="","",IF(B107="","Eksik tarih",B107-WEEKDAY(B107,2)+1))</x:f>
      </x:c>
      <x:c r="M107" s="2" t="str">
        <x:f>IF(A107="","",A107&amp;L107)</x:f>
      </x:c>
      <x:c r="N107" s="2" t="n">
        <x:f>IF(AND(A107='Panel'!$C$5,B107&lt;='Panel'!$N$5),B107,0)</x:f>
        <x:v>0</x:v>
      </x:c>
    </x:row>
    <x:row r="108" ht="22" customHeight="1">
      <x:c r="A108" s="6"/>
      <x:c r="B108" s="7"/>
      <x:c r="C108" s="15"/>
      <x:c r="D108" s="15"/>
      <x:c r="E108" s="13"/>
      <x:c r="F108" s="13"/>
      <x:c r="G108" s="6"/>
      <x:c r="H108" s="6"/>
      <x:c r="I108" s="6"/>
      <x:c r="J108" s="6"/>
      <x:c r="K108" s="6"/>
      <x:c r="L108" s="5" t="str">
        <x:f>IF(A108="","",IF(B108="","Eksik tarih",B108-WEEKDAY(B108,2)+1))</x:f>
      </x:c>
      <x:c r="M108" s="2" t="str">
        <x:f>IF(A108="","",A108&amp;L108)</x:f>
      </x:c>
      <x:c r="N108" s="2" t="n">
        <x:f>IF(AND(A108='Panel'!$C$5,B108&lt;='Panel'!$N$5),B108,0)</x:f>
        <x:v>0</x:v>
      </x:c>
    </x:row>
    <x:row r="109" ht="22" customHeight="1">
      <x:c r="A109" s="6"/>
      <x:c r="B109" s="7"/>
      <x:c r="C109" s="15"/>
      <x:c r="D109" s="15"/>
      <x:c r="E109" s="13"/>
      <x:c r="F109" s="13"/>
      <x:c r="G109" s="6"/>
      <x:c r="H109" s="6"/>
      <x:c r="I109" s="6"/>
      <x:c r="J109" s="6"/>
      <x:c r="K109" s="6"/>
      <x:c r="L109" s="5" t="str">
        <x:f>IF(A109="","",IF(B109="","Eksik tarih",B109-WEEKDAY(B109,2)+1))</x:f>
      </x:c>
      <x:c r="M109" s="2" t="str">
        <x:f>IF(A109="","",A109&amp;L109)</x:f>
      </x:c>
      <x:c r="N109" s="2" t="n">
        <x:f>IF(AND(A109='Panel'!$C$5,B109&lt;='Panel'!$N$5),B109,0)</x:f>
        <x:v>0</x:v>
      </x:c>
    </x:row>
    <x:row r="110" ht="22" customHeight="1">
      <x:c r="A110" s="6"/>
      <x:c r="B110" s="7"/>
      <x:c r="C110" s="15"/>
      <x:c r="D110" s="15"/>
      <x:c r="E110" s="13"/>
      <x:c r="F110" s="13"/>
      <x:c r="G110" s="6"/>
      <x:c r="H110" s="6"/>
      <x:c r="I110" s="6"/>
      <x:c r="J110" s="6"/>
      <x:c r="K110" s="6"/>
      <x:c r="L110" s="5" t="str">
        <x:f>IF(A110="","",IF(B110="","Eksik tarih",B110-WEEKDAY(B110,2)+1))</x:f>
      </x:c>
      <x:c r="M110" s="2" t="str">
        <x:f>IF(A110="","",A110&amp;L110)</x:f>
      </x:c>
      <x:c r="N110" s="2" t="n">
        <x:f>IF(AND(A110='Panel'!$C$5,B110&lt;='Panel'!$N$5),B110,0)</x:f>
        <x:v>0</x:v>
      </x:c>
    </x:row>
    <x:row r="111" ht="22" customHeight="1">
      <x:c r="A111" s="6"/>
      <x:c r="B111" s="7"/>
      <x:c r="C111" s="15"/>
      <x:c r="D111" s="15"/>
      <x:c r="E111" s="13"/>
      <x:c r="F111" s="13"/>
      <x:c r="G111" s="6"/>
      <x:c r="H111" s="6"/>
      <x:c r="I111" s="6"/>
      <x:c r="J111" s="6"/>
      <x:c r="K111" s="6"/>
      <x:c r="L111" s="5" t="str">
        <x:f>IF(A111="","",IF(B111="","Eksik tarih",B111-WEEKDAY(B111,2)+1))</x:f>
      </x:c>
      <x:c r="M111" s="2" t="str">
        <x:f>IF(A111="","",A111&amp;L111)</x:f>
      </x:c>
      <x:c r="N111" s="2" t="n">
        <x:f>IF(AND(A111='Panel'!$C$5,B111&lt;='Panel'!$N$5),B111,0)</x:f>
        <x:v>0</x:v>
      </x:c>
    </x:row>
    <x:row r="112" ht="22" customHeight="1">
      <x:c r="A112" s="6"/>
      <x:c r="B112" s="7"/>
      <x:c r="C112" s="15"/>
      <x:c r="D112" s="15"/>
      <x:c r="E112" s="13"/>
      <x:c r="F112" s="13"/>
      <x:c r="G112" s="6"/>
      <x:c r="H112" s="6"/>
      <x:c r="I112" s="6"/>
      <x:c r="J112" s="6"/>
      <x:c r="K112" s="6"/>
      <x:c r="L112" s="5" t="str">
        <x:f>IF(A112="","",IF(B112="","Eksik tarih",B112-WEEKDAY(B112,2)+1))</x:f>
      </x:c>
      <x:c r="M112" s="2" t="str">
        <x:f>IF(A112="","",A112&amp;L112)</x:f>
      </x:c>
      <x:c r="N112" s="2" t="n">
        <x:f>IF(AND(A112='Panel'!$C$5,B112&lt;='Panel'!$N$5),B112,0)</x:f>
        <x:v>0</x:v>
      </x:c>
    </x:row>
    <x:row r="113" ht="22" customHeight="1">
      <x:c r="A113" s="6"/>
      <x:c r="B113" s="7"/>
      <x:c r="C113" s="15"/>
      <x:c r="D113" s="15"/>
      <x:c r="E113" s="13"/>
      <x:c r="F113" s="13"/>
      <x:c r="G113" s="6"/>
      <x:c r="H113" s="6"/>
      <x:c r="I113" s="6"/>
      <x:c r="J113" s="6"/>
      <x:c r="K113" s="6"/>
      <x:c r="L113" s="5" t="str">
        <x:f>IF(A113="","",IF(B113="","Eksik tarih",B113-WEEKDAY(B113,2)+1))</x:f>
      </x:c>
      <x:c r="M113" s="2" t="str">
        <x:f>IF(A113="","",A113&amp;L113)</x:f>
      </x:c>
      <x:c r="N113" s="2" t="n">
        <x:f>IF(AND(A113='Panel'!$C$5,B113&lt;='Panel'!$N$5),B113,0)</x:f>
        <x:v>0</x:v>
      </x:c>
    </x:row>
    <x:row r="114" ht="22" customHeight="1">
      <x:c r="A114" s="6"/>
      <x:c r="B114" s="7"/>
      <x:c r="C114" s="15"/>
      <x:c r="D114" s="15"/>
      <x:c r="E114" s="13"/>
      <x:c r="F114" s="13"/>
      <x:c r="G114" s="6"/>
      <x:c r="H114" s="6"/>
      <x:c r="I114" s="6"/>
      <x:c r="J114" s="6"/>
      <x:c r="K114" s="6"/>
      <x:c r="L114" s="5" t="str">
        <x:f>IF(A114="","",IF(B114="","Eksik tarih",B114-WEEKDAY(B114,2)+1))</x:f>
      </x:c>
      <x:c r="M114" s="2" t="str">
        <x:f>IF(A114="","",A114&amp;L114)</x:f>
      </x:c>
      <x:c r="N114" s="2" t="n">
        <x:f>IF(AND(A114='Panel'!$C$5,B114&lt;='Panel'!$N$5),B114,0)</x:f>
        <x:v>0</x:v>
      </x:c>
    </x:row>
    <x:row r="115" ht="22" customHeight="1">
      <x:c r="A115" s="6"/>
      <x:c r="B115" s="7"/>
      <x:c r="C115" s="15"/>
      <x:c r="D115" s="15"/>
      <x:c r="E115" s="13"/>
      <x:c r="F115" s="13"/>
      <x:c r="G115" s="6"/>
      <x:c r="H115" s="6"/>
      <x:c r="I115" s="6"/>
      <x:c r="J115" s="6"/>
      <x:c r="K115" s="6"/>
      <x:c r="L115" s="5" t="str">
        <x:f>IF(A115="","",IF(B115="","Eksik tarih",B115-WEEKDAY(B115,2)+1))</x:f>
      </x:c>
      <x:c r="M115" s="2" t="str">
        <x:f>IF(A115="","",A115&amp;L115)</x:f>
      </x:c>
      <x:c r="N115" s="2" t="n">
        <x:f>IF(AND(A115='Panel'!$C$5,B115&lt;='Panel'!$N$5),B115,0)</x:f>
        <x:v>0</x:v>
      </x:c>
    </x:row>
    <x:row r="116" ht="22" customHeight="1">
      <x:c r="A116" s="6"/>
      <x:c r="B116" s="7"/>
      <x:c r="C116" s="15"/>
      <x:c r="D116" s="15"/>
      <x:c r="E116" s="13"/>
      <x:c r="F116" s="13"/>
      <x:c r="G116" s="6"/>
      <x:c r="H116" s="6"/>
      <x:c r="I116" s="6"/>
      <x:c r="J116" s="6"/>
      <x:c r="K116" s="6"/>
      <x:c r="L116" s="5" t="str">
        <x:f>IF(A116="","",IF(B116="","Eksik tarih",B116-WEEKDAY(B116,2)+1))</x:f>
      </x:c>
      <x:c r="M116" s="2" t="str">
        <x:f>IF(A116="","",A116&amp;L116)</x:f>
      </x:c>
      <x:c r="N116" s="2" t="n">
        <x:f>IF(AND(A116='Panel'!$C$5,B116&lt;='Panel'!$N$5),B116,0)</x:f>
        <x:v>0</x:v>
      </x:c>
    </x:row>
    <x:row r="117" ht="22" customHeight="1">
      <x:c r="A117" s="6"/>
      <x:c r="B117" s="7"/>
      <x:c r="C117" s="15"/>
      <x:c r="D117" s="15"/>
      <x:c r="E117" s="13"/>
      <x:c r="F117" s="13"/>
      <x:c r="G117" s="6"/>
      <x:c r="H117" s="6"/>
      <x:c r="I117" s="6"/>
      <x:c r="J117" s="6"/>
      <x:c r="K117" s="6"/>
      <x:c r="L117" s="5" t="str">
        <x:f>IF(A117="","",IF(B117="","Eksik tarih",B117-WEEKDAY(B117,2)+1))</x:f>
      </x:c>
      <x:c r="M117" s="2" t="str">
        <x:f>IF(A117="","",A117&amp;L117)</x:f>
      </x:c>
      <x:c r="N117" s="2" t="n">
        <x:f>IF(AND(A117='Panel'!$C$5,B117&lt;='Panel'!$N$5),B117,0)</x:f>
        <x:v>0</x:v>
      </x:c>
    </x:row>
    <x:row r="118" ht="22" customHeight="1">
      <x:c r="A118" s="6"/>
      <x:c r="B118" s="7"/>
      <x:c r="C118" s="15"/>
      <x:c r="D118" s="15"/>
      <x:c r="E118" s="13"/>
      <x:c r="F118" s="13"/>
      <x:c r="G118" s="6"/>
      <x:c r="H118" s="6"/>
      <x:c r="I118" s="6"/>
      <x:c r="J118" s="6"/>
      <x:c r="K118" s="6"/>
      <x:c r="L118" s="5" t="str">
        <x:f>IF(A118="","",IF(B118="","Eksik tarih",B118-WEEKDAY(B118,2)+1))</x:f>
      </x:c>
      <x:c r="M118" s="2" t="str">
        <x:f>IF(A118="","",A118&amp;L118)</x:f>
      </x:c>
      <x:c r="N118" s="2" t="n">
        <x:f>IF(AND(A118='Panel'!$C$5,B118&lt;='Panel'!$N$5),B118,0)</x:f>
        <x:v>0</x:v>
      </x:c>
    </x:row>
    <x:row r="119" ht="22" customHeight="1">
      <x:c r="A119" s="6"/>
      <x:c r="B119" s="7"/>
      <x:c r="C119" s="15"/>
      <x:c r="D119" s="15"/>
      <x:c r="E119" s="13"/>
      <x:c r="F119" s="13"/>
      <x:c r="G119" s="6"/>
      <x:c r="H119" s="6"/>
      <x:c r="I119" s="6"/>
      <x:c r="J119" s="6"/>
      <x:c r="K119" s="6"/>
      <x:c r="L119" s="5" t="str">
        <x:f>IF(A119="","",IF(B119="","Eksik tarih",B119-WEEKDAY(B119,2)+1))</x:f>
      </x:c>
      <x:c r="M119" s="2" t="str">
        <x:f>IF(A119="","",A119&amp;L119)</x:f>
      </x:c>
      <x:c r="N119" s="2" t="n">
        <x:f>IF(AND(A119='Panel'!$C$5,B119&lt;='Panel'!$N$5),B119,0)</x:f>
        <x:v>0</x:v>
      </x:c>
    </x:row>
    <x:row r="120" ht="22" customHeight="1">
      <x:c r="A120" s="6"/>
      <x:c r="B120" s="7"/>
      <x:c r="C120" s="15"/>
      <x:c r="D120" s="15"/>
      <x:c r="E120" s="13"/>
      <x:c r="F120" s="13"/>
      <x:c r="G120" s="6"/>
      <x:c r="H120" s="6"/>
      <x:c r="I120" s="6"/>
      <x:c r="J120" s="6"/>
      <x:c r="K120" s="6"/>
      <x:c r="L120" s="5" t="str">
        <x:f>IF(A120="","",IF(B120="","Eksik tarih",B120-WEEKDAY(B120,2)+1))</x:f>
      </x:c>
      <x:c r="M120" s="2" t="str">
        <x:f>IF(A120="","",A120&amp;L120)</x:f>
      </x:c>
      <x:c r="N120" s="2" t="n">
        <x:f>IF(AND(A120='Panel'!$C$5,B120&lt;='Panel'!$N$5),B120,0)</x:f>
        <x:v>0</x:v>
      </x:c>
    </x:row>
    <x:row r="121" ht="22" customHeight="1">
      <x:c r="A121" s="6"/>
      <x:c r="B121" s="7"/>
      <x:c r="C121" s="15"/>
      <x:c r="D121" s="15"/>
      <x:c r="E121" s="13"/>
      <x:c r="F121" s="13"/>
      <x:c r="G121" s="6"/>
      <x:c r="H121" s="6"/>
      <x:c r="I121" s="6"/>
      <x:c r="J121" s="6"/>
      <x:c r="K121" s="6"/>
      <x:c r="L121" s="5" t="str">
        <x:f>IF(A121="","",IF(B121="","Eksik tarih",B121-WEEKDAY(B121,2)+1))</x:f>
      </x:c>
      <x:c r="M121" s="2" t="str">
        <x:f>IF(A121="","",A121&amp;L121)</x:f>
      </x:c>
      <x:c r="N121" s="2" t="n">
        <x:f>IF(AND(A121='Panel'!$C$5,B121&lt;='Panel'!$N$5),B121,0)</x:f>
        <x:v>0</x:v>
      </x:c>
    </x:row>
    <x:row r="122" ht="22" customHeight="1">
      <x:c r="A122" s="6"/>
      <x:c r="B122" s="7"/>
      <x:c r="C122" s="15"/>
      <x:c r="D122" s="15"/>
      <x:c r="E122" s="13"/>
      <x:c r="F122" s="13"/>
      <x:c r="G122" s="6"/>
      <x:c r="H122" s="6"/>
      <x:c r="I122" s="6"/>
      <x:c r="J122" s="6"/>
      <x:c r="K122" s="6"/>
      <x:c r="L122" s="5" t="str">
        <x:f>IF(A122="","",IF(B122="","Eksik tarih",B122-WEEKDAY(B122,2)+1))</x:f>
      </x:c>
      <x:c r="M122" s="2" t="str">
        <x:f>IF(A122="","",A122&amp;L122)</x:f>
      </x:c>
      <x:c r="N122" s="2" t="n">
        <x:f>IF(AND(A122='Panel'!$C$5,B122&lt;='Panel'!$N$5),B122,0)</x:f>
        <x:v>0</x:v>
      </x:c>
    </x:row>
    <x:row r="123" ht="22" customHeight="1">
      <x:c r="A123" s="6"/>
      <x:c r="B123" s="7"/>
      <x:c r="C123" s="15"/>
      <x:c r="D123" s="15"/>
      <x:c r="E123" s="13"/>
      <x:c r="F123" s="13"/>
      <x:c r="G123" s="6"/>
      <x:c r="H123" s="6"/>
      <x:c r="I123" s="6"/>
      <x:c r="J123" s="6"/>
      <x:c r="K123" s="6"/>
      <x:c r="L123" s="5" t="str">
        <x:f>IF(A123="","",IF(B123="","Eksik tarih",B123-WEEKDAY(B123,2)+1))</x:f>
      </x:c>
      <x:c r="M123" s="2" t="str">
        <x:f>IF(A123="","",A123&amp;L123)</x:f>
      </x:c>
      <x:c r="N123" s="2" t="n">
        <x:f>IF(AND(A123='Panel'!$C$5,B123&lt;='Panel'!$N$5),B123,0)</x:f>
        <x:v>0</x:v>
      </x:c>
    </x:row>
    <x:row r="124" ht="22" customHeight="1">
      <x:c r="A124" s="6"/>
      <x:c r="B124" s="7"/>
      <x:c r="C124" s="15"/>
      <x:c r="D124" s="15"/>
      <x:c r="E124" s="13"/>
      <x:c r="F124" s="13"/>
      <x:c r="G124" s="6"/>
      <x:c r="H124" s="6"/>
      <x:c r="I124" s="6"/>
      <x:c r="J124" s="6"/>
      <x:c r="K124" s="6"/>
      <x:c r="L124" s="5" t="str">
        <x:f>IF(A124="","",IF(B124="","Eksik tarih",B124-WEEKDAY(B124,2)+1))</x:f>
      </x:c>
      <x:c r="M124" s="2" t="str">
        <x:f>IF(A124="","",A124&amp;L124)</x:f>
      </x:c>
      <x:c r="N124" s="2" t="n">
        <x:f>IF(AND(A124='Panel'!$C$5,B124&lt;='Panel'!$N$5),B124,0)</x:f>
        <x:v>0</x:v>
      </x:c>
    </x:row>
    <x:row r="125" ht="22" customHeight="1">
      <x:c r="A125" s="6"/>
      <x:c r="B125" s="7"/>
      <x:c r="C125" s="15"/>
      <x:c r="D125" s="15"/>
      <x:c r="E125" s="13"/>
      <x:c r="F125" s="13"/>
      <x:c r="G125" s="6"/>
      <x:c r="H125" s="6"/>
      <x:c r="I125" s="6"/>
      <x:c r="J125" s="6"/>
      <x:c r="K125" s="6"/>
      <x:c r="L125" s="5" t="str">
        <x:f>IF(A125="","",IF(B125="","Eksik tarih",B125-WEEKDAY(B125,2)+1))</x:f>
      </x:c>
      <x:c r="M125" s="2" t="str">
        <x:f>IF(A125="","",A125&amp;L125)</x:f>
      </x:c>
      <x:c r="N125" s="2" t="n">
        <x:f>IF(AND(A125='Panel'!$C$5,B125&lt;='Panel'!$N$5),B125,0)</x:f>
        <x:v>0</x:v>
      </x:c>
    </x:row>
    <x:row r="126" ht="22" customHeight="1">
      <x:c r="A126" s="6"/>
      <x:c r="B126" s="7"/>
      <x:c r="C126" s="15"/>
      <x:c r="D126" s="15"/>
      <x:c r="E126" s="13"/>
      <x:c r="F126" s="13"/>
      <x:c r="G126" s="6"/>
      <x:c r="H126" s="6"/>
      <x:c r="I126" s="6"/>
      <x:c r="J126" s="6"/>
      <x:c r="K126" s="6"/>
      <x:c r="L126" s="5" t="str">
        <x:f>IF(A126="","",IF(B126="","Eksik tarih",B126-WEEKDAY(B126,2)+1))</x:f>
      </x:c>
      <x:c r="M126" s="2" t="str">
        <x:f>IF(A126="","",A126&amp;L126)</x:f>
      </x:c>
      <x:c r="N126" s="2" t="n">
        <x:f>IF(AND(A126='Panel'!$C$5,B126&lt;='Panel'!$N$5),B126,0)</x:f>
        <x:v>0</x:v>
      </x:c>
    </x:row>
    <x:row r="127" ht="22" customHeight="1">
      <x:c r="A127" s="6"/>
      <x:c r="B127" s="7"/>
      <x:c r="C127" s="15"/>
      <x:c r="D127" s="15"/>
      <x:c r="E127" s="13"/>
      <x:c r="F127" s="13"/>
      <x:c r="G127" s="6"/>
      <x:c r="H127" s="6"/>
      <x:c r="I127" s="6"/>
      <x:c r="J127" s="6"/>
      <x:c r="K127" s="6"/>
      <x:c r="L127" s="5" t="str">
        <x:f>IF(A127="","",IF(B127="","Eksik tarih",B127-WEEKDAY(B127,2)+1))</x:f>
      </x:c>
      <x:c r="M127" s="2" t="str">
        <x:f>IF(A127="","",A127&amp;L127)</x:f>
      </x:c>
      <x:c r="N127" s="2" t="n">
        <x:f>IF(AND(A127='Panel'!$C$5,B127&lt;='Panel'!$N$5),B127,0)</x:f>
        <x:v>0</x:v>
      </x:c>
    </x:row>
    <x:row r="128" ht="22" customHeight="1">
      <x:c r="A128" s="6"/>
      <x:c r="B128" s="7"/>
      <x:c r="C128" s="15"/>
      <x:c r="D128" s="15"/>
      <x:c r="E128" s="13"/>
      <x:c r="F128" s="13"/>
      <x:c r="G128" s="6"/>
      <x:c r="H128" s="6"/>
      <x:c r="I128" s="6"/>
      <x:c r="J128" s="6"/>
      <x:c r="K128" s="6"/>
      <x:c r="L128" s="5" t="str">
        <x:f>IF(A128="","",IF(B128="","Eksik tarih",B128-WEEKDAY(B128,2)+1))</x:f>
      </x:c>
      <x:c r="M128" s="2" t="str">
        <x:f>IF(A128="","",A128&amp;L128)</x:f>
      </x:c>
      <x:c r="N128" s="2" t="n">
        <x:f>IF(AND(A128='Panel'!$C$5,B128&lt;='Panel'!$N$5),B128,0)</x:f>
        <x:v>0</x:v>
      </x:c>
    </x:row>
    <x:row r="129" ht="22" customHeight="1">
      <x:c r="A129" s="6"/>
      <x:c r="B129" s="7"/>
      <x:c r="C129" s="15"/>
      <x:c r="D129" s="15"/>
      <x:c r="E129" s="13"/>
      <x:c r="F129" s="13"/>
      <x:c r="G129" s="6"/>
      <x:c r="H129" s="6"/>
      <x:c r="I129" s="6"/>
      <x:c r="J129" s="6"/>
      <x:c r="K129" s="6"/>
      <x:c r="L129" s="5" t="str">
        <x:f>IF(A129="","",IF(B129="","Eksik tarih",B129-WEEKDAY(B129,2)+1))</x:f>
      </x:c>
      <x:c r="M129" s="2" t="str">
        <x:f>IF(A129="","",A129&amp;L129)</x:f>
      </x:c>
      <x:c r="N129" s="2" t="n">
        <x:f>IF(AND(A129='Panel'!$C$5,B129&lt;='Panel'!$N$5),B129,0)</x:f>
        <x:v>0</x:v>
      </x:c>
    </x:row>
    <x:row r="130" ht="22" customHeight="1">
      <x:c r="A130" s="6"/>
      <x:c r="B130" s="7"/>
      <x:c r="C130" s="15"/>
      <x:c r="D130" s="15"/>
      <x:c r="E130" s="13"/>
      <x:c r="F130" s="13"/>
      <x:c r="G130" s="6"/>
      <x:c r="H130" s="6"/>
      <x:c r="I130" s="6"/>
      <x:c r="J130" s="6"/>
      <x:c r="K130" s="6"/>
      <x:c r="L130" s="5" t="str">
        <x:f>IF(A130="","",IF(B130="","Eksik tarih",B130-WEEKDAY(B130,2)+1))</x:f>
      </x:c>
      <x:c r="M130" s="2" t="str">
        <x:f>IF(A130="","",A130&amp;L130)</x:f>
      </x:c>
      <x:c r="N130" s="2" t="n">
        <x:f>IF(AND(A130='Panel'!$C$5,B130&lt;='Panel'!$N$5),B130,0)</x:f>
        <x:v>0</x:v>
      </x:c>
    </x:row>
    <x:row r="131" ht="22" customHeight="1">
      <x:c r="A131" s="6"/>
      <x:c r="B131" s="7"/>
      <x:c r="C131" s="15"/>
      <x:c r="D131" s="15"/>
      <x:c r="E131" s="13"/>
      <x:c r="F131" s="13"/>
      <x:c r="G131" s="6"/>
      <x:c r="H131" s="6"/>
      <x:c r="I131" s="6"/>
      <x:c r="J131" s="6"/>
      <x:c r="K131" s="6"/>
      <x:c r="L131" s="5" t="str">
        <x:f>IF(A131="","",IF(B131="","Eksik tarih",B131-WEEKDAY(B131,2)+1))</x:f>
      </x:c>
      <x:c r="M131" s="2" t="str">
        <x:f>IF(A131="","",A131&amp;L131)</x:f>
      </x:c>
      <x:c r="N131" s="2" t="n">
        <x:f>IF(AND(A131='Panel'!$C$5,B131&lt;='Panel'!$N$5),B131,0)</x:f>
        <x:v>0</x:v>
      </x:c>
    </x:row>
    <x:row r="132" ht="22" customHeight="1">
      <x:c r="A132" s="6"/>
      <x:c r="B132" s="7"/>
      <x:c r="C132" s="15"/>
      <x:c r="D132" s="15"/>
      <x:c r="E132" s="13"/>
      <x:c r="F132" s="13"/>
      <x:c r="G132" s="6"/>
      <x:c r="H132" s="6"/>
      <x:c r="I132" s="6"/>
      <x:c r="J132" s="6"/>
      <x:c r="K132" s="6"/>
      <x:c r="L132" s="5" t="str">
        <x:f>IF(A132="","",IF(B132="","Eksik tarih",B132-WEEKDAY(B132,2)+1))</x:f>
      </x:c>
      <x:c r="M132" s="2" t="str">
        <x:f>IF(A132="","",A132&amp;L132)</x:f>
      </x:c>
      <x:c r="N132" s="2" t="n">
        <x:f>IF(AND(A132='Panel'!$C$5,B132&lt;='Panel'!$N$5),B132,0)</x:f>
        <x:v>0</x:v>
      </x:c>
    </x:row>
    <x:row r="133" ht="22" customHeight="1">
      <x:c r="A133" s="6"/>
      <x:c r="B133" s="7"/>
      <x:c r="C133" s="15"/>
      <x:c r="D133" s="15"/>
      <x:c r="E133" s="13"/>
      <x:c r="F133" s="13"/>
      <x:c r="G133" s="6"/>
      <x:c r="H133" s="6"/>
      <x:c r="I133" s="6"/>
      <x:c r="J133" s="6"/>
      <x:c r="K133" s="6"/>
      <x:c r="L133" s="5" t="str">
        <x:f>IF(A133="","",IF(B133="","Eksik tarih",B133-WEEKDAY(B133,2)+1))</x:f>
      </x:c>
      <x:c r="M133" s="2" t="str">
        <x:f>IF(A133="","",A133&amp;L133)</x:f>
      </x:c>
      <x:c r="N133" s="2" t="n">
        <x:f>IF(AND(A133='Panel'!$C$5,B133&lt;='Panel'!$N$5),B133,0)</x:f>
        <x:v>0</x:v>
      </x:c>
    </x:row>
    <x:row r="134" ht="22" customHeight="1">
      <x:c r="A134" s="6"/>
      <x:c r="B134" s="7"/>
      <x:c r="C134" s="15"/>
      <x:c r="D134" s="15"/>
      <x:c r="E134" s="13"/>
      <x:c r="F134" s="13"/>
      <x:c r="G134" s="6"/>
      <x:c r="H134" s="6"/>
      <x:c r="I134" s="6"/>
      <x:c r="J134" s="6"/>
      <x:c r="K134" s="6"/>
      <x:c r="L134" s="5" t="str">
        <x:f>IF(A134="","",IF(B134="","Eksik tarih",B134-WEEKDAY(B134,2)+1))</x:f>
      </x:c>
      <x:c r="M134" s="2" t="str">
        <x:f>IF(A134="","",A134&amp;L134)</x:f>
      </x:c>
      <x:c r="N134" s="2" t="n">
        <x:f>IF(AND(A134='Panel'!$C$5,B134&lt;='Panel'!$N$5),B134,0)</x:f>
        <x:v>0</x:v>
      </x:c>
    </x:row>
    <x:row r="135" ht="22" customHeight="1">
      <x:c r="A135" s="6"/>
      <x:c r="B135" s="7"/>
      <x:c r="C135" s="15"/>
      <x:c r="D135" s="15"/>
      <x:c r="E135" s="13"/>
      <x:c r="F135" s="13"/>
      <x:c r="G135" s="6"/>
      <x:c r="H135" s="6"/>
      <x:c r="I135" s="6"/>
      <x:c r="J135" s="6"/>
      <x:c r="K135" s="6"/>
      <x:c r="L135" s="5" t="str">
        <x:f>IF(A135="","",IF(B135="","Eksik tarih",B135-WEEKDAY(B135,2)+1))</x:f>
      </x:c>
      <x:c r="M135" s="2" t="str">
        <x:f>IF(A135="","",A135&amp;L135)</x:f>
      </x:c>
      <x:c r="N135" s="2" t="n">
        <x:f>IF(AND(A135='Panel'!$C$5,B135&lt;='Panel'!$N$5),B135,0)</x:f>
        <x:v>0</x:v>
      </x:c>
    </x:row>
    <x:row r="136" ht="22" customHeight="1">
      <x:c r="A136" s="6"/>
      <x:c r="B136" s="7"/>
      <x:c r="C136" s="15"/>
      <x:c r="D136" s="15"/>
      <x:c r="E136" s="13"/>
      <x:c r="F136" s="13"/>
      <x:c r="G136" s="6"/>
      <x:c r="H136" s="6"/>
      <x:c r="I136" s="6"/>
      <x:c r="J136" s="6"/>
      <x:c r="K136" s="6"/>
      <x:c r="L136" s="5" t="str">
        <x:f>IF(A136="","",IF(B136="","Eksik tarih",B136-WEEKDAY(B136,2)+1))</x:f>
      </x:c>
      <x:c r="M136" s="2" t="str">
        <x:f>IF(A136="","",A136&amp;L136)</x:f>
      </x:c>
      <x:c r="N136" s="2" t="n">
        <x:f>IF(AND(A136='Panel'!$C$5,B136&lt;='Panel'!$N$5),B136,0)</x:f>
        <x:v>0</x:v>
      </x:c>
    </x:row>
    <x:row r="137" ht="22" customHeight="1">
      <x:c r="A137" s="6"/>
      <x:c r="B137" s="7"/>
      <x:c r="C137" s="15"/>
      <x:c r="D137" s="15"/>
      <x:c r="E137" s="13"/>
      <x:c r="F137" s="13"/>
      <x:c r="G137" s="6"/>
      <x:c r="H137" s="6"/>
      <x:c r="I137" s="6"/>
      <x:c r="J137" s="6"/>
      <x:c r="K137" s="6"/>
      <x:c r="L137" s="5" t="str">
        <x:f>IF(A137="","",IF(B137="","Eksik tarih",B137-WEEKDAY(B137,2)+1))</x:f>
      </x:c>
      <x:c r="M137" s="2" t="str">
        <x:f>IF(A137="","",A137&amp;L137)</x:f>
      </x:c>
      <x:c r="N137" s="2" t="n">
        <x:f>IF(AND(A137='Panel'!$C$5,B137&lt;='Panel'!$N$5),B137,0)</x:f>
        <x:v>0</x:v>
      </x:c>
    </x:row>
    <x:row r="138" ht="22" customHeight="1">
      <x:c r="A138" s="6"/>
      <x:c r="B138" s="7"/>
      <x:c r="C138" s="15"/>
      <x:c r="D138" s="15"/>
      <x:c r="E138" s="13"/>
      <x:c r="F138" s="13"/>
      <x:c r="G138" s="6"/>
      <x:c r="H138" s="6"/>
      <x:c r="I138" s="6"/>
      <x:c r="J138" s="6"/>
      <x:c r="K138" s="6"/>
      <x:c r="L138" s="5" t="str">
        <x:f>IF(A138="","",IF(B138="","Eksik tarih",B138-WEEKDAY(B138,2)+1))</x:f>
      </x:c>
      <x:c r="M138" s="2" t="str">
        <x:f>IF(A138="","",A138&amp;L138)</x:f>
      </x:c>
      <x:c r="N138" s="2" t="n">
        <x:f>IF(AND(A138='Panel'!$C$5,B138&lt;='Panel'!$N$5),B138,0)</x:f>
        <x:v>0</x:v>
      </x:c>
    </x:row>
    <x:row r="139" ht="22" customHeight="1">
      <x:c r="A139" s="6"/>
      <x:c r="B139" s="7"/>
      <x:c r="C139" s="15"/>
      <x:c r="D139" s="15"/>
      <x:c r="E139" s="13"/>
      <x:c r="F139" s="13"/>
      <x:c r="G139" s="6"/>
      <x:c r="H139" s="6"/>
      <x:c r="I139" s="6"/>
      <x:c r="J139" s="6"/>
      <x:c r="K139" s="6"/>
      <x:c r="L139" s="5" t="str">
        <x:f>IF(A139="","",IF(B139="","Eksik tarih",B139-WEEKDAY(B139,2)+1))</x:f>
      </x:c>
      <x:c r="M139" s="2" t="str">
        <x:f>IF(A139="","",A139&amp;L139)</x:f>
      </x:c>
      <x:c r="N139" s="2" t="n">
        <x:f>IF(AND(A139='Panel'!$C$5,B139&lt;='Panel'!$N$5),B139,0)</x:f>
        <x:v>0</x:v>
      </x:c>
    </x:row>
    <x:row r="140" ht="22" customHeight="1">
      <x:c r="A140" s="6"/>
      <x:c r="B140" s="7"/>
      <x:c r="C140" s="15"/>
      <x:c r="D140" s="15"/>
      <x:c r="E140" s="13"/>
      <x:c r="F140" s="13"/>
      <x:c r="G140" s="6"/>
      <x:c r="H140" s="6"/>
      <x:c r="I140" s="6"/>
      <x:c r="J140" s="6"/>
      <x:c r="K140" s="6"/>
      <x:c r="L140" s="5" t="str">
        <x:f>IF(A140="","",IF(B140="","Eksik tarih",B140-WEEKDAY(B140,2)+1))</x:f>
      </x:c>
      <x:c r="M140" s="2" t="str">
        <x:f>IF(A140="","",A140&amp;L140)</x:f>
      </x:c>
      <x:c r="N140" s="2" t="n">
        <x:f>IF(AND(A140='Panel'!$C$5,B140&lt;='Panel'!$N$5),B140,0)</x:f>
        <x:v>0</x:v>
      </x:c>
    </x:row>
    <x:row r="141" ht="22" customHeight="1">
      <x:c r="A141" s="6"/>
      <x:c r="B141" s="7"/>
      <x:c r="C141" s="15"/>
      <x:c r="D141" s="15"/>
      <x:c r="E141" s="13"/>
      <x:c r="F141" s="13"/>
      <x:c r="G141" s="6"/>
      <x:c r="H141" s="6"/>
      <x:c r="I141" s="6"/>
      <x:c r="J141" s="6"/>
      <x:c r="K141" s="6"/>
      <x:c r="L141" s="5" t="str">
        <x:f>IF(A141="","",IF(B141="","Eksik tarih",B141-WEEKDAY(B141,2)+1))</x:f>
      </x:c>
      <x:c r="M141" s="2" t="str">
        <x:f>IF(A141="","",A141&amp;L141)</x:f>
      </x:c>
      <x:c r="N141" s="2" t="n">
        <x:f>IF(AND(A141='Panel'!$C$5,B141&lt;='Panel'!$N$5),B141,0)</x:f>
        <x:v>0</x:v>
      </x:c>
    </x:row>
    <x:row r="142" ht="22" customHeight="1">
      <x:c r="A142" s="6"/>
      <x:c r="B142" s="7"/>
      <x:c r="C142" s="15"/>
      <x:c r="D142" s="15"/>
      <x:c r="E142" s="13"/>
      <x:c r="F142" s="13"/>
      <x:c r="G142" s="6"/>
      <x:c r="H142" s="6"/>
      <x:c r="I142" s="6"/>
      <x:c r="J142" s="6"/>
      <x:c r="K142" s="6"/>
      <x:c r="L142" s="5" t="str">
        <x:f>IF(A142="","",IF(B142="","Eksik tarih",B142-WEEKDAY(B142,2)+1))</x:f>
      </x:c>
      <x:c r="M142" s="2" t="str">
        <x:f>IF(A142="","",A142&amp;L142)</x:f>
      </x:c>
      <x:c r="N142" s="2" t="n">
        <x:f>IF(AND(A142='Panel'!$C$5,B142&lt;='Panel'!$N$5),B142,0)</x:f>
        <x:v>0</x:v>
      </x:c>
    </x:row>
    <x:row r="143" ht="22" customHeight="1">
      <x:c r="A143" s="6"/>
      <x:c r="B143" s="7"/>
      <x:c r="C143" s="15"/>
      <x:c r="D143" s="15"/>
      <x:c r="E143" s="13"/>
      <x:c r="F143" s="13"/>
      <x:c r="G143" s="6"/>
      <x:c r="H143" s="6"/>
      <x:c r="I143" s="6"/>
      <x:c r="J143" s="6"/>
      <x:c r="K143" s="6"/>
      <x:c r="L143" s="5" t="str">
        <x:f>IF(A143="","",IF(B143="","Eksik tarih",B143-WEEKDAY(B143,2)+1))</x:f>
      </x:c>
      <x:c r="M143" s="2" t="str">
        <x:f>IF(A143="","",A143&amp;L143)</x:f>
      </x:c>
      <x:c r="N143" s="2" t="n">
        <x:f>IF(AND(A143='Panel'!$C$5,B143&lt;='Panel'!$N$5),B143,0)</x:f>
        <x:v>0</x:v>
      </x:c>
    </x:row>
    <x:row r="144" ht="22" customHeight="1">
      <x:c r="A144" s="6"/>
      <x:c r="B144" s="7"/>
      <x:c r="C144" s="15"/>
      <x:c r="D144" s="15"/>
      <x:c r="E144" s="13"/>
      <x:c r="F144" s="13"/>
      <x:c r="G144" s="6"/>
      <x:c r="H144" s="6"/>
      <x:c r="I144" s="6"/>
      <x:c r="J144" s="6"/>
      <x:c r="K144" s="6"/>
      <x:c r="L144" s="5" t="str">
        <x:f>IF(A144="","",IF(B144="","Eksik tarih",B144-WEEKDAY(B144,2)+1))</x:f>
      </x:c>
      <x:c r="M144" s="2" t="str">
        <x:f>IF(A144="","",A144&amp;L144)</x:f>
      </x:c>
      <x:c r="N144" s="2" t="n">
        <x:f>IF(AND(A144='Panel'!$C$5,B144&lt;='Panel'!$N$5),B144,0)</x:f>
        <x:v>0</x:v>
      </x:c>
    </x:row>
    <x:row r="145" ht="22" customHeight="1">
      <x:c r="A145" s="6"/>
      <x:c r="B145" s="7"/>
      <x:c r="C145" s="15"/>
      <x:c r="D145" s="15"/>
      <x:c r="E145" s="13"/>
      <x:c r="F145" s="13"/>
      <x:c r="G145" s="6"/>
      <x:c r="H145" s="6"/>
      <x:c r="I145" s="6"/>
      <x:c r="J145" s="6"/>
      <x:c r="K145" s="6"/>
      <x:c r="L145" s="5" t="str">
        <x:f>IF(A145="","",IF(B145="","Eksik tarih",B145-WEEKDAY(B145,2)+1))</x:f>
      </x:c>
      <x:c r="M145" s="2" t="str">
        <x:f>IF(A145="","",A145&amp;L145)</x:f>
      </x:c>
      <x:c r="N145" s="2" t="n">
        <x:f>IF(AND(A145='Panel'!$C$5,B145&lt;='Panel'!$N$5),B145,0)</x:f>
        <x:v>0</x:v>
      </x:c>
    </x:row>
    <x:row r="146" ht="22" customHeight="1">
      <x:c r="A146" s="6"/>
      <x:c r="B146" s="7"/>
      <x:c r="C146" s="15"/>
      <x:c r="D146" s="15"/>
      <x:c r="E146" s="13"/>
      <x:c r="F146" s="13"/>
      <x:c r="G146" s="6"/>
      <x:c r="H146" s="6"/>
      <x:c r="I146" s="6"/>
      <x:c r="J146" s="6"/>
      <x:c r="K146" s="6"/>
      <x:c r="L146" s="5" t="str">
        <x:f>IF(A146="","",IF(B146="","Eksik tarih",B146-WEEKDAY(B146,2)+1))</x:f>
      </x:c>
      <x:c r="M146" s="2" t="str">
        <x:f>IF(A146="","",A146&amp;L146)</x:f>
      </x:c>
      <x:c r="N146" s="2" t="n">
        <x:f>IF(AND(A146='Panel'!$C$5,B146&lt;='Panel'!$N$5),B146,0)</x:f>
        <x:v>0</x:v>
      </x:c>
    </x:row>
    <x:row r="147" ht="22" customHeight="1">
      <x:c r="A147" s="6"/>
      <x:c r="B147" s="7"/>
      <x:c r="C147" s="15"/>
      <x:c r="D147" s="15"/>
      <x:c r="E147" s="13"/>
      <x:c r="F147" s="13"/>
      <x:c r="G147" s="6"/>
      <x:c r="H147" s="6"/>
      <x:c r="I147" s="6"/>
      <x:c r="J147" s="6"/>
      <x:c r="K147" s="6"/>
      <x:c r="L147" s="5" t="str">
        <x:f>IF(A147="","",IF(B147="","Eksik tarih",B147-WEEKDAY(B147,2)+1))</x:f>
      </x:c>
      <x:c r="M147" s="2" t="str">
        <x:f>IF(A147="","",A147&amp;L147)</x:f>
      </x:c>
      <x:c r="N147" s="2" t="n">
        <x:f>IF(AND(A147='Panel'!$C$5,B147&lt;='Panel'!$N$5),B147,0)</x:f>
        <x:v>0</x:v>
      </x:c>
    </x:row>
    <x:row r="148" ht="22" customHeight="1">
      <x:c r="A148" s="6"/>
      <x:c r="B148" s="7"/>
      <x:c r="C148" s="15"/>
      <x:c r="D148" s="15"/>
      <x:c r="E148" s="13"/>
      <x:c r="F148" s="13"/>
      <x:c r="G148" s="6"/>
      <x:c r="H148" s="6"/>
      <x:c r="I148" s="6"/>
      <x:c r="J148" s="6"/>
      <x:c r="K148" s="6"/>
      <x:c r="L148" s="5" t="str">
        <x:f>IF(A148="","",IF(B148="","Eksik tarih",B148-WEEKDAY(B148,2)+1))</x:f>
      </x:c>
      <x:c r="M148" s="2" t="str">
        <x:f>IF(A148="","",A148&amp;L148)</x:f>
      </x:c>
      <x:c r="N148" s="2" t="n">
        <x:f>IF(AND(A148='Panel'!$C$5,B148&lt;='Panel'!$N$5),B148,0)</x:f>
        <x:v>0</x:v>
      </x:c>
    </x:row>
    <x:row r="149" ht="22" customHeight="1">
      <x:c r="A149" s="6"/>
      <x:c r="B149" s="7"/>
      <x:c r="C149" s="15"/>
      <x:c r="D149" s="15"/>
      <x:c r="E149" s="13"/>
      <x:c r="F149" s="13"/>
      <x:c r="G149" s="6"/>
      <x:c r="H149" s="6"/>
      <x:c r="I149" s="6"/>
      <x:c r="J149" s="6"/>
      <x:c r="K149" s="6"/>
      <x:c r="L149" s="5" t="str">
        <x:f>IF(A149="","",IF(B149="","Eksik tarih",B149-WEEKDAY(B149,2)+1))</x:f>
      </x:c>
      <x:c r="M149" s="2" t="str">
        <x:f>IF(A149="","",A149&amp;L149)</x:f>
      </x:c>
      <x:c r="N149" s="2" t="n">
        <x:f>IF(AND(A149='Panel'!$C$5,B149&lt;='Panel'!$N$5),B149,0)</x:f>
        <x:v>0</x:v>
      </x:c>
    </x:row>
    <x:row r="150" ht="22" customHeight="1">
      <x:c r="A150" s="6"/>
      <x:c r="B150" s="7"/>
      <x:c r="C150" s="15"/>
      <x:c r="D150" s="15"/>
      <x:c r="E150" s="13"/>
      <x:c r="F150" s="13"/>
      <x:c r="G150" s="6"/>
      <x:c r="H150" s="6"/>
      <x:c r="I150" s="6"/>
      <x:c r="J150" s="6"/>
      <x:c r="K150" s="6"/>
      <x:c r="L150" s="5" t="str">
        <x:f>IF(A150="","",IF(B150="","Eksik tarih",B150-WEEKDAY(B150,2)+1))</x:f>
      </x:c>
      <x:c r="M150" s="2" t="str">
        <x:f>IF(A150="","",A150&amp;L150)</x:f>
      </x:c>
      <x:c r="N150" s="2" t="n">
        <x:f>IF(AND(A150='Panel'!$C$5,B150&lt;='Panel'!$N$5),B150,0)</x:f>
        <x:v>0</x:v>
      </x:c>
    </x:row>
    <x:row r="151" ht="22" customHeight="1">
      <x:c r="A151" s="6"/>
      <x:c r="B151" s="7"/>
      <x:c r="C151" s="15"/>
      <x:c r="D151" s="15"/>
      <x:c r="E151" s="13"/>
      <x:c r="F151" s="13"/>
      <x:c r="G151" s="6"/>
      <x:c r="H151" s="6"/>
      <x:c r="I151" s="6"/>
      <x:c r="J151" s="6"/>
      <x:c r="K151" s="6"/>
      <x:c r="L151" s="5" t="str">
        <x:f>IF(A151="","",IF(B151="","Eksik tarih",B151-WEEKDAY(B151,2)+1))</x:f>
      </x:c>
      <x:c r="M151" s="2" t="str">
        <x:f>IF(A151="","",A151&amp;L151)</x:f>
      </x:c>
      <x:c r="N151" s="2" t="n">
        <x:f>IF(AND(A151='Panel'!$C$5,B151&lt;='Panel'!$N$5),B151,0)</x:f>
        <x:v>0</x:v>
      </x:c>
    </x:row>
    <x:row r="152" ht="22" customHeight="1">
      <x:c r="A152" s="6"/>
      <x:c r="B152" s="7"/>
      <x:c r="C152" s="15"/>
      <x:c r="D152" s="15"/>
      <x:c r="E152" s="13"/>
      <x:c r="F152" s="13"/>
      <x:c r="G152" s="6"/>
      <x:c r="H152" s="6"/>
      <x:c r="I152" s="6"/>
      <x:c r="J152" s="6"/>
      <x:c r="K152" s="6"/>
      <x:c r="L152" s="5" t="str">
        <x:f>IF(A152="","",IF(B152="","Eksik tarih",B152-WEEKDAY(B152,2)+1))</x:f>
      </x:c>
      <x:c r="M152" s="2" t="str">
        <x:f>IF(A152="","",A152&amp;L152)</x:f>
      </x:c>
      <x:c r="N152" s="2" t="n">
        <x:f>IF(AND(A152='Panel'!$C$5,B152&lt;='Panel'!$N$5),B152,0)</x:f>
        <x:v>0</x:v>
      </x:c>
    </x:row>
    <x:row r="153" ht="22" customHeight="1">
      <x:c r="A153" s="6"/>
      <x:c r="B153" s="7"/>
      <x:c r="C153" s="15"/>
      <x:c r="D153" s="15"/>
      <x:c r="E153" s="13"/>
      <x:c r="F153" s="13"/>
      <x:c r="G153" s="6"/>
      <x:c r="H153" s="6"/>
      <x:c r="I153" s="6"/>
      <x:c r="J153" s="6"/>
      <x:c r="K153" s="6"/>
      <x:c r="L153" s="5" t="str">
        <x:f>IF(A153="","",IF(B153="","Eksik tarih",B153-WEEKDAY(B153,2)+1))</x:f>
      </x:c>
      <x:c r="M153" s="2" t="str">
        <x:f>IF(A153="","",A153&amp;L153)</x:f>
      </x:c>
      <x:c r="N153" s="2" t="n">
        <x:f>IF(AND(A153='Panel'!$C$5,B153&lt;='Panel'!$N$5),B153,0)</x:f>
        <x:v>0</x:v>
      </x:c>
    </x:row>
    <x:row r="154" ht="22" customHeight="1">
      <x:c r="A154" s="6"/>
      <x:c r="B154" s="7"/>
      <x:c r="C154" s="15"/>
      <x:c r="D154" s="15"/>
      <x:c r="E154" s="13"/>
      <x:c r="F154" s="13"/>
      <x:c r="G154" s="6"/>
      <x:c r="H154" s="6"/>
      <x:c r="I154" s="6"/>
      <x:c r="J154" s="6"/>
      <x:c r="K154" s="6"/>
      <x:c r="L154" s="5" t="str">
        <x:f>IF(A154="","",IF(B154="","Eksik tarih",B154-WEEKDAY(B154,2)+1))</x:f>
      </x:c>
      <x:c r="M154" s="2" t="str">
        <x:f>IF(A154="","",A154&amp;L154)</x:f>
      </x:c>
      <x:c r="N154" s="2" t="n">
        <x:f>IF(AND(A154='Panel'!$C$5,B154&lt;='Panel'!$N$5),B154,0)</x:f>
        <x:v>0</x:v>
      </x:c>
    </x:row>
    <x:row r="155" ht="22" customHeight="1">
      <x:c r="A155" s="6"/>
      <x:c r="B155" s="7"/>
      <x:c r="C155" s="15"/>
      <x:c r="D155" s="15"/>
      <x:c r="E155" s="13"/>
      <x:c r="F155" s="13"/>
      <x:c r="G155" s="6"/>
      <x:c r="H155" s="6"/>
      <x:c r="I155" s="6"/>
      <x:c r="J155" s="6"/>
      <x:c r="K155" s="6"/>
      <x:c r="L155" s="5" t="str">
        <x:f>IF(A155="","",IF(B155="","Eksik tarih",B155-WEEKDAY(B155,2)+1))</x:f>
      </x:c>
      <x:c r="M155" s="2" t="str">
        <x:f>IF(A155="","",A155&amp;L155)</x:f>
      </x:c>
      <x:c r="N155" s="2" t="n">
        <x:f>IF(AND(A155='Panel'!$C$5,B155&lt;='Panel'!$N$5),B155,0)</x:f>
        <x:v>0</x:v>
      </x:c>
    </x:row>
    <x:row r="156" ht="22" customHeight="1">
      <x:c r="A156" s="6"/>
      <x:c r="B156" s="7"/>
      <x:c r="C156" s="15"/>
      <x:c r="D156" s="15"/>
      <x:c r="E156" s="13"/>
      <x:c r="F156" s="13"/>
      <x:c r="G156" s="6"/>
      <x:c r="H156" s="6"/>
      <x:c r="I156" s="6"/>
      <x:c r="J156" s="6"/>
      <x:c r="K156" s="6"/>
      <x:c r="L156" s="5" t="str">
        <x:f>IF(A156="","",IF(B156="","Eksik tarih",B156-WEEKDAY(B156,2)+1))</x:f>
      </x:c>
      <x:c r="M156" s="2" t="str">
        <x:f>IF(A156="","",A156&amp;L156)</x:f>
      </x:c>
      <x:c r="N156" s="2" t="n">
        <x:f>IF(AND(A156='Panel'!$C$5,B156&lt;='Panel'!$N$5),B156,0)</x:f>
        <x:v>0</x:v>
      </x:c>
    </x:row>
    <x:row r="157" ht="22" customHeight="1">
      <x:c r="A157" s="6"/>
      <x:c r="B157" s="7"/>
      <x:c r="C157" s="15"/>
      <x:c r="D157" s="15"/>
      <x:c r="E157" s="13"/>
      <x:c r="F157" s="13"/>
      <x:c r="G157" s="6"/>
      <x:c r="H157" s="6"/>
      <x:c r="I157" s="6"/>
      <x:c r="J157" s="6"/>
      <x:c r="K157" s="6"/>
      <x:c r="L157" s="5" t="str">
        <x:f>IF(A157="","",IF(B157="","Eksik tarih",B157-WEEKDAY(B157,2)+1))</x:f>
      </x:c>
      <x:c r="M157" s="2" t="str">
        <x:f>IF(A157="","",A157&amp;L157)</x:f>
      </x:c>
      <x:c r="N157" s="2" t="n">
        <x:f>IF(AND(A157='Panel'!$C$5,B157&lt;='Panel'!$N$5),B157,0)</x:f>
        <x:v>0</x:v>
      </x:c>
    </x:row>
    <x:row r="158" ht="22" customHeight="1">
      <x:c r="A158" s="6"/>
      <x:c r="B158" s="7"/>
      <x:c r="C158" s="15"/>
      <x:c r="D158" s="15"/>
      <x:c r="E158" s="13"/>
      <x:c r="F158" s="13"/>
      <x:c r="G158" s="6"/>
      <x:c r="H158" s="6"/>
      <x:c r="I158" s="6"/>
      <x:c r="J158" s="6"/>
      <x:c r="K158" s="6"/>
      <x:c r="L158" s="5" t="str">
        <x:f>IF(A158="","",IF(B158="","Eksik tarih",B158-WEEKDAY(B158,2)+1))</x:f>
      </x:c>
      <x:c r="M158" s="2" t="str">
        <x:f>IF(A158="","",A158&amp;L158)</x:f>
      </x:c>
      <x:c r="N158" s="2" t="n">
        <x:f>IF(AND(A158='Panel'!$C$5,B158&lt;='Panel'!$N$5),B158,0)</x:f>
        <x:v>0</x:v>
      </x:c>
    </x:row>
    <x:row r="159" ht="22" customHeight="1">
      <x:c r="A159" s="6"/>
      <x:c r="B159" s="7"/>
      <x:c r="C159" s="15"/>
      <x:c r="D159" s="15"/>
      <x:c r="E159" s="13"/>
      <x:c r="F159" s="13"/>
      <x:c r="G159" s="6"/>
      <x:c r="H159" s="6"/>
      <x:c r="I159" s="6"/>
      <x:c r="J159" s="6"/>
      <x:c r="K159" s="6"/>
      <x:c r="L159" s="5" t="str">
        <x:f>IF(A159="","",IF(B159="","Eksik tarih",B159-WEEKDAY(B159,2)+1))</x:f>
      </x:c>
      <x:c r="M159" s="2" t="str">
        <x:f>IF(A159="","",A159&amp;L159)</x:f>
      </x:c>
      <x:c r="N159" s="2" t="n">
        <x:f>IF(AND(A159='Panel'!$C$5,B159&lt;='Panel'!$N$5),B159,0)</x:f>
        <x:v>0</x:v>
      </x:c>
    </x:row>
    <x:row r="160" ht="22" customHeight="1">
      <x:c r="A160" s="6"/>
      <x:c r="B160" s="7"/>
      <x:c r="C160" s="15"/>
      <x:c r="D160" s="15"/>
      <x:c r="E160" s="13"/>
      <x:c r="F160" s="13"/>
      <x:c r="G160" s="6"/>
      <x:c r="H160" s="6"/>
      <x:c r="I160" s="6"/>
      <x:c r="J160" s="6"/>
      <x:c r="K160" s="6"/>
      <x:c r="L160" s="5" t="str">
        <x:f>IF(A160="","",IF(B160="","Eksik tarih",B160-WEEKDAY(B160,2)+1))</x:f>
      </x:c>
      <x:c r="M160" s="2" t="str">
        <x:f>IF(A160="","",A160&amp;L160)</x:f>
      </x:c>
      <x:c r="N160" s="2" t="n">
        <x:f>IF(AND(A160='Panel'!$C$5,B160&lt;='Panel'!$N$5),B160,0)</x:f>
        <x:v>0</x:v>
      </x:c>
    </x:row>
    <x:row r="161" ht="22" customHeight="1">
      <x:c r="A161" s="6"/>
      <x:c r="B161" s="7"/>
      <x:c r="C161" s="15"/>
      <x:c r="D161" s="15"/>
      <x:c r="E161" s="13"/>
      <x:c r="F161" s="13"/>
      <x:c r="G161" s="6"/>
      <x:c r="H161" s="6"/>
      <x:c r="I161" s="6"/>
      <x:c r="J161" s="6"/>
      <x:c r="K161" s="6"/>
      <x:c r="L161" s="5" t="str">
        <x:f>IF(A161="","",IF(B161="","Eksik tarih",B161-WEEKDAY(B161,2)+1))</x:f>
      </x:c>
      <x:c r="M161" s="2" t="str">
        <x:f>IF(A161="","",A161&amp;L161)</x:f>
      </x:c>
      <x:c r="N161" s="2" t="n">
        <x:f>IF(AND(A161='Panel'!$C$5,B161&lt;='Panel'!$N$5),B161,0)</x:f>
        <x:v>0</x:v>
      </x:c>
    </x:row>
    <x:row r="162" ht="22" customHeight="1">
      <x:c r="A162" s="6"/>
      <x:c r="B162" s="7"/>
      <x:c r="C162" s="15"/>
      <x:c r="D162" s="15"/>
      <x:c r="E162" s="13"/>
      <x:c r="F162" s="13"/>
      <x:c r="G162" s="6"/>
      <x:c r="H162" s="6"/>
      <x:c r="I162" s="6"/>
      <x:c r="J162" s="6"/>
      <x:c r="K162" s="6"/>
      <x:c r="L162" s="5" t="str">
        <x:f>IF(A162="","",IF(B162="","Eksik tarih",B162-WEEKDAY(B162,2)+1))</x:f>
      </x:c>
      <x:c r="M162" s="2" t="str">
        <x:f>IF(A162="","",A162&amp;L162)</x:f>
      </x:c>
      <x:c r="N162" s="2" t="n">
        <x:f>IF(AND(A162='Panel'!$C$5,B162&lt;='Panel'!$N$5),B162,0)</x:f>
        <x:v>0</x:v>
      </x:c>
    </x:row>
    <x:row r="163" ht="22" customHeight="1">
      <x:c r="A163" s="6"/>
      <x:c r="B163" s="7"/>
      <x:c r="C163" s="15"/>
      <x:c r="D163" s="15"/>
      <x:c r="E163" s="13"/>
      <x:c r="F163" s="13"/>
      <x:c r="G163" s="6"/>
      <x:c r="H163" s="6"/>
      <x:c r="I163" s="6"/>
      <x:c r="J163" s="6"/>
      <x:c r="K163" s="6"/>
      <x:c r="L163" s="5" t="str">
        <x:f>IF(A163="","",IF(B163="","Eksik tarih",B163-WEEKDAY(B163,2)+1))</x:f>
      </x:c>
      <x:c r="M163" s="2" t="str">
        <x:f>IF(A163="","",A163&amp;L163)</x:f>
      </x:c>
      <x:c r="N163" s="2" t="n">
        <x:f>IF(AND(A163='Panel'!$C$5,B163&lt;='Panel'!$N$5),B163,0)</x:f>
        <x:v>0</x:v>
      </x:c>
    </x:row>
    <x:row r="164" ht="22" customHeight="1">
      <x:c r="A164" s="6"/>
      <x:c r="B164" s="7"/>
      <x:c r="C164" s="15"/>
      <x:c r="D164" s="15"/>
      <x:c r="E164" s="13"/>
      <x:c r="F164" s="13"/>
      <x:c r="G164" s="6"/>
      <x:c r="H164" s="6"/>
      <x:c r="I164" s="6"/>
      <x:c r="J164" s="6"/>
      <x:c r="K164" s="6"/>
      <x:c r="L164" s="5" t="str">
        <x:f>IF(A164="","",IF(B164="","Eksik tarih",B164-WEEKDAY(B164,2)+1))</x:f>
      </x:c>
      <x:c r="M164" s="2" t="str">
        <x:f>IF(A164="","",A164&amp;L164)</x:f>
      </x:c>
      <x:c r="N164" s="2" t="n">
        <x:f>IF(AND(A164='Panel'!$C$5,B164&lt;='Panel'!$N$5),B164,0)</x:f>
        <x:v>0</x:v>
      </x:c>
    </x:row>
    <x:row r="165" ht="22" customHeight="1">
      <x:c r="A165" s="6"/>
      <x:c r="B165" s="7"/>
      <x:c r="C165" s="15"/>
      <x:c r="D165" s="15"/>
      <x:c r="E165" s="13"/>
      <x:c r="F165" s="13"/>
      <x:c r="G165" s="6"/>
      <x:c r="H165" s="6"/>
      <x:c r="I165" s="6"/>
      <x:c r="J165" s="6"/>
      <x:c r="K165" s="6"/>
      <x:c r="L165" s="5" t="str">
        <x:f>IF(A165="","",IF(B165="","Eksik tarih",B165-WEEKDAY(B165,2)+1))</x:f>
      </x:c>
      <x:c r="M165" s="2" t="str">
        <x:f>IF(A165="","",A165&amp;L165)</x:f>
      </x:c>
      <x:c r="N165" s="2" t="n">
        <x:f>IF(AND(A165='Panel'!$C$5,B165&lt;='Panel'!$N$5),B165,0)</x:f>
        <x:v>0</x:v>
      </x:c>
    </x:row>
    <x:row r="166" ht="22" customHeight="1">
      <x:c r="A166" s="6"/>
      <x:c r="B166" s="7"/>
      <x:c r="C166" s="15"/>
      <x:c r="D166" s="15"/>
      <x:c r="E166" s="13"/>
      <x:c r="F166" s="13"/>
      <x:c r="G166" s="6"/>
      <x:c r="H166" s="6"/>
      <x:c r="I166" s="6"/>
      <x:c r="J166" s="6"/>
      <x:c r="K166" s="6"/>
      <x:c r="L166" s="5" t="str">
        <x:f>IF(A166="","",IF(B166="","Eksik tarih",B166-WEEKDAY(B166,2)+1))</x:f>
      </x:c>
      <x:c r="M166" s="2" t="str">
        <x:f>IF(A166="","",A166&amp;L166)</x:f>
      </x:c>
      <x:c r="N166" s="2" t="n">
        <x:f>IF(AND(A166='Panel'!$C$5,B166&lt;='Panel'!$N$5),B166,0)</x:f>
        <x:v>0</x:v>
      </x:c>
    </x:row>
    <x:row r="167" ht="22" customHeight="1">
      <x:c r="A167" s="6"/>
      <x:c r="B167" s="7"/>
      <x:c r="C167" s="15"/>
      <x:c r="D167" s="15"/>
      <x:c r="E167" s="13"/>
      <x:c r="F167" s="13"/>
      <x:c r="G167" s="6"/>
      <x:c r="H167" s="6"/>
      <x:c r="I167" s="6"/>
      <x:c r="J167" s="6"/>
      <x:c r="K167" s="6"/>
      <x:c r="L167" s="5" t="str">
        <x:f>IF(A167="","",IF(B167="","Eksik tarih",B167-WEEKDAY(B167,2)+1))</x:f>
      </x:c>
      <x:c r="M167" s="2" t="str">
        <x:f>IF(A167="","",A167&amp;L167)</x:f>
      </x:c>
      <x:c r="N167" s="2" t="n">
        <x:f>IF(AND(A167='Panel'!$C$5,B167&lt;='Panel'!$N$5),B167,0)</x:f>
        <x:v>0</x:v>
      </x:c>
    </x:row>
    <x:row r="168" ht="22" customHeight="1">
      <x:c r="A168" s="6"/>
      <x:c r="B168" s="7"/>
      <x:c r="C168" s="15"/>
      <x:c r="D168" s="15"/>
      <x:c r="E168" s="13"/>
      <x:c r="F168" s="13"/>
      <x:c r="G168" s="6"/>
      <x:c r="H168" s="6"/>
      <x:c r="I168" s="6"/>
      <x:c r="J168" s="6"/>
      <x:c r="K168" s="6"/>
      <x:c r="L168" s="5" t="str">
        <x:f>IF(A168="","",IF(B168="","Eksik tarih",B168-WEEKDAY(B168,2)+1))</x:f>
      </x:c>
      <x:c r="M168" s="2" t="str">
        <x:f>IF(A168="","",A168&amp;L168)</x:f>
      </x:c>
      <x:c r="N168" s="2" t="n">
        <x:f>IF(AND(A168='Panel'!$C$5,B168&lt;='Panel'!$N$5),B168,0)</x:f>
        <x:v>0</x:v>
      </x:c>
    </x:row>
    <x:row r="169" ht="22" customHeight="1">
      <x:c r="A169" s="6"/>
      <x:c r="B169" s="7"/>
      <x:c r="C169" s="15"/>
      <x:c r="D169" s="15"/>
      <x:c r="E169" s="13"/>
      <x:c r="F169" s="13"/>
      <x:c r="G169" s="6"/>
      <x:c r="H169" s="6"/>
      <x:c r="I169" s="6"/>
      <x:c r="J169" s="6"/>
      <x:c r="K169" s="6"/>
      <x:c r="L169" s="5" t="str">
        <x:f>IF(A169="","",IF(B169="","Eksik tarih",B169-WEEKDAY(B169,2)+1))</x:f>
      </x:c>
      <x:c r="M169" s="2" t="str">
        <x:f>IF(A169="","",A169&amp;L169)</x:f>
      </x:c>
      <x:c r="N169" s="2" t="n">
        <x:f>IF(AND(A169='Panel'!$C$5,B169&lt;='Panel'!$N$5),B169,0)</x:f>
        <x:v>0</x:v>
      </x:c>
    </x:row>
    <x:row r="170" ht="22" customHeight="1">
      <x:c r="A170" s="6"/>
      <x:c r="B170" s="7"/>
      <x:c r="C170" s="15"/>
      <x:c r="D170" s="15"/>
      <x:c r="E170" s="13"/>
      <x:c r="F170" s="13"/>
      <x:c r="G170" s="6"/>
      <x:c r="H170" s="6"/>
      <x:c r="I170" s="6"/>
      <x:c r="J170" s="6"/>
      <x:c r="K170" s="6"/>
      <x:c r="L170" s="5" t="str">
        <x:f>IF(A170="","",IF(B170="","Eksik tarih",B170-WEEKDAY(B170,2)+1))</x:f>
      </x:c>
      <x:c r="M170" s="2" t="str">
        <x:f>IF(A170="","",A170&amp;L170)</x:f>
      </x:c>
      <x:c r="N170" s="2" t="n">
        <x:f>IF(AND(A170='Panel'!$C$5,B170&lt;='Panel'!$N$5),B170,0)</x:f>
        <x:v>0</x:v>
      </x:c>
    </x:row>
    <x:row r="171" ht="22" customHeight="1">
      <x:c r="A171" s="6"/>
      <x:c r="B171" s="7"/>
      <x:c r="C171" s="15"/>
      <x:c r="D171" s="15"/>
      <x:c r="E171" s="13"/>
      <x:c r="F171" s="13"/>
      <x:c r="G171" s="6"/>
      <x:c r="H171" s="6"/>
      <x:c r="I171" s="6"/>
      <x:c r="J171" s="6"/>
      <x:c r="K171" s="6"/>
      <x:c r="L171" s="5" t="str">
        <x:f>IF(A171="","",IF(B171="","Eksik tarih",B171-WEEKDAY(B171,2)+1))</x:f>
      </x:c>
      <x:c r="M171" s="2" t="str">
        <x:f>IF(A171="","",A171&amp;L171)</x:f>
      </x:c>
      <x:c r="N171" s="2" t="n">
        <x:f>IF(AND(A171='Panel'!$C$5,B171&lt;='Panel'!$N$5),B171,0)</x:f>
        <x:v>0</x:v>
      </x:c>
    </x:row>
    <x:row r="172" ht="22" customHeight="1">
      <x:c r="A172" s="6"/>
      <x:c r="B172" s="7"/>
      <x:c r="C172" s="15"/>
      <x:c r="D172" s="15"/>
      <x:c r="E172" s="13"/>
      <x:c r="F172" s="13"/>
      <x:c r="G172" s="6"/>
      <x:c r="H172" s="6"/>
      <x:c r="I172" s="6"/>
      <x:c r="J172" s="6"/>
      <x:c r="K172" s="6"/>
      <x:c r="L172" s="5" t="str">
        <x:f>IF(A172="","",IF(B172="","Eksik tarih",B172-WEEKDAY(B172,2)+1))</x:f>
      </x:c>
      <x:c r="M172" s="2" t="str">
        <x:f>IF(A172="","",A172&amp;L172)</x:f>
      </x:c>
      <x:c r="N172" s="2" t="n">
        <x:f>IF(AND(A172='Panel'!$C$5,B172&lt;='Panel'!$N$5),B172,0)</x:f>
        <x:v>0</x:v>
      </x:c>
    </x:row>
    <x:row r="173" ht="22" customHeight="1">
      <x:c r="A173" s="6"/>
      <x:c r="B173" s="7"/>
      <x:c r="C173" s="15"/>
      <x:c r="D173" s="15"/>
      <x:c r="E173" s="13"/>
      <x:c r="F173" s="13"/>
      <x:c r="G173" s="6"/>
      <x:c r="H173" s="6"/>
      <x:c r="I173" s="6"/>
      <x:c r="J173" s="6"/>
      <x:c r="K173" s="6"/>
      <x:c r="L173" s="5" t="str">
        <x:f>IF(A173="","",IF(B173="","Eksik tarih",B173-WEEKDAY(B173,2)+1))</x:f>
      </x:c>
      <x:c r="M173" s="2" t="str">
        <x:f>IF(A173="","",A173&amp;L173)</x:f>
      </x:c>
      <x:c r="N173" s="2" t="n">
        <x:f>IF(AND(A173='Panel'!$C$5,B173&lt;='Panel'!$N$5),B173,0)</x:f>
        <x:v>0</x:v>
      </x:c>
    </x:row>
    <x:row r="174" ht="22" customHeight="1">
      <x:c r="A174" s="6"/>
      <x:c r="B174" s="7"/>
      <x:c r="C174" s="15"/>
      <x:c r="D174" s="15"/>
      <x:c r="E174" s="13"/>
      <x:c r="F174" s="13"/>
      <x:c r="G174" s="6"/>
      <x:c r="H174" s="6"/>
      <x:c r="I174" s="6"/>
      <x:c r="J174" s="6"/>
      <x:c r="K174" s="6"/>
      <x:c r="L174" s="5" t="str">
        <x:f>IF(A174="","",IF(B174="","Eksik tarih",B174-WEEKDAY(B174,2)+1))</x:f>
      </x:c>
      <x:c r="M174" s="2" t="str">
        <x:f>IF(A174="","",A174&amp;L174)</x:f>
      </x:c>
      <x:c r="N174" s="2" t="n">
        <x:f>IF(AND(A174='Panel'!$C$5,B174&lt;='Panel'!$N$5),B174,0)</x:f>
        <x:v>0</x:v>
      </x:c>
    </x:row>
    <x:row r="175" ht="22" customHeight="1">
      <x:c r="A175" s="6"/>
      <x:c r="B175" s="7"/>
      <x:c r="C175" s="15"/>
      <x:c r="D175" s="15"/>
      <x:c r="E175" s="13"/>
      <x:c r="F175" s="13"/>
      <x:c r="G175" s="6"/>
      <x:c r="H175" s="6"/>
      <x:c r="I175" s="6"/>
      <x:c r="J175" s="6"/>
      <x:c r="K175" s="6"/>
      <x:c r="L175" s="5" t="str">
        <x:f>IF(A175="","",IF(B175="","Eksik tarih",B175-WEEKDAY(B175,2)+1))</x:f>
      </x:c>
      <x:c r="M175" s="2" t="str">
        <x:f>IF(A175="","",A175&amp;L175)</x:f>
      </x:c>
      <x:c r="N175" s="2" t="n">
        <x:f>IF(AND(A175='Panel'!$C$5,B175&lt;='Panel'!$N$5),B175,0)</x:f>
        <x:v>0</x:v>
      </x:c>
    </x:row>
    <x:row r="176" ht="22" customHeight="1">
      <x:c r="A176" s="6"/>
      <x:c r="B176" s="7"/>
      <x:c r="C176" s="15"/>
      <x:c r="D176" s="15"/>
      <x:c r="E176" s="13"/>
      <x:c r="F176" s="13"/>
      <x:c r="G176" s="6"/>
      <x:c r="H176" s="6"/>
      <x:c r="I176" s="6"/>
      <x:c r="J176" s="6"/>
      <x:c r="K176" s="6"/>
      <x:c r="L176" s="5" t="str">
        <x:f>IF(A176="","",IF(B176="","Eksik tarih",B176-WEEKDAY(B176,2)+1))</x:f>
      </x:c>
      <x:c r="M176" s="2" t="str">
        <x:f>IF(A176="","",A176&amp;L176)</x:f>
      </x:c>
      <x:c r="N176" s="2" t="n">
        <x:f>IF(AND(A176='Panel'!$C$5,B176&lt;='Panel'!$N$5),B176,0)</x:f>
        <x:v>0</x:v>
      </x:c>
    </x:row>
    <x:row r="177" ht="22" customHeight="1">
      <x:c r="A177" s="6"/>
      <x:c r="B177" s="7"/>
      <x:c r="C177" s="15"/>
      <x:c r="D177" s="15"/>
      <x:c r="E177" s="13"/>
      <x:c r="F177" s="13"/>
      <x:c r="G177" s="6"/>
      <x:c r="H177" s="6"/>
      <x:c r="I177" s="6"/>
      <x:c r="J177" s="6"/>
      <x:c r="K177" s="6"/>
      <x:c r="L177" s="5" t="str">
        <x:f>IF(A177="","",IF(B177="","Eksik tarih",B177-WEEKDAY(B177,2)+1))</x:f>
      </x:c>
      <x:c r="M177" s="2" t="str">
        <x:f>IF(A177="","",A177&amp;L177)</x:f>
      </x:c>
      <x:c r="N177" s="2" t="n">
        <x:f>IF(AND(A177='Panel'!$C$5,B177&lt;='Panel'!$N$5),B177,0)</x:f>
        <x:v>0</x:v>
      </x:c>
    </x:row>
    <x:row r="178" ht="22" customHeight="1">
      <x:c r="A178" s="6"/>
      <x:c r="B178" s="7"/>
      <x:c r="C178" s="15"/>
      <x:c r="D178" s="15"/>
      <x:c r="E178" s="13"/>
      <x:c r="F178" s="13"/>
      <x:c r="G178" s="6"/>
      <x:c r="H178" s="6"/>
      <x:c r="I178" s="6"/>
      <x:c r="J178" s="6"/>
      <x:c r="K178" s="6"/>
      <x:c r="L178" s="5" t="str">
        <x:f>IF(A178="","",IF(B178="","Eksik tarih",B178-WEEKDAY(B178,2)+1))</x:f>
      </x:c>
      <x:c r="M178" s="2" t="str">
        <x:f>IF(A178="","",A178&amp;L178)</x:f>
      </x:c>
      <x:c r="N178" s="2" t="n">
        <x:f>IF(AND(A178='Panel'!$C$5,B178&lt;='Panel'!$N$5),B178,0)</x:f>
        <x:v>0</x:v>
      </x:c>
    </x:row>
    <x:row r="179" ht="22" customHeight="1">
      <x:c r="A179" s="6"/>
      <x:c r="B179" s="7"/>
      <x:c r="C179" s="15"/>
      <x:c r="D179" s="15"/>
      <x:c r="E179" s="13"/>
      <x:c r="F179" s="13"/>
      <x:c r="G179" s="6"/>
      <x:c r="H179" s="6"/>
      <x:c r="I179" s="6"/>
      <x:c r="J179" s="6"/>
      <x:c r="K179" s="6"/>
      <x:c r="L179" s="5" t="str">
        <x:f>IF(A179="","",IF(B179="","Eksik tarih",B179-WEEKDAY(B179,2)+1))</x:f>
      </x:c>
      <x:c r="M179" s="2" t="str">
        <x:f>IF(A179="","",A179&amp;L179)</x:f>
      </x:c>
      <x:c r="N179" s="2" t="n">
        <x:f>IF(AND(A179='Panel'!$C$5,B179&lt;='Panel'!$N$5),B179,0)</x:f>
        <x:v>0</x:v>
      </x:c>
    </x:row>
    <x:row r="180" ht="22" customHeight="1">
      <x:c r="A180" s="6"/>
      <x:c r="B180" s="7"/>
      <x:c r="C180" s="15"/>
      <x:c r="D180" s="15"/>
      <x:c r="E180" s="13"/>
      <x:c r="F180" s="13"/>
      <x:c r="G180" s="6"/>
      <x:c r="H180" s="6"/>
      <x:c r="I180" s="6"/>
      <x:c r="J180" s="6"/>
      <x:c r="K180" s="6"/>
      <x:c r="L180" s="5" t="str">
        <x:f>IF(A180="","",IF(B180="","Eksik tarih",B180-WEEKDAY(B180,2)+1))</x:f>
      </x:c>
      <x:c r="M180" s="2" t="str">
        <x:f>IF(A180="","",A180&amp;L180)</x:f>
      </x:c>
      <x:c r="N180" s="2" t="n">
        <x:f>IF(AND(A180='Panel'!$C$5,B180&lt;='Panel'!$N$5),B180,0)</x:f>
        <x:v>0</x:v>
      </x:c>
    </x:row>
    <x:row r="181" ht="22" customHeight="1">
      <x:c r="A181" s="6"/>
      <x:c r="B181" s="7"/>
      <x:c r="C181" s="15"/>
      <x:c r="D181" s="15"/>
      <x:c r="E181" s="13"/>
      <x:c r="F181" s="13"/>
      <x:c r="G181" s="6"/>
      <x:c r="H181" s="6"/>
      <x:c r="I181" s="6"/>
      <x:c r="J181" s="6"/>
      <x:c r="K181" s="6"/>
      <x:c r="L181" s="5" t="str">
        <x:f>IF(A181="","",IF(B181="","Eksik tarih",B181-WEEKDAY(B181,2)+1))</x:f>
      </x:c>
      <x:c r="M181" s="2" t="str">
        <x:f>IF(A181="","",A181&amp;L181)</x:f>
      </x:c>
      <x:c r="N181" s="2" t="n">
        <x:f>IF(AND(A181='Panel'!$C$5,B181&lt;='Panel'!$N$5),B181,0)</x:f>
        <x:v>0</x:v>
      </x:c>
    </x:row>
    <x:row r="182" ht="22" customHeight="1">
      <x:c r="A182" s="6"/>
      <x:c r="B182" s="7"/>
      <x:c r="C182" s="15"/>
      <x:c r="D182" s="15"/>
      <x:c r="E182" s="13"/>
      <x:c r="F182" s="13"/>
      <x:c r="G182" s="6"/>
      <x:c r="H182" s="6"/>
      <x:c r="I182" s="6"/>
      <x:c r="J182" s="6"/>
      <x:c r="K182" s="6"/>
      <x:c r="L182" s="5" t="str">
        <x:f>IF(A182="","",IF(B182="","Eksik tarih",B182-WEEKDAY(B182,2)+1))</x:f>
      </x:c>
      <x:c r="M182" s="2" t="str">
        <x:f>IF(A182="","",A182&amp;L182)</x:f>
      </x:c>
      <x:c r="N182" s="2" t="n">
        <x:f>IF(AND(A182='Panel'!$C$5,B182&lt;='Panel'!$N$5),B182,0)</x:f>
        <x:v>0</x:v>
      </x:c>
    </x:row>
    <x:row r="183" ht="22" customHeight="1">
      <x:c r="A183" s="6"/>
      <x:c r="B183" s="7"/>
      <x:c r="C183" s="15"/>
      <x:c r="D183" s="15"/>
      <x:c r="E183" s="13"/>
      <x:c r="F183" s="13"/>
      <x:c r="G183" s="6"/>
      <x:c r="H183" s="6"/>
      <x:c r="I183" s="6"/>
      <x:c r="J183" s="6"/>
      <x:c r="K183" s="6"/>
      <x:c r="L183" s="5" t="str">
        <x:f>IF(A183="","",IF(B183="","Eksik tarih",B183-WEEKDAY(B183,2)+1))</x:f>
      </x:c>
      <x:c r="M183" s="2" t="str">
        <x:f>IF(A183="","",A183&amp;L183)</x:f>
      </x:c>
      <x:c r="N183" s="2" t="n">
        <x:f>IF(AND(A183='Panel'!$C$5,B183&lt;='Panel'!$N$5),B183,0)</x:f>
        <x:v>0</x:v>
      </x:c>
    </x:row>
    <x:row r="184" ht="22" customHeight="1">
      <x:c r="A184" s="6"/>
      <x:c r="B184" s="7"/>
      <x:c r="C184" s="15"/>
      <x:c r="D184" s="15"/>
      <x:c r="E184" s="13"/>
      <x:c r="F184" s="13"/>
      <x:c r="G184" s="6"/>
      <x:c r="H184" s="6"/>
      <x:c r="I184" s="6"/>
      <x:c r="J184" s="6"/>
      <x:c r="K184" s="6"/>
      <x:c r="L184" s="5" t="str">
        <x:f>IF(A184="","",IF(B184="","Eksik tarih",B184-WEEKDAY(B184,2)+1))</x:f>
      </x:c>
      <x:c r="M184" s="2" t="str">
        <x:f>IF(A184="","",A184&amp;L184)</x:f>
      </x:c>
      <x:c r="N184" s="2" t="n">
        <x:f>IF(AND(A184='Panel'!$C$5,B184&lt;='Panel'!$N$5),B184,0)</x:f>
        <x:v>0</x:v>
      </x:c>
    </x:row>
    <x:row r="185" ht="22" customHeight="1">
      <x:c r="A185" s="6"/>
      <x:c r="B185" s="7"/>
      <x:c r="C185" s="15"/>
      <x:c r="D185" s="15"/>
      <x:c r="E185" s="13"/>
      <x:c r="F185" s="13"/>
      <x:c r="G185" s="6"/>
      <x:c r="H185" s="6"/>
      <x:c r="I185" s="6"/>
      <x:c r="J185" s="6"/>
      <x:c r="K185" s="6"/>
      <x:c r="L185" s="5" t="str">
        <x:f>IF(A185="","",IF(B185="","Eksik tarih",B185-WEEKDAY(B185,2)+1))</x:f>
      </x:c>
      <x:c r="M185" s="2" t="str">
        <x:f>IF(A185="","",A185&amp;L185)</x:f>
      </x:c>
      <x:c r="N185" s="2" t="n">
        <x:f>IF(AND(A185='Panel'!$C$5,B185&lt;='Panel'!$N$5),B185,0)</x:f>
        <x:v>0</x:v>
      </x:c>
    </x:row>
    <x:row r="186" ht="22" customHeight="1">
      <x:c r="A186" s="6"/>
      <x:c r="B186" s="7"/>
      <x:c r="C186" s="15"/>
      <x:c r="D186" s="15"/>
      <x:c r="E186" s="13"/>
      <x:c r="F186" s="13"/>
      <x:c r="G186" s="6"/>
      <x:c r="H186" s="6"/>
      <x:c r="I186" s="6"/>
      <x:c r="J186" s="6"/>
      <x:c r="K186" s="6"/>
      <x:c r="L186" s="5" t="str">
        <x:f>IF(A186="","",IF(B186="","Eksik tarih",B186-WEEKDAY(B186,2)+1))</x:f>
      </x:c>
      <x:c r="M186" s="2" t="str">
        <x:f>IF(A186="","",A186&amp;L186)</x:f>
      </x:c>
      <x:c r="N186" s="2" t="n">
        <x:f>IF(AND(A186='Panel'!$C$5,B186&lt;='Panel'!$N$5),B186,0)</x:f>
        <x:v>0</x:v>
      </x:c>
    </x:row>
    <x:row r="187" ht="22" customHeight="1">
      <x:c r="A187" s="6"/>
      <x:c r="B187" s="7"/>
      <x:c r="C187" s="15"/>
      <x:c r="D187" s="15"/>
      <x:c r="E187" s="13"/>
      <x:c r="F187" s="13"/>
      <x:c r="G187" s="6"/>
      <x:c r="H187" s="6"/>
      <x:c r="I187" s="6"/>
      <x:c r="J187" s="6"/>
      <x:c r="K187" s="6"/>
      <x:c r="L187" s="5" t="str">
        <x:f>IF(A187="","",IF(B187="","Eksik tarih",B187-WEEKDAY(B187,2)+1))</x:f>
      </x:c>
      <x:c r="M187" s="2" t="str">
        <x:f>IF(A187="","",A187&amp;L187)</x:f>
      </x:c>
      <x:c r="N187" s="2" t="n">
        <x:f>IF(AND(A187='Panel'!$C$5,B187&lt;='Panel'!$N$5),B187,0)</x:f>
        <x:v>0</x:v>
      </x:c>
    </x:row>
    <x:row r="188" ht="22" customHeight="1">
      <x:c r="A188" s="6"/>
      <x:c r="B188" s="7"/>
      <x:c r="C188" s="15"/>
      <x:c r="D188" s="15"/>
      <x:c r="E188" s="13"/>
      <x:c r="F188" s="13"/>
      <x:c r="G188" s="6"/>
      <x:c r="H188" s="6"/>
      <x:c r="I188" s="6"/>
      <x:c r="J188" s="6"/>
      <x:c r="K188" s="6"/>
      <x:c r="L188" s="5" t="str">
        <x:f>IF(A188="","",IF(B188="","Eksik tarih",B188-WEEKDAY(B188,2)+1))</x:f>
      </x:c>
      <x:c r="M188" s="2" t="str">
        <x:f>IF(A188="","",A188&amp;L188)</x:f>
      </x:c>
      <x:c r="N188" s="2" t="n">
        <x:f>IF(AND(A188='Panel'!$C$5,B188&lt;='Panel'!$N$5),B188,0)</x:f>
        <x:v>0</x:v>
      </x:c>
    </x:row>
    <x:row r="189" ht="22" customHeight="1">
      <x:c r="A189" s="6"/>
      <x:c r="B189" s="7"/>
      <x:c r="C189" s="15"/>
      <x:c r="D189" s="15"/>
      <x:c r="E189" s="13"/>
      <x:c r="F189" s="13"/>
      <x:c r="G189" s="6"/>
      <x:c r="H189" s="6"/>
      <x:c r="I189" s="6"/>
      <x:c r="J189" s="6"/>
      <x:c r="K189" s="6"/>
      <x:c r="L189" s="5" t="str">
        <x:f>IF(A189="","",IF(B189="","Eksik tarih",B189-WEEKDAY(B189,2)+1))</x:f>
      </x:c>
      <x:c r="M189" s="2" t="str">
        <x:f>IF(A189="","",A189&amp;L189)</x:f>
      </x:c>
      <x:c r="N189" s="2" t="n">
        <x:f>IF(AND(A189='Panel'!$C$5,B189&lt;='Panel'!$N$5),B189,0)</x:f>
        <x:v>0</x:v>
      </x:c>
    </x:row>
    <x:row r="190" ht="22" customHeight="1">
      <x:c r="A190" s="6"/>
      <x:c r="B190" s="7"/>
      <x:c r="C190" s="15"/>
      <x:c r="D190" s="15"/>
      <x:c r="E190" s="13"/>
      <x:c r="F190" s="13"/>
      <x:c r="G190" s="6"/>
      <x:c r="H190" s="6"/>
      <x:c r="I190" s="6"/>
      <x:c r="J190" s="6"/>
      <x:c r="K190" s="6"/>
      <x:c r="L190" s="5" t="str">
        <x:f>IF(A190="","",IF(B190="","Eksik tarih",B190-WEEKDAY(B190,2)+1))</x:f>
      </x:c>
      <x:c r="M190" s="2" t="str">
        <x:f>IF(A190="","",A190&amp;L190)</x:f>
      </x:c>
      <x:c r="N190" s="2" t="n">
        <x:f>IF(AND(A190='Panel'!$C$5,B190&lt;='Panel'!$N$5),B190,0)</x:f>
        <x:v>0</x:v>
      </x:c>
    </x:row>
    <x:row r="191" ht="22" customHeight="1">
      <x:c r="A191" s="6"/>
      <x:c r="B191" s="7"/>
      <x:c r="C191" s="15"/>
      <x:c r="D191" s="15"/>
      <x:c r="E191" s="13"/>
      <x:c r="F191" s="13"/>
      <x:c r="G191" s="6"/>
      <x:c r="H191" s="6"/>
      <x:c r="I191" s="6"/>
      <x:c r="J191" s="6"/>
      <x:c r="K191" s="6"/>
      <x:c r="L191" s="5" t="str">
        <x:f>IF(A191="","",IF(B191="","Eksik tarih",B191-WEEKDAY(B191,2)+1))</x:f>
      </x:c>
      <x:c r="M191" s="2" t="str">
        <x:f>IF(A191="","",A191&amp;L191)</x:f>
      </x:c>
      <x:c r="N191" s="2" t="n">
        <x:f>IF(AND(A191='Panel'!$C$5,B191&lt;='Panel'!$N$5),B191,0)</x:f>
        <x:v>0</x:v>
      </x:c>
    </x:row>
    <x:row r="192" ht="22" customHeight="1">
      <x:c r="A192" s="6"/>
      <x:c r="B192" s="7"/>
      <x:c r="C192" s="15"/>
      <x:c r="D192" s="15"/>
      <x:c r="E192" s="13"/>
      <x:c r="F192" s="13"/>
      <x:c r="G192" s="6"/>
      <x:c r="H192" s="6"/>
      <x:c r="I192" s="6"/>
      <x:c r="J192" s="6"/>
      <x:c r="K192" s="6"/>
      <x:c r="L192" s="5" t="str">
        <x:f>IF(A192="","",IF(B192="","Eksik tarih",B192-WEEKDAY(B192,2)+1))</x:f>
      </x:c>
      <x:c r="M192" s="2" t="str">
        <x:f>IF(A192="","",A192&amp;L192)</x:f>
      </x:c>
      <x:c r="N192" s="2" t="n">
        <x:f>IF(AND(A192='Panel'!$C$5,B192&lt;='Panel'!$N$5),B192,0)</x:f>
        <x:v>0</x:v>
      </x:c>
    </x:row>
    <x:row r="193" ht="22" customHeight="1">
      <x:c r="A193" s="6"/>
      <x:c r="B193" s="7"/>
      <x:c r="C193" s="15"/>
      <x:c r="D193" s="15"/>
      <x:c r="E193" s="13"/>
      <x:c r="F193" s="13"/>
      <x:c r="G193" s="6"/>
      <x:c r="H193" s="6"/>
      <x:c r="I193" s="6"/>
      <x:c r="J193" s="6"/>
      <x:c r="K193" s="6"/>
      <x:c r="L193" s="5" t="str">
        <x:f>IF(A193="","",IF(B193="","Eksik tarih",B193-WEEKDAY(B193,2)+1))</x:f>
      </x:c>
      <x:c r="M193" s="2" t="str">
        <x:f>IF(A193="","",A193&amp;L193)</x:f>
      </x:c>
      <x:c r="N193" s="2" t="n">
        <x:f>IF(AND(A193='Panel'!$C$5,B193&lt;='Panel'!$N$5),B193,0)</x:f>
        <x:v>0</x:v>
      </x:c>
    </x:row>
    <x:row r="194" ht="22" customHeight="1">
      <x:c r="A194" s="6"/>
      <x:c r="B194" s="7"/>
      <x:c r="C194" s="15"/>
      <x:c r="D194" s="15"/>
      <x:c r="E194" s="13"/>
      <x:c r="F194" s="13"/>
      <x:c r="G194" s="6"/>
      <x:c r="H194" s="6"/>
      <x:c r="I194" s="6"/>
      <x:c r="J194" s="6"/>
      <x:c r="K194" s="6"/>
      <x:c r="L194" s="5" t="str">
        <x:f>IF(A194="","",IF(B194="","Eksik tarih",B194-WEEKDAY(B194,2)+1))</x:f>
      </x:c>
      <x:c r="M194" s="2" t="str">
        <x:f>IF(A194="","",A194&amp;L194)</x:f>
      </x:c>
      <x:c r="N194" s="2" t="n">
        <x:f>IF(AND(A194='Panel'!$C$5,B194&lt;='Panel'!$N$5),B194,0)</x:f>
        <x:v>0</x:v>
      </x:c>
    </x:row>
    <x:row r="195" ht="22" customHeight="1">
      <x:c r="A195" s="6"/>
      <x:c r="B195" s="7"/>
      <x:c r="C195" s="15"/>
      <x:c r="D195" s="15"/>
      <x:c r="E195" s="13"/>
      <x:c r="F195" s="13"/>
      <x:c r="G195" s="6"/>
      <x:c r="H195" s="6"/>
      <x:c r="I195" s="6"/>
      <x:c r="J195" s="6"/>
      <x:c r="K195" s="6"/>
      <x:c r="L195" s="5" t="str">
        <x:f>IF(A195="","",IF(B195="","Eksik tarih",B195-WEEKDAY(B195,2)+1))</x:f>
      </x:c>
      <x:c r="M195" s="2" t="str">
        <x:f>IF(A195="","",A195&amp;L195)</x:f>
      </x:c>
      <x:c r="N195" s="2" t="n">
        <x:f>IF(AND(A195='Panel'!$C$5,B195&lt;='Panel'!$N$5),B195,0)</x:f>
        <x:v>0</x:v>
      </x:c>
    </x:row>
    <x:row r="196" ht="22" customHeight="1">
      <x:c r="A196" s="6"/>
      <x:c r="B196" s="7"/>
      <x:c r="C196" s="15"/>
      <x:c r="D196" s="15"/>
      <x:c r="E196" s="13"/>
      <x:c r="F196" s="13"/>
      <x:c r="G196" s="6"/>
      <x:c r="H196" s="6"/>
      <x:c r="I196" s="6"/>
      <x:c r="J196" s="6"/>
      <x:c r="K196" s="6"/>
      <x:c r="L196" s="5" t="str">
        <x:f>IF(A196="","",IF(B196="","Eksik tarih",B196-WEEKDAY(B196,2)+1))</x:f>
      </x:c>
      <x:c r="M196" s="2" t="str">
        <x:f>IF(A196="","",A196&amp;L196)</x:f>
      </x:c>
      <x:c r="N196" s="2" t="n">
        <x:f>IF(AND(A196='Panel'!$C$5,B196&lt;='Panel'!$N$5),B196,0)</x:f>
        <x:v>0</x:v>
      </x:c>
    </x:row>
    <x:row r="197" ht="22" customHeight="1">
      <x:c r="A197" s="6"/>
      <x:c r="B197" s="7"/>
      <x:c r="C197" s="15"/>
      <x:c r="D197" s="15"/>
      <x:c r="E197" s="13"/>
      <x:c r="F197" s="13"/>
      <x:c r="G197" s="6"/>
      <x:c r="H197" s="6"/>
      <x:c r="I197" s="6"/>
      <x:c r="J197" s="6"/>
      <x:c r="K197" s="6"/>
      <x:c r="L197" s="5" t="str">
        <x:f>IF(A197="","",IF(B197="","Eksik tarih",B197-WEEKDAY(B197,2)+1))</x:f>
      </x:c>
      <x:c r="M197" s="2" t="str">
        <x:f>IF(A197="","",A197&amp;L197)</x:f>
      </x:c>
      <x:c r="N197" s="2" t="n">
        <x:f>IF(AND(A197='Panel'!$C$5,B197&lt;='Panel'!$N$5),B197,0)</x:f>
        <x:v>0</x:v>
      </x:c>
    </x:row>
    <x:row r="198" ht="22" customHeight="1">
      <x:c r="A198" s="6"/>
      <x:c r="B198" s="7"/>
      <x:c r="C198" s="15"/>
      <x:c r="D198" s="15"/>
      <x:c r="E198" s="13"/>
      <x:c r="F198" s="13"/>
      <x:c r="G198" s="6"/>
      <x:c r="H198" s="6"/>
      <x:c r="I198" s="6"/>
      <x:c r="J198" s="6"/>
      <x:c r="K198" s="6"/>
      <x:c r="L198" s="5" t="str">
        <x:f>IF(A198="","",IF(B198="","Eksik tarih",B198-WEEKDAY(B198,2)+1))</x:f>
      </x:c>
      <x:c r="M198" s="2" t="str">
        <x:f>IF(A198="","",A198&amp;L198)</x:f>
      </x:c>
      <x:c r="N198" s="2" t="n">
        <x:f>IF(AND(A198='Panel'!$C$5,B198&lt;='Panel'!$N$5),B198,0)</x:f>
        <x:v>0</x:v>
      </x:c>
    </x:row>
    <x:row r="199" ht="22" customHeight="1">
      <x:c r="A199" s="6"/>
      <x:c r="B199" s="7"/>
      <x:c r="C199" s="15"/>
      <x:c r="D199" s="15"/>
      <x:c r="E199" s="13"/>
      <x:c r="F199" s="13"/>
      <x:c r="G199" s="6"/>
      <x:c r="H199" s="6"/>
      <x:c r="I199" s="6"/>
      <x:c r="J199" s="6"/>
      <x:c r="K199" s="6"/>
      <x:c r="L199" s="5" t="str">
        <x:f>IF(A199="","",IF(B199="","Eksik tarih",B199-WEEKDAY(B199,2)+1))</x:f>
      </x:c>
      <x:c r="M199" s="2" t="str">
        <x:f>IF(A199="","",A199&amp;L199)</x:f>
      </x:c>
      <x:c r="N199" s="2" t="n">
        <x:f>IF(AND(A199='Panel'!$C$5,B199&lt;='Panel'!$N$5),B199,0)</x:f>
        <x:v>0</x:v>
      </x:c>
    </x:row>
    <x:row r="200" ht="22" customHeight="1">
      <x:c r="A200" s="6"/>
      <x:c r="B200" s="7"/>
      <x:c r="C200" s="15"/>
      <x:c r="D200" s="15"/>
      <x:c r="E200" s="13"/>
      <x:c r="F200" s="13"/>
      <x:c r="G200" s="6"/>
      <x:c r="H200" s="6"/>
      <x:c r="I200" s="6"/>
      <x:c r="J200" s="6"/>
      <x:c r="K200" s="6"/>
      <x:c r="L200" s="5" t="str">
        <x:f>IF(A200="","",IF(B200="","Eksik tarih",B200-WEEKDAY(B200,2)+1))</x:f>
      </x:c>
      <x:c r="M200" s="2" t="str">
        <x:f>IF(A200="","",A200&amp;L200)</x:f>
      </x:c>
      <x:c r="N200" s="2" t="n">
        <x:f>IF(AND(A200='Panel'!$C$5,B200&lt;='Panel'!$N$5),B200,0)</x:f>
        <x:v>0</x:v>
      </x:c>
    </x:row>
    <x:row r="201" ht="22" customHeight="1">
      <x:c r="A201" s="6"/>
      <x:c r="B201" s="7"/>
      <x:c r="C201" s="15"/>
      <x:c r="D201" s="15"/>
      <x:c r="E201" s="13"/>
      <x:c r="F201" s="13"/>
      <x:c r="G201" s="6"/>
      <x:c r="H201" s="6"/>
      <x:c r="I201" s="6"/>
      <x:c r="J201" s="6"/>
      <x:c r="K201" s="6"/>
      <x:c r="L201" s="5" t="str">
        <x:f>IF(A201="","",IF(B201="","Eksik tarih",B201-WEEKDAY(B201,2)+1))</x:f>
      </x:c>
      <x:c r="M201" s="2" t="str">
        <x:f>IF(A201="","",A201&amp;L201)</x:f>
      </x:c>
      <x:c r="N201" s="2" t="n">
        <x:f>IF(AND(A201='Panel'!$C$5,B201&lt;='Panel'!$N$5),B201,0)</x:f>
        <x:v>0</x:v>
      </x:c>
    </x:row>
    <x:row r="202" ht="22" customHeight="1">
      <x:c r="A202" s="6"/>
      <x:c r="B202" s="7"/>
      <x:c r="C202" s="15"/>
      <x:c r="D202" s="15"/>
      <x:c r="E202" s="13"/>
      <x:c r="F202" s="13"/>
      <x:c r="G202" s="6"/>
      <x:c r="H202" s="6"/>
      <x:c r="I202" s="6"/>
      <x:c r="J202" s="6"/>
      <x:c r="K202" s="6"/>
      <x:c r="L202" s="5" t="str">
        <x:f>IF(A202="","",IF(B202="","Eksik tarih",B202-WEEKDAY(B202,2)+1))</x:f>
      </x:c>
      <x:c r="M202" s="2" t="str">
        <x:f>IF(A202="","",A202&amp;L202)</x:f>
      </x:c>
      <x:c r="N202" s="2" t="n">
        <x:f>IF(AND(A202='Panel'!$C$5,B202&lt;='Panel'!$N$5),B202,0)</x:f>
        <x:v>0</x:v>
      </x:c>
    </x:row>
    <x:row r="203" ht="22" customHeight="1">
      <x:c r="A203" s="6"/>
      <x:c r="B203" s="7"/>
      <x:c r="C203" s="15"/>
      <x:c r="D203" s="15"/>
      <x:c r="E203" s="13"/>
      <x:c r="F203" s="13"/>
      <x:c r="G203" s="6"/>
      <x:c r="H203" s="6"/>
      <x:c r="I203" s="6"/>
      <x:c r="J203" s="6"/>
      <x:c r="K203" s="6"/>
      <x:c r="L203" s="5" t="str">
        <x:f>IF(A203="","",IF(B203="","Eksik tarih",B203-WEEKDAY(B203,2)+1))</x:f>
      </x:c>
      <x:c r="M203" s="2" t="str">
        <x:f>IF(A203="","",A203&amp;L203)</x:f>
      </x:c>
      <x:c r="N203" s="2" t="n">
        <x:f>IF(AND(A203='Panel'!$C$5,B203&lt;='Panel'!$N$5),B203,0)</x:f>
        <x:v>0</x:v>
      </x:c>
    </x:row>
    <x:row r="204" ht="22" customHeight="1">
      <x:c r="A204" s="6"/>
      <x:c r="B204" s="7"/>
      <x:c r="C204" s="15"/>
      <x:c r="D204" s="15"/>
      <x:c r="E204" s="13"/>
      <x:c r="F204" s="13"/>
      <x:c r="G204" s="6"/>
      <x:c r="H204" s="6"/>
      <x:c r="I204" s="6"/>
      <x:c r="J204" s="6"/>
      <x:c r="K204" s="6"/>
      <x:c r="L204" s="5" t="str">
        <x:f>IF(A204="","",IF(B204="","Eksik tarih",B204-WEEKDAY(B204,2)+1))</x:f>
      </x:c>
      <x:c r="M204" s="2" t="str">
        <x:f>IF(A204="","",A204&amp;L204)</x:f>
      </x:c>
      <x:c r="N204" s="2" t="n">
        <x:f>IF(AND(A204='Panel'!$C$5,B204&lt;='Panel'!$N$5),B204,0)</x:f>
        <x:v>0</x:v>
      </x:c>
    </x:row>
    <x:row r="205" ht="22" customHeight="1">
      <x:c r="A205" s="6"/>
      <x:c r="B205" s="7"/>
      <x:c r="C205" s="15"/>
      <x:c r="D205" s="15"/>
      <x:c r="E205" s="13"/>
      <x:c r="F205" s="13"/>
      <x:c r="G205" s="6"/>
      <x:c r="H205" s="6"/>
      <x:c r="I205" s="6"/>
      <x:c r="J205" s="6"/>
      <x:c r="K205" s="6"/>
      <x:c r="L205" s="5" t="str">
        <x:f>IF(A205="","",IF(B205="","Eksik tarih",B205-WEEKDAY(B205,2)+1))</x:f>
      </x:c>
      <x:c r="M205" s="2" t="str">
        <x:f>IF(A205="","",A205&amp;L205)</x:f>
      </x:c>
      <x:c r="N205" s="2" t="n">
        <x:f>IF(AND(A205='Panel'!$C$5,B205&lt;='Panel'!$N$5),B205,0)</x:f>
        <x:v>0</x:v>
      </x:c>
    </x:row>
    <x:row r="206" ht="22" customHeight="1">
      <x:c r="A206" s="6"/>
      <x:c r="B206" s="7"/>
      <x:c r="C206" s="15"/>
      <x:c r="D206" s="15"/>
      <x:c r="E206" s="13"/>
      <x:c r="F206" s="13"/>
      <x:c r="G206" s="6"/>
      <x:c r="H206" s="6"/>
      <x:c r="I206" s="6"/>
      <x:c r="J206" s="6"/>
      <x:c r="K206" s="6"/>
      <x:c r="L206" s="5" t="str">
        <x:f>IF(A206="","",IF(B206="","Eksik tarih",B206-WEEKDAY(B206,2)+1))</x:f>
      </x:c>
      <x:c r="M206" s="2" t="str">
        <x:f>IF(A206="","",A206&amp;L206)</x:f>
      </x:c>
      <x:c r="N206" s="2" t="n">
        <x:f>IF(AND(A206='Panel'!$C$5,B206&lt;='Panel'!$N$5),B206,0)</x:f>
        <x:v>0</x:v>
      </x:c>
    </x:row>
    <x:row r="207" ht="22" customHeight="1">
      <x:c r="A207" s="6"/>
      <x:c r="B207" s="7"/>
      <x:c r="C207" s="15"/>
      <x:c r="D207" s="15"/>
      <x:c r="E207" s="13"/>
      <x:c r="F207" s="13"/>
      <x:c r="G207" s="6"/>
      <x:c r="H207" s="6"/>
      <x:c r="I207" s="6"/>
      <x:c r="J207" s="6"/>
      <x:c r="K207" s="6"/>
      <x:c r="L207" s="5" t="str">
        <x:f>IF(A207="","",IF(B207="","Eksik tarih",B207-WEEKDAY(B207,2)+1))</x:f>
      </x:c>
      <x:c r="M207" s="2" t="str">
        <x:f>IF(A207="","",A207&amp;L207)</x:f>
      </x:c>
      <x:c r="N207" s="2" t="n">
        <x:f>IF(AND(A207='Panel'!$C$5,B207&lt;='Panel'!$N$5),B207,0)</x:f>
        <x:v>0</x:v>
      </x:c>
    </x:row>
    <x:row r="208" ht="22" customHeight="1">
      <x:c r="A208" s="6"/>
      <x:c r="B208" s="7"/>
      <x:c r="C208" s="15"/>
      <x:c r="D208" s="15"/>
      <x:c r="E208" s="13"/>
      <x:c r="F208" s="13"/>
      <x:c r="G208" s="6"/>
      <x:c r="H208" s="6"/>
      <x:c r="I208" s="6"/>
      <x:c r="J208" s="6"/>
      <x:c r="K208" s="6"/>
      <x:c r="L208" s="5" t="str">
        <x:f>IF(A208="","",IF(B208="","Eksik tarih",B208-WEEKDAY(B208,2)+1))</x:f>
      </x:c>
      <x:c r="M208" s="2" t="str">
        <x:f>IF(A208="","",A208&amp;L208)</x:f>
      </x:c>
      <x:c r="N208" s="2" t="n">
        <x:f>IF(AND(A208='Panel'!$C$5,B208&lt;='Panel'!$N$5),B208,0)</x:f>
        <x:v>0</x:v>
      </x:c>
    </x:row>
    <x:row r="209" ht="22" customHeight="1">
      <x:c r="A209" s="6"/>
      <x:c r="B209" s="7"/>
      <x:c r="C209" s="15"/>
      <x:c r="D209" s="15"/>
      <x:c r="E209" s="13"/>
      <x:c r="F209" s="13"/>
      <x:c r="G209" s="6"/>
      <x:c r="H209" s="6"/>
      <x:c r="I209" s="6"/>
      <x:c r="J209" s="6"/>
      <x:c r="K209" s="6"/>
      <x:c r="L209" s="5" t="str">
        <x:f>IF(A209="","",IF(B209="","Eksik tarih",B209-WEEKDAY(B209,2)+1))</x:f>
      </x:c>
      <x:c r="M209" s="2" t="str">
        <x:f>IF(A209="","",A209&amp;L209)</x:f>
      </x:c>
      <x:c r="N209" s="2" t="n">
        <x:f>IF(AND(A209='Panel'!$C$5,B209&lt;='Panel'!$N$5),B209,0)</x:f>
        <x:v>0</x:v>
      </x:c>
    </x:row>
    <x:row r="210" ht="22" customHeight="1">
      <x:c r="A210" s="6"/>
      <x:c r="B210" s="7"/>
      <x:c r="C210" s="15"/>
      <x:c r="D210" s="15"/>
      <x:c r="E210" s="13"/>
      <x:c r="F210" s="13"/>
      <x:c r="G210" s="6"/>
      <x:c r="H210" s="6"/>
      <x:c r="I210" s="6"/>
      <x:c r="J210" s="6"/>
      <x:c r="K210" s="6"/>
      <x:c r="L210" s="5" t="str">
        <x:f>IF(A210="","",IF(B210="","Eksik tarih",B210-WEEKDAY(B210,2)+1))</x:f>
      </x:c>
      <x:c r="M210" s="2" t="str">
        <x:f>IF(A210="","",A210&amp;L210)</x:f>
      </x:c>
      <x:c r="N210" s="2" t="n">
        <x:f>IF(AND(A210='Panel'!$C$5,B210&lt;='Panel'!$N$5),B210,0)</x:f>
        <x:v>0</x:v>
      </x:c>
    </x:row>
    <x:row r="211" ht="22" customHeight="1">
      <x:c r="A211" s="6"/>
      <x:c r="B211" s="7"/>
      <x:c r="C211" s="15"/>
      <x:c r="D211" s="15"/>
      <x:c r="E211" s="13"/>
      <x:c r="F211" s="13"/>
      <x:c r="G211" s="6"/>
      <x:c r="H211" s="6"/>
      <x:c r="I211" s="6"/>
      <x:c r="J211" s="6"/>
      <x:c r="K211" s="6"/>
      <x:c r="L211" s="5" t="str">
        <x:f>IF(A211="","",IF(B211="","Eksik tarih",B211-WEEKDAY(B211,2)+1))</x:f>
      </x:c>
      <x:c r="M211" s="2" t="str">
        <x:f>IF(A211="","",A211&amp;L211)</x:f>
      </x:c>
      <x:c r="N211" s="2" t="n">
        <x:f>IF(AND(A211='Panel'!$C$5,B211&lt;='Panel'!$N$5),B211,0)</x:f>
        <x:v>0</x:v>
      </x:c>
    </x:row>
    <x:row r="212" ht="22" customHeight="1">
      <x:c r="A212" s="6"/>
      <x:c r="B212" s="7"/>
      <x:c r="C212" s="15"/>
      <x:c r="D212" s="15"/>
      <x:c r="E212" s="13"/>
      <x:c r="F212" s="13"/>
      <x:c r="G212" s="6"/>
      <x:c r="H212" s="6"/>
      <x:c r="I212" s="6"/>
      <x:c r="J212" s="6"/>
      <x:c r="K212" s="6"/>
      <x:c r="L212" s="5" t="str">
        <x:f>IF(A212="","",IF(B212="","Eksik tarih",B212-WEEKDAY(B212,2)+1))</x:f>
      </x:c>
      <x:c r="M212" s="2" t="str">
        <x:f>IF(A212="","",A212&amp;L212)</x:f>
      </x:c>
      <x:c r="N212" s="2" t="n">
        <x:f>IF(AND(A212='Panel'!$C$5,B212&lt;='Panel'!$N$5),B212,0)</x:f>
        <x:v>0</x:v>
      </x:c>
    </x:row>
    <x:row r="213" ht="22" customHeight="1">
      <x:c r="A213" s="6"/>
      <x:c r="B213" s="7"/>
      <x:c r="C213" s="15"/>
      <x:c r="D213" s="15"/>
      <x:c r="E213" s="13"/>
      <x:c r="F213" s="13"/>
      <x:c r="G213" s="6"/>
      <x:c r="H213" s="6"/>
      <x:c r="I213" s="6"/>
      <x:c r="J213" s="6"/>
      <x:c r="K213" s="6"/>
      <x:c r="L213" s="5" t="str">
        <x:f>IF(A213="","",IF(B213="","Eksik tarih",B213-WEEKDAY(B213,2)+1))</x:f>
      </x:c>
      <x:c r="M213" s="2" t="str">
        <x:f>IF(A213="","",A213&amp;L213)</x:f>
      </x:c>
      <x:c r="N213" s="2" t="n">
        <x:f>IF(AND(A213='Panel'!$C$5,B213&lt;='Panel'!$N$5),B213,0)</x:f>
        <x:v>0</x:v>
      </x:c>
    </x:row>
    <x:row r="214" ht="22" customHeight="1">
      <x:c r="A214" s="6"/>
      <x:c r="B214" s="7"/>
      <x:c r="C214" s="15"/>
      <x:c r="D214" s="15"/>
      <x:c r="E214" s="13"/>
      <x:c r="F214" s="13"/>
      <x:c r="G214" s="6"/>
      <x:c r="H214" s="6"/>
      <x:c r="I214" s="6"/>
      <x:c r="J214" s="6"/>
      <x:c r="K214" s="6"/>
      <x:c r="L214" s="5" t="str">
        <x:f>IF(A214="","",IF(B214="","Eksik tarih",B214-WEEKDAY(B214,2)+1))</x:f>
      </x:c>
      <x:c r="M214" s="2" t="str">
        <x:f>IF(A214="","",A214&amp;L214)</x:f>
      </x:c>
      <x:c r="N214" s="2" t="n">
        <x:f>IF(AND(A214='Panel'!$C$5,B214&lt;='Panel'!$N$5),B214,0)</x:f>
        <x:v>0</x:v>
      </x:c>
    </x:row>
    <x:row r="215" ht="22" customHeight="1">
      <x:c r="A215" s="6"/>
      <x:c r="B215" s="7"/>
      <x:c r="C215" s="15"/>
      <x:c r="D215" s="15"/>
      <x:c r="E215" s="13"/>
      <x:c r="F215" s="13"/>
      <x:c r="G215" s="6"/>
      <x:c r="H215" s="6"/>
      <x:c r="I215" s="6"/>
      <x:c r="J215" s="6"/>
      <x:c r="K215" s="6"/>
      <x:c r="L215" s="5" t="str">
        <x:f>IF(A215="","",IF(B215="","Eksik tarih",B215-WEEKDAY(B215,2)+1))</x:f>
      </x:c>
      <x:c r="M215" s="2" t="str">
        <x:f>IF(A215="","",A215&amp;L215)</x:f>
      </x:c>
      <x:c r="N215" s="2" t="n">
        <x:f>IF(AND(A215='Panel'!$C$5,B215&lt;='Panel'!$N$5),B215,0)</x:f>
        <x:v>0</x:v>
      </x:c>
    </x:row>
    <x:row r="216" ht="22" customHeight="1">
      <x:c r="A216" s="6"/>
      <x:c r="B216" s="7"/>
      <x:c r="C216" s="15"/>
      <x:c r="D216" s="15"/>
      <x:c r="E216" s="13"/>
      <x:c r="F216" s="13"/>
      <x:c r="G216" s="6"/>
      <x:c r="H216" s="6"/>
      <x:c r="I216" s="6"/>
      <x:c r="J216" s="6"/>
      <x:c r="K216" s="6"/>
      <x:c r="L216" s="5" t="str">
        <x:f>IF(A216="","",IF(B216="","Eksik tarih",B216-WEEKDAY(B216,2)+1))</x:f>
      </x:c>
      <x:c r="M216" s="2" t="str">
        <x:f>IF(A216="","",A216&amp;L216)</x:f>
      </x:c>
      <x:c r="N216" s="2" t="n">
        <x:f>IF(AND(A216='Panel'!$C$5,B216&lt;='Panel'!$N$5),B216,0)</x:f>
        <x:v>0</x:v>
      </x:c>
    </x:row>
    <x:row r="217" ht="22" customHeight="1">
      <x:c r="A217" s="6"/>
      <x:c r="B217" s="7"/>
      <x:c r="C217" s="15"/>
      <x:c r="D217" s="15"/>
      <x:c r="E217" s="13"/>
      <x:c r="F217" s="13"/>
      <x:c r="G217" s="6"/>
      <x:c r="H217" s="6"/>
      <x:c r="I217" s="6"/>
      <x:c r="J217" s="6"/>
      <x:c r="K217" s="6"/>
      <x:c r="L217" s="5" t="str">
        <x:f>IF(A217="","",IF(B217="","Eksik tarih",B217-WEEKDAY(B217,2)+1))</x:f>
      </x:c>
      <x:c r="M217" s="2" t="str">
        <x:f>IF(A217="","",A217&amp;L217)</x:f>
      </x:c>
      <x:c r="N217" s="2" t="n">
        <x:f>IF(AND(A217='Panel'!$C$5,B217&lt;='Panel'!$N$5),B217,0)</x:f>
        <x:v>0</x:v>
      </x:c>
    </x:row>
    <x:row r="218" ht="22" customHeight="1">
      <x:c r="A218" s="6"/>
      <x:c r="B218" s="7"/>
      <x:c r="C218" s="15"/>
      <x:c r="D218" s="15"/>
      <x:c r="E218" s="13"/>
      <x:c r="F218" s="13"/>
      <x:c r="G218" s="6"/>
      <x:c r="H218" s="6"/>
      <x:c r="I218" s="6"/>
      <x:c r="J218" s="6"/>
      <x:c r="K218" s="6"/>
      <x:c r="L218" s="5" t="str">
        <x:f>IF(A218="","",IF(B218="","Eksik tarih",B218-WEEKDAY(B218,2)+1))</x:f>
      </x:c>
      <x:c r="M218" s="2" t="str">
        <x:f>IF(A218="","",A218&amp;L218)</x:f>
      </x:c>
      <x:c r="N218" s="2" t="n">
        <x:f>IF(AND(A218='Panel'!$C$5,B218&lt;='Panel'!$N$5),B218,0)</x:f>
        <x:v>0</x:v>
      </x:c>
    </x:row>
    <x:row r="219" ht="22" customHeight="1">
      <x:c r="A219" s="6"/>
      <x:c r="B219" s="7"/>
      <x:c r="C219" s="15"/>
      <x:c r="D219" s="15"/>
      <x:c r="E219" s="13"/>
      <x:c r="F219" s="13"/>
      <x:c r="G219" s="6"/>
      <x:c r="H219" s="6"/>
      <x:c r="I219" s="6"/>
      <x:c r="J219" s="6"/>
      <x:c r="K219" s="6"/>
      <x:c r="L219" s="5" t="str">
        <x:f>IF(A219="","",IF(B219="","Eksik tarih",B219-WEEKDAY(B219,2)+1))</x:f>
      </x:c>
      <x:c r="M219" s="2" t="str">
        <x:f>IF(A219="","",A219&amp;L219)</x:f>
      </x:c>
      <x:c r="N219" s="2" t="n">
        <x:f>IF(AND(A219='Panel'!$C$5,B219&lt;='Panel'!$N$5),B219,0)</x:f>
        <x:v>0</x:v>
      </x:c>
    </x:row>
    <x:row r="220" ht="22" customHeight="1">
      <x:c r="A220" s="6"/>
      <x:c r="B220" s="7"/>
      <x:c r="C220" s="15"/>
      <x:c r="D220" s="15"/>
      <x:c r="E220" s="13"/>
      <x:c r="F220" s="13"/>
      <x:c r="G220" s="6"/>
      <x:c r="H220" s="6"/>
      <x:c r="I220" s="6"/>
      <x:c r="J220" s="6"/>
      <x:c r="K220" s="6"/>
      <x:c r="L220" s="5" t="str">
        <x:f>IF(A220="","",IF(B220="","Eksik tarih",B220-WEEKDAY(B220,2)+1))</x:f>
      </x:c>
      <x:c r="M220" s="2" t="str">
        <x:f>IF(A220="","",A220&amp;L220)</x:f>
      </x:c>
      <x:c r="N220" s="2" t="n">
        <x:f>IF(AND(A220='Panel'!$C$5,B220&lt;='Panel'!$N$5),B220,0)</x:f>
        <x:v>0</x:v>
      </x:c>
    </x:row>
    <x:row r="221" ht="22" customHeight="1">
      <x:c r="A221" s="6"/>
      <x:c r="B221" s="7"/>
      <x:c r="C221" s="15"/>
      <x:c r="D221" s="15"/>
      <x:c r="E221" s="13"/>
      <x:c r="F221" s="13"/>
      <x:c r="G221" s="6"/>
      <x:c r="H221" s="6"/>
      <x:c r="I221" s="6"/>
      <x:c r="J221" s="6"/>
      <x:c r="K221" s="6"/>
      <x:c r="L221" s="5" t="str">
        <x:f>IF(A221="","",IF(B221="","Eksik tarih",B221-WEEKDAY(B221,2)+1))</x:f>
      </x:c>
      <x:c r="M221" s="2" t="str">
        <x:f>IF(A221="","",A221&amp;L221)</x:f>
      </x:c>
      <x:c r="N221" s="2" t="n">
        <x:f>IF(AND(A221='Panel'!$C$5,B221&lt;='Panel'!$N$5),B221,0)</x:f>
        <x:v>0</x:v>
      </x:c>
    </x:row>
    <x:row r="222" ht="22" customHeight="1">
      <x:c r="A222" s="6"/>
      <x:c r="B222" s="7"/>
      <x:c r="C222" s="15"/>
      <x:c r="D222" s="15"/>
      <x:c r="E222" s="13"/>
      <x:c r="F222" s="13"/>
      <x:c r="G222" s="6"/>
      <x:c r="H222" s="6"/>
      <x:c r="I222" s="6"/>
      <x:c r="J222" s="6"/>
      <x:c r="K222" s="6"/>
      <x:c r="L222" s="5" t="str">
        <x:f>IF(A222="","",IF(B222="","Eksik tarih",B222-WEEKDAY(B222,2)+1))</x:f>
      </x:c>
      <x:c r="M222" s="2" t="str">
        <x:f>IF(A222="","",A222&amp;L222)</x:f>
      </x:c>
      <x:c r="N222" s="2" t="n">
        <x:f>IF(AND(A222='Panel'!$C$5,B222&lt;='Panel'!$N$5),B222,0)</x:f>
        <x:v>0</x:v>
      </x:c>
    </x:row>
    <x:row r="223" ht="22" customHeight="1">
      <x:c r="A223" s="6"/>
      <x:c r="B223" s="7"/>
      <x:c r="C223" s="15"/>
      <x:c r="D223" s="15"/>
      <x:c r="E223" s="13"/>
      <x:c r="F223" s="13"/>
      <x:c r="G223" s="6"/>
      <x:c r="H223" s="6"/>
      <x:c r="I223" s="6"/>
      <x:c r="J223" s="6"/>
      <x:c r="K223" s="6"/>
      <x:c r="L223" s="5" t="str">
        <x:f>IF(A223="","",IF(B223="","Eksik tarih",B223-WEEKDAY(B223,2)+1))</x:f>
      </x:c>
      <x:c r="M223" s="2" t="str">
        <x:f>IF(A223="","",A223&amp;L223)</x:f>
      </x:c>
      <x:c r="N223" s="2" t="n">
        <x:f>IF(AND(A223='Panel'!$C$5,B223&lt;='Panel'!$N$5),B223,0)</x:f>
        <x:v>0</x:v>
      </x:c>
    </x:row>
    <x:row r="224" ht="22" customHeight="1">
      <x:c r="A224" s="6"/>
      <x:c r="B224" s="7"/>
      <x:c r="C224" s="15"/>
      <x:c r="D224" s="15"/>
      <x:c r="E224" s="13"/>
      <x:c r="F224" s="13"/>
      <x:c r="G224" s="6"/>
      <x:c r="H224" s="6"/>
      <x:c r="I224" s="6"/>
      <x:c r="J224" s="6"/>
      <x:c r="K224" s="6"/>
      <x:c r="L224" s="5" t="str">
        <x:f>IF(A224="","",IF(B224="","Eksik tarih",B224-WEEKDAY(B224,2)+1))</x:f>
      </x:c>
      <x:c r="M224" s="2" t="str">
        <x:f>IF(A224="","",A224&amp;L224)</x:f>
      </x:c>
      <x:c r="N224" s="2" t="n">
        <x:f>IF(AND(A224='Panel'!$C$5,B224&lt;='Panel'!$N$5),B224,0)</x:f>
        <x:v>0</x:v>
      </x:c>
    </x:row>
    <x:row r="225" ht="22" customHeight="1">
      <x:c r="A225" s="6"/>
      <x:c r="B225" s="7"/>
      <x:c r="C225" s="15"/>
      <x:c r="D225" s="15"/>
      <x:c r="E225" s="13"/>
      <x:c r="F225" s="13"/>
      <x:c r="G225" s="6"/>
      <x:c r="H225" s="6"/>
      <x:c r="I225" s="6"/>
      <x:c r="J225" s="6"/>
      <x:c r="K225" s="6"/>
      <x:c r="L225" s="5" t="str">
        <x:f>IF(A225="","",IF(B225="","Eksik tarih",B225-WEEKDAY(B225,2)+1))</x:f>
      </x:c>
      <x:c r="M225" s="2" t="str">
        <x:f>IF(A225="","",A225&amp;L225)</x:f>
      </x:c>
      <x:c r="N225" s="2" t="n">
        <x:f>IF(AND(A225='Panel'!$C$5,B225&lt;='Panel'!$N$5),B225,0)</x:f>
        <x:v>0</x:v>
      </x:c>
    </x:row>
    <x:row r="226" ht="22" customHeight="1">
      <x:c r="A226" s="6"/>
      <x:c r="B226" s="7"/>
      <x:c r="C226" s="15"/>
      <x:c r="D226" s="15"/>
      <x:c r="E226" s="13"/>
      <x:c r="F226" s="13"/>
      <x:c r="G226" s="6"/>
      <x:c r="H226" s="6"/>
      <x:c r="I226" s="6"/>
      <x:c r="J226" s="6"/>
      <x:c r="K226" s="6"/>
      <x:c r="L226" s="5" t="str">
        <x:f>IF(A226="","",IF(B226="","Eksik tarih",B226-WEEKDAY(B226,2)+1))</x:f>
      </x:c>
      <x:c r="M226" s="2" t="str">
        <x:f>IF(A226="","",A226&amp;L226)</x:f>
      </x:c>
      <x:c r="N226" s="2" t="n">
        <x:f>IF(AND(A226='Panel'!$C$5,B226&lt;='Panel'!$N$5),B226,0)</x:f>
        <x:v>0</x:v>
      </x:c>
    </x:row>
    <x:row r="227" ht="22" customHeight="1">
      <x:c r="A227" s="6"/>
      <x:c r="B227" s="7"/>
      <x:c r="C227" s="15"/>
      <x:c r="D227" s="15"/>
      <x:c r="E227" s="13"/>
      <x:c r="F227" s="13"/>
      <x:c r="G227" s="6"/>
      <x:c r="H227" s="6"/>
      <x:c r="I227" s="6"/>
      <x:c r="J227" s="6"/>
      <x:c r="K227" s="6"/>
      <x:c r="L227" s="5" t="str">
        <x:f>IF(A227="","",IF(B227="","Eksik tarih",B227-WEEKDAY(B227,2)+1))</x:f>
      </x:c>
      <x:c r="M227" s="2" t="str">
        <x:f>IF(A227="","",A227&amp;L227)</x:f>
      </x:c>
      <x:c r="N227" s="2" t="n">
        <x:f>IF(AND(A227='Panel'!$C$5,B227&lt;='Panel'!$N$5),B227,0)</x:f>
        <x:v>0</x:v>
      </x:c>
    </x:row>
    <x:row r="228" ht="22" customHeight="1">
      <x:c r="A228" s="6"/>
      <x:c r="B228" s="7"/>
      <x:c r="C228" s="15"/>
      <x:c r="D228" s="15"/>
      <x:c r="E228" s="13"/>
      <x:c r="F228" s="13"/>
      <x:c r="G228" s="6"/>
      <x:c r="H228" s="6"/>
      <x:c r="I228" s="6"/>
      <x:c r="J228" s="6"/>
      <x:c r="K228" s="6"/>
      <x:c r="L228" s="5" t="str">
        <x:f>IF(A228="","",IF(B228="","Eksik tarih",B228-WEEKDAY(B228,2)+1))</x:f>
      </x:c>
      <x:c r="M228" s="2" t="str">
        <x:f>IF(A228="","",A228&amp;L228)</x:f>
      </x:c>
      <x:c r="N228" s="2" t="n">
        <x:f>IF(AND(A228='Panel'!$C$5,B228&lt;='Panel'!$N$5),B228,0)</x:f>
        <x:v>0</x:v>
      </x:c>
    </x:row>
    <x:row r="229" ht="22" customHeight="1">
      <x:c r="A229" s="6"/>
      <x:c r="B229" s="7"/>
      <x:c r="C229" s="15"/>
      <x:c r="D229" s="15"/>
      <x:c r="E229" s="13"/>
      <x:c r="F229" s="13"/>
      <x:c r="G229" s="6"/>
      <x:c r="H229" s="6"/>
      <x:c r="I229" s="6"/>
      <x:c r="J229" s="6"/>
      <x:c r="K229" s="6"/>
      <x:c r="L229" s="5" t="str">
        <x:f>IF(A229="","",IF(B229="","Eksik tarih",B229-WEEKDAY(B229,2)+1))</x:f>
      </x:c>
      <x:c r="M229" s="2" t="str">
        <x:f>IF(A229="","",A229&amp;L229)</x:f>
      </x:c>
      <x:c r="N229" s="2" t="n">
        <x:f>IF(AND(A229='Panel'!$C$5,B229&lt;='Panel'!$N$5),B229,0)</x:f>
        <x:v>0</x:v>
      </x:c>
    </x:row>
    <x:row r="230" ht="22" customHeight="1">
      <x:c r="A230" s="6"/>
      <x:c r="B230" s="7"/>
      <x:c r="C230" s="15"/>
      <x:c r="D230" s="15"/>
      <x:c r="E230" s="13"/>
      <x:c r="F230" s="13"/>
      <x:c r="G230" s="6"/>
      <x:c r="H230" s="6"/>
      <x:c r="I230" s="6"/>
      <x:c r="J230" s="6"/>
      <x:c r="K230" s="6"/>
      <x:c r="L230" s="5" t="str">
        <x:f>IF(A230="","",IF(B230="","Eksik tarih",B230-WEEKDAY(B230,2)+1))</x:f>
      </x:c>
      <x:c r="M230" s="2" t="str">
        <x:f>IF(A230="","",A230&amp;L230)</x:f>
      </x:c>
      <x:c r="N230" s="2" t="n">
        <x:f>IF(AND(A230='Panel'!$C$5,B230&lt;='Panel'!$N$5),B230,0)</x:f>
        <x:v>0</x:v>
      </x:c>
    </x:row>
    <x:row r="231" ht="22" customHeight="1">
      <x:c r="A231" s="6"/>
      <x:c r="B231" s="7"/>
      <x:c r="C231" s="15"/>
      <x:c r="D231" s="15"/>
      <x:c r="E231" s="13"/>
      <x:c r="F231" s="13"/>
      <x:c r="G231" s="6"/>
      <x:c r="H231" s="6"/>
      <x:c r="I231" s="6"/>
      <x:c r="J231" s="6"/>
      <x:c r="K231" s="6"/>
      <x:c r="L231" s="5" t="str">
        <x:f>IF(A231="","",IF(B231="","Eksik tarih",B231-WEEKDAY(B231,2)+1))</x:f>
      </x:c>
      <x:c r="M231" s="2" t="str">
        <x:f>IF(A231="","",A231&amp;L231)</x:f>
      </x:c>
      <x:c r="N231" s="2" t="n">
        <x:f>IF(AND(A231='Panel'!$C$5,B231&lt;='Panel'!$N$5),B231,0)</x:f>
        <x:v>0</x:v>
      </x:c>
    </x:row>
    <x:row r="232" ht="22" customHeight="1">
      <x:c r="A232" s="6"/>
      <x:c r="B232" s="7"/>
      <x:c r="C232" s="15"/>
      <x:c r="D232" s="15"/>
      <x:c r="E232" s="13"/>
      <x:c r="F232" s="13"/>
      <x:c r="G232" s="6"/>
      <x:c r="H232" s="6"/>
      <x:c r="I232" s="6"/>
      <x:c r="J232" s="6"/>
      <x:c r="K232" s="6"/>
      <x:c r="L232" s="5" t="str">
        <x:f>IF(A232="","",IF(B232="","Eksik tarih",B232-WEEKDAY(B232,2)+1))</x:f>
      </x:c>
      <x:c r="M232" s="2" t="str">
        <x:f>IF(A232="","",A232&amp;L232)</x:f>
      </x:c>
      <x:c r="N232" s="2" t="n">
        <x:f>IF(AND(A232='Panel'!$C$5,B232&lt;='Panel'!$N$5),B232,0)</x:f>
        <x:v>0</x:v>
      </x:c>
    </x:row>
    <x:row r="233" ht="22" customHeight="1">
      <x:c r="A233" s="6"/>
      <x:c r="B233" s="7"/>
      <x:c r="C233" s="15"/>
      <x:c r="D233" s="15"/>
      <x:c r="E233" s="13"/>
      <x:c r="F233" s="13"/>
      <x:c r="G233" s="6"/>
      <x:c r="H233" s="6"/>
      <x:c r="I233" s="6"/>
      <x:c r="J233" s="6"/>
      <x:c r="K233" s="6"/>
      <x:c r="L233" s="5" t="str">
        <x:f>IF(A233="","",IF(B233="","Eksik tarih",B233-WEEKDAY(B233,2)+1))</x:f>
      </x:c>
      <x:c r="M233" s="2" t="str">
        <x:f>IF(A233="","",A233&amp;L233)</x:f>
      </x:c>
      <x:c r="N233" s="2" t="n">
        <x:f>IF(AND(A233='Panel'!$C$5,B233&lt;='Panel'!$N$5),B233,0)</x:f>
        <x:v>0</x:v>
      </x:c>
    </x:row>
    <x:row r="234" ht="22" customHeight="1">
      <x:c r="A234" s="6"/>
      <x:c r="B234" s="7"/>
      <x:c r="C234" s="15"/>
      <x:c r="D234" s="15"/>
      <x:c r="E234" s="13"/>
      <x:c r="F234" s="13"/>
      <x:c r="G234" s="6"/>
      <x:c r="H234" s="6"/>
      <x:c r="I234" s="6"/>
      <x:c r="J234" s="6"/>
      <x:c r="K234" s="6"/>
      <x:c r="L234" s="5" t="str">
        <x:f>IF(A234="","",IF(B234="","Eksik tarih",B234-WEEKDAY(B234,2)+1))</x:f>
      </x:c>
      <x:c r="M234" s="2" t="str">
        <x:f>IF(A234="","",A234&amp;L234)</x:f>
      </x:c>
      <x:c r="N234" s="2" t="n">
        <x:f>IF(AND(A234='Panel'!$C$5,B234&lt;='Panel'!$N$5),B234,0)</x:f>
        <x:v>0</x:v>
      </x:c>
    </x:row>
    <x:row r="235" ht="22" customHeight="1">
      <x:c r="A235" s="6"/>
      <x:c r="B235" s="7"/>
      <x:c r="C235" s="15"/>
      <x:c r="D235" s="15"/>
      <x:c r="E235" s="13"/>
      <x:c r="F235" s="13"/>
      <x:c r="G235" s="6"/>
      <x:c r="H235" s="6"/>
      <x:c r="I235" s="6"/>
      <x:c r="J235" s="6"/>
      <x:c r="K235" s="6"/>
      <x:c r="L235" s="5" t="str">
        <x:f>IF(A235="","",IF(B235="","Eksik tarih",B235-WEEKDAY(B235,2)+1))</x:f>
      </x:c>
      <x:c r="M235" s="2" t="str">
        <x:f>IF(A235="","",A235&amp;L235)</x:f>
      </x:c>
      <x:c r="N235" s="2" t="n">
        <x:f>IF(AND(A235='Panel'!$C$5,B235&lt;='Panel'!$N$5),B235,0)</x:f>
        <x:v>0</x:v>
      </x:c>
    </x:row>
    <x:row r="236" ht="22" customHeight="1">
      <x:c r="A236" s="6"/>
      <x:c r="B236" s="7"/>
      <x:c r="C236" s="15"/>
      <x:c r="D236" s="15"/>
      <x:c r="E236" s="13"/>
      <x:c r="F236" s="13"/>
      <x:c r="G236" s="6"/>
      <x:c r="H236" s="6"/>
      <x:c r="I236" s="6"/>
      <x:c r="J236" s="6"/>
      <x:c r="K236" s="6"/>
      <x:c r="L236" s="5" t="str">
        <x:f>IF(A236="","",IF(B236="","Eksik tarih",B236-WEEKDAY(B236,2)+1))</x:f>
      </x:c>
      <x:c r="M236" s="2" t="str">
        <x:f>IF(A236="","",A236&amp;L236)</x:f>
      </x:c>
      <x:c r="N236" s="2" t="n">
        <x:f>IF(AND(A236='Panel'!$C$5,B236&lt;='Panel'!$N$5),B236,0)</x:f>
        <x:v>0</x:v>
      </x:c>
    </x:row>
    <x:row r="237" ht="22" customHeight="1">
      <x:c r="A237" s="6"/>
      <x:c r="B237" s="7"/>
      <x:c r="C237" s="15"/>
      <x:c r="D237" s="15"/>
      <x:c r="E237" s="13"/>
      <x:c r="F237" s="13"/>
      <x:c r="G237" s="6"/>
      <x:c r="H237" s="6"/>
      <x:c r="I237" s="6"/>
      <x:c r="J237" s="6"/>
      <x:c r="K237" s="6"/>
      <x:c r="L237" s="5" t="str">
        <x:f>IF(A237="","",IF(B237="","Eksik tarih",B237-WEEKDAY(B237,2)+1))</x:f>
      </x:c>
      <x:c r="M237" s="2" t="str">
        <x:f>IF(A237="","",A237&amp;L237)</x:f>
      </x:c>
      <x:c r="N237" s="2" t="n">
        <x:f>IF(AND(A237='Panel'!$C$5,B237&lt;='Panel'!$N$5),B237,0)</x:f>
        <x:v>0</x:v>
      </x:c>
    </x:row>
    <x:row r="238" ht="22" customHeight="1">
      <x:c r="A238" s="6"/>
      <x:c r="B238" s="7"/>
      <x:c r="C238" s="15"/>
      <x:c r="D238" s="15"/>
      <x:c r="E238" s="13"/>
      <x:c r="F238" s="13"/>
      <x:c r="G238" s="6"/>
      <x:c r="H238" s="6"/>
      <x:c r="I238" s="6"/>
      <x:c r="J238" s="6"/>
      <x:c r="K238" s="6"/>
      <x:c r="L238" s="5" t="str">
        <x:f>IF(A238="","",IF(B238="","Eksik tarih",B238-WEEKDAY(B238,2)+1))</x:f>
      </x:c>
      <x:c r="M238" s="2" t="str">
        <x:f>IF(A238="","",A238&amp;L238)</x:f>
      </x:c>
      <x:c r="N238" s="2" t="n">
        <x:f>IF(AND(A238='Panel'!$C$5,B238&lt;='Panel'!$N$5),B238,0)</x:f>
        <x:v>0</x:v>
      </x:c>
    </x:row>
    <x:row r="239" ht="22" customHeight="1">
      <x:c r="A239" s="6"/>
      <x:c r="B239" s="7"/>
      <x:c r="C239" s="15"/>
      <x:c r="D239" s="15"/>
      <x:c r="E239" s="13"/>
      <x:c r="F239" s="13"/>
      <x:c r="G239" s="6"/>
      <x:c r="H239" s="6"/>
      <x:c r="I239" s="6"/>
      <x:c r="J239" s="6"/>
      <x:c r="K239" s="6"/>
      <x:c r="L239" s="5" t="str">
        <x:f>IF(A239="","",IF(B239="","Eksik tarih",B239-WEEKDAY(B239,2)+1))</x:f>
      </x:c>
      <x:c r="M239" s="2" t="str">
        <x:f>IF(A239="","",A239&amp;L239)</x:f>
      </x:c>
      <x:c r="N239" s="2" t="n">
        <x:f>IF(AND(A239='Panel'!$C$5,B239&lt;='Panel'!$N$5),B239,0)</x:f>
        <x:v>0</x:v>
      </x:c>
    </x:row>
    <x:row r="240" ht="22" customHeight="1">
      <x:c r="A240" s="6"/>
      <x:c r="B240" s="7"/>
      <x:c r="C240" s="15"/>
      <x:c r="D240" s="15"/>
      <x:c r="E240" s="13"/>
      <x:c r="F240" s="13"/>
      <x:c r="G240" s="6"/>
      <x:c r="H240" s="6"/>
      <x:c r="I240" s="6"/>
      <x:c r="J240" s="6"/>
      <x:c r="K240" s="6"/>
      <x:c r="L240" s="5" t="str">
        <x:f>IF(A240="","",IF(B240="","Eksik tarih",B240-WEEKDAY(B240,2)+1))</x:f>
      </x:c>
      <x:c r="M240" s="2" t="str">
        <x:f>IF(A240="","",A240&amp;L240)</x:f>
      </x:c>
      <x:c r="N240" s="2" t="n">
        <x:f>IF(AND(A240='Panel'!$C$5,B240&lt;='Panel'!$N$5),B240,0)</x:f>
        <x:v>0</x:v>
      </x:c>
    </x:row>
    <x:row r="241" ht="22" customHeight="1">
      <x:c r="A241" s="6"/>
      <x:c r="B241" s="7"/>
      <x:c r="C241" s="15"/>
      <x:c r="D241" s="15"/>
      <x:c r="E241" s="13"/>
      <x:c r="F241" s="13"/>
      <x:c r="G241" s="6"/>
      <x:c r="H241" s="6"/>
      <x:c r="I241" s="6"/>
      <x:c r="J241" s="6"/>
      <x:c r="K241" s="6"/>
      <x:c r="L241" s="5" t="str">
        <x:f>IF(A241="","",IF(B241="","Eksik tarih",B241-WEEKDAY(B241,2)+1))</x:f>
      </x:c>
      <x:c r="M241" s="2" t="str">
        <x:f>IF(A241="","",A241&amp;L241)</x:f>
      </x:c>
      <x:c r="N241" s="2" t="n">
        <x:f>IF(AND(A241='Panel'!$C$5,B241&lt;='Panel'!$N$5),B241,0)</x:f>
        <x:v>0</x:v>
      </x:c>
    </x:row>
    <x:row r="242" ht="22" customHeight="1">
      <x:c r="A242" s="6"/>
      <x:c r="B242" s="7"/>
      <x:c r="C242" s="15"/>
      <x:c r="D242" s="15"/>
      <x:c r="E242" s="13"/>
      <x:c r="F242" s="13"/>
      <x:c r="G242" s="6"/>
      <x:c r="H242" s="6"/>
      <x:c r="I242" s="6"/>
      <x:c r="J242" s="6"/>
      <x:c r="K242" s="6"/>
      <x:c r="L242" s="5" t="str">
        <x:f>IF(A242="","",IF(B242="","Eksik tarih",B242-WEEKDAY(B242,2)+1))</x:f>
      </x:c>
      <x:c r="M242" s="2" t="str">
        <x:f>IF(A242="","",A242&amp;L242)</x:f>
      </x:c>
      <x:c r="N242" s="2" t="n">
        <x:f>IF(AND(A242='Panel'!$C$5,B242&lt;='Panel'!$N$5),B242,0)</x:f>
        <x:v>0</x:v>
      </x:c>
    </x:row>
    <x:row r="243" ht="22" customHeight="1">
      <x:c r="A243" s="6"/>
      <x:c r="B243" s="7"/>
      <x:c r="C243" s="15"/>
      <x:c r="D243" s="15"/>
      <x:c r="E243" s="13"/>
      <x:c r="F243" s="13"/>
      <x:c r="G243" s="6"/>
      <x:c r="H243" s="6"/>
      <x:c r="I243" s="6"/>
      <x:c r="J243" s="6"/>
      <x:c r="K243" s="6"/>
      <x:c r="L243" s="5" t="str">
        <x:f>IF(A243="","",IF(B243="","Eksik tarih",B243-WEEKDAY(B243,2)+1))</x:f>
      </x:c>
      <x:c r="M243" s="2" t="str">
        <x:f>IF(A243="","",A243&amp;L243)</x:f>
      </x:c>
      <x:c r="N243" s="2" t="n">
        <x:f>IF(AND(A243='Panel'!$C$5,B243&lt;='Panel'!$N$5),B243,0)</x:f>
        <x:v>0</x:v>
      </x:c>
    </x:row>
    <x:row r="244" ht="22" customHeight="1">
      <x:c r="A244" s="6"/>
      <x:c r="B244" s="7"/>
      <x:c r="C244" s="15"/>
      <x:c r="D244" s="15"/>
      <x:c r="E244" s="13"/>
      <x:c r="F244" s="13"/>
      <x:c r="G244" s="6"/>
      <x:c r="H244" s="6"/>
      <x:c r="I244" s="6"/>
      <x:c r="J244" s="6"/>
      <x:c r="K244" s="6"/>
      <x:c r="L244" s="5" t="str">
        <x:f>IF(A244="","",IF(B244="","Eksik tarih",B244-WEEKDAY(B244,2)+1))</x:f>
      </x:c>
      <x:c r="M244" s="2" t="str">
        <x:f>IF(A244="","",A244&amp;L244)</x:f>
      </x:c>
      <x:c r="N244" s="2" t="n">
        <x:f>IF(AND(A244='Panel'!$C$5,B244&lt;='Panel'!$N$5),B244,0)</x:f>
        <x:v>0</x:v>
      </x:c>
    </x:row>
    <x:row r="245" ht="22" customHeight="1">
      <x:c r="A245" s="6"/>
      <x:c r="B245" s="7"/>
      <x:c r="C245" s="15"/>
      <x:c r="D245" s="15"/>
      <x:c r="E245" s="13"/>
      <x:c r="F245" s="13"/>
      <x:c r="G245" s="6"/>
      <x:c r="H245" s="6"/>
      <x:c r="I245" s="6"/>
      <x:c r="J245" s="6"/>
      <x:c r="K245" s="6"/>
      <x:c r="L245" s="5" t="str">
        <x:f>IF(A245="","",IF(B245="","Eksik tarih",B245-WEEKDAY(B245,2)+1))</x:f>
      </x:c>
      <x:c r="M245" s="2" t="str">
        <x:f>IF(A245="","",A245&amp;L245)</x:f>
      </x:c>
      <x:c r="N245" s="2" t="n">
        <x:f>IF(AND(A245='Panel'!$C$5,B245&lt;='Panel'!$N$5),B245,0)</x:f>
        <x:v>0</x:v>
      </x:c>
    </x:row>
    <x:row r="246" ht="22" customHeight="1">
      <x:c r="A246" s="6"/>
      <x:c r="B246" s="7"/>
      <x:c r="C246" s="15"/>
      <x:c r="D246" s="15"/>
      <x:c r="E246" s="13"/>
      <x:c r="F246" s="13"/>
      <x:c r="G246" s="6"/>
      <x:c r="H246" s="6"/>
      <x:c r="I246" s="6"/>
      <x:c r="J246" s="6"/>
      <x:c r="K246" s="6"/>
      <x:c r="L246" s="5" t="str">
        <x:f>IF(A246="","",IF(B246="","Eksik tarih",B246-WEEKDAY(B246,2)+1))</x:f>
      </x:c>
      <x:c r="M246" s="2" t="str">
        <x:f>IF(A246="","",A246&amp;L246)</x:f>
      </x:c>
      <x:c r="N246" s="2" t="n">
        <x:f>IF(AND(A246='Panel'!$C$5,B246&lt;='Panel'!$N$5),B246,0)</x:f>
        <x:v>0</x:v>
      </x:c>
    </x:row>
    <x:row r="247" ht="22" customHeight="1">
      <x:c r="A247" s="6"/>
      <x:c r="B247" s="7"/>
      <x:c r="C247" s="15"/>
      <x:c r="D247" s="15"/>
      <x:c r="E247" s="13"/>
      <x:c r="F247" s="13"/>
      <x:c r="G247" s="6"/>
      <x:c r="H247" s="6"/>
      <x:c r="I247" s="6"/>
      <x:c r="J247" s="6"/>
      <x:c r="K247" s="6"/>
      <x:c r="L247" s="5" t="str">
        <x:f>IF(A247="","",IF(B247="","Eksik tarih",B247-WEEKDAY(B247,2)+1))</x:f>
      </x:c>
      <x:c r="M247" s="2" t="str">
        <x:f>IF(A247="","",A247&amp;L247)</x:f>
      </x:c>
      <x:c r="N247" s="2" t="n">
        <x:f>IF(AND(A247='Panel'!$C$5,B247&lt;='Panel'!$N$5),B247,0)</x:f>
        <x:v>0</x:v>
      </x:c>
    </x:row>
    <x:row r="248" ht="22" customHeight="1">
      <x:c r="A248" s="6"/>
      <x:c r="B248" s="7"/>
      <x:c r="C248" s="15"/>
      <x:c r="D248" s="15"/>
      <x:c r="E248" s="13"/>
      <x:c r="F248" s="13"/>
      <x:c r="G248" s="6"/>
      <x:c r="H248" s="6"/>
      <x:c r="I248" s="6"/>
      <x:c r="J248" s="6"/>
      <x:c r="K248" s="6"/>
      <x:c r="L248" s="5" t="str">
        <x:f>IF(A248="","",IF(B248="","Eksik tarih",B248-WEEKDAY(B248,2)+1))</x:f>
      </x:c>
      <x:c r="M248" s="2" t="str">
        <x:f>IF(A248="","",A248&amp;L248)</x:f>
      </x:c>
      <x:c r="N248" s="2" t="n">
        <x:f>IF(AND(A248='Panel'!$C$5,B248&lt;='Panel'!$N$5),B248,0)</x:f>
        <x:v>0</x:v>
      </x:c>
    </x:row>
    <x:row r="249" ht="22" customHeight="1">
      <x:c r="A249" s="6"/>
      <x:c r="B249" s="7"/>
      <x:c r="C249" s="15"/>
      <x:c r="D249" s="15"/>
      <x:c r="E249" s="13"/>
      <x:c r="F249" s="13"/>
      <x:c r="G249" s="6"/>
      <x:c r="H249" s="6"/>
      <x:c r="I249" s="6"/>
      <x:c r="J249" s="6"/>
      <x:c r="K249" s="6"/>
      <x:c r="L249" s="5" t="str">
        <x:f>IF(A249="","",IF(B249="","Eksik tarih",B249-WEEKDAY(B249,2)+1))</x:f>
      </x:c>
      <x:c r="M249" s="2" t="str">
        <x:f>IF(A249="","",A249&amp;L249)</x:f>
      </x:c>
      <x:c r="N249" s="2" t="n">
        <x:f>IF(AND(A249='Panel'!$C$5,B249&lt;='Panel'!$N$5),B249,0)</x:f>
        <x:v>0</x:v>
      </x:c>
    </x:row>
    <x:row r="250" ht="22" customHeight="1">
      <x:c r="A250" s="6"/>
      <x:c r="B250" s="7"/>
      <x:c r="C250" s="15"/>
      <x:c r="D250" s="15"/>
      <x:c r="E250" s="13"/>
      <x:c r="F250" s="13"/>
      <x:c r="G250" s="6"/>
      <x:c r="H250" s="6"/>
      <x:c r="I250" s="6"/>
      <x:c r="J250" s="6"/>
      <x:c r="K250" s="6"/>
      <x:c r="L250" s="5" t="str">
        <x:f>IF(A250="","",IF(B250="","Eksik tarih",B250-WEEKDAY(B250,2)+1))</x:f>
      </x:c>
      <x:c r="M250" s="2" t="str">
        <x:f>IF(A250="","",A250&amp;L250)</x:f>
      </x:c>
      <x:c r="N250" s="2" t="n">
        <x:f>IF(AND(A250='Panel'!$C$5,B250&lt;='Panel'!$N$5),B250,0)</x:f>
        <x:v>0</x:v>
      </x:c>
    </x:row>
    <x:row r="251" ht="22" customHeight="1">
      <x:c r="A251" s="6"/>
      <x:c r="B251" s="7"/>
      <x:c r="C251" s="15"/>
      <x:c r="D251" s="15"/>
      <x:c r="E251" s="13"/>
      <x:c r="F251" s="13"/>
      <x:c r="G251" s="6"/>
      <x:c r="H251" s="6"/>
      <x:c r="I251" s="6"/>
      <x:c r="J251" s="6"/>
      <x:c r="K251" s="6"/>
      <x:c r="L251" s="5" t="str">
        <x:f>IF(A251="","",IF(B251="","Eksik tarih",B251-WEEKDAY(B251,2)+1))</x:f>
      </x:c>
      <x:c r="M251" s="2" t="str">
        <x:f>IF(A251="","",A251&amp;L251)</x:f>
      </x:c>
      <x:c r="N251" s="2" t="n">
        <x:f>IF(AND(A251='Panel'!$C$5,B251&lt;='Panel'!$N$5),B251,0)</x:f>
        <x:v>0</x:v>
      </x:c>
    </x:row>
    <x:row r="252" ht="22" customHeight="1">
      <x:c r="A252" s="6"/>
      <x:c r="B252" s="7"/>
      <x:c r="C252" s="15"/>
      <x:c r="D252" s="15"/>
      <x:c r="E252" s="13"/>
      <x:c r="F252" s="13"/>
      <x:c r="G252" s="6"/>
      <x:c r="H252" s="6"/>
      <x:c r="I252" s="6"/>
      <x:c r="J252" s="6"/>
      <x:c r="K252" s="6"/>
      <x:c r="L252" s="5" t="str">
        <x:f>IF(A252="","",IF(B252="","Eksik tarih",B252-WEEKDAY(B252,2)+1))</x:f>
      </x:c>
      <x:c r="M252" s="2" t="str">
        <x:f>IF(A252="","",A252&amp;L252)</x:f>
      </x:c>
      <x:c r="N252" s="2" t="n">
        <x:f>IF(AND(A252='Panel'!$C$5,B252&lt;='Panel'!$N$5),B252,0)</x:f>
        <x:v>0</x:v>
      </x:c>
    </x:row>
    <x:row r="253" ht="22" customHeight="1">
      <x:c r="A253" s="6"/>
      <x:c r="B253" s="7"/>
      <x:c r="C253" s="15"/>
      <x:c r="D253" s="15"/>
      <x:c r="E253" s="13"/>
      <x:c r="F253" s="13"/>
      <x:c r="G253" s="6"/>
      <x:c r="H253" s="6"/>
      <x:c r="I253" s="6"/>
      <x:c r="J253" s="6"/>
      <x:c r="K253" s="6"/>
      <x:c r="L253" s="5" t="str">
        <x:f>IF(A253="","",IF(B253="","Eksik tarih",B253-WEEKDAY(B253,2)+1))</x:f>
      </x:c>
      <x:c r="M253" s="2" t="str">
        <x:f>IF(A253="","",A253&amp;L253)</x:f>
      </x:c>
      <x:c r="N253" s="2" t="n">
        <x:f>IF(AND(A253='Panel'!$C$5,B253&lt;='Panel'!$N$5),B253,0)</x:f>
        <x:v>0</x:v>
      </x:c>
    </x:row>
    <x:row r="254" ht="22" customHeight="1">
      <x:c r="A254" s="6"/>
      <x:c r="B254" s="7"/>
      <x:c r="C254" s="15"/>
      <x:c r="D254" s="15"/>
      <x:c r="E254" s="13"/>
      <x:c r="F254" s="13"/>
      <x:c r="G254" s="6"/>
      <x:c r="H254" s="6"/>
      <x:c r="I254" s="6"/>
      <x:c r="J254" s="6"/>
      <x:c r="K254" s="6"/>
      <x:c r="L254" s="5" t="str">
        <x:f>IF(A254="","",IF(B254="","Eksik tarih",B254-WEEKDAY(B254,2)+1))</x:f>
      </x:c>
      <x:c r="M254" s="2" t="str">
        <x:f>IF(A254="","",A254&amp;L254)</x:f>
      </x:c>
      <x:c r="N254" s="2" t="n">
        <x:f>IF(AND(A254='Panel'!$C$5,B254&lt;='Panel'!$N$5),B254,0)</x:f>
        <x:v>0</x:v>
      </x:c>
    </x:row>
    <x:row r="255" ht="22" customHeight="1">
      <x:c r="A255" s="6"/>
      <x:c r="B255" s="7"/>
      <x:c r="C255" s="15"/>
      <x:c r="D255" s="15"/>
      <x:c r="E255" s="13"/>
      <x:c r="F255" s="13"/>
      <x:c r="G255" s="6"/>
      <x:c r="H255" s="6"/>
      <x:c r="I255" s="6"/>
      <x:c r="J255" s="6"/>
      <x:c r="K255" s="6"/>
      <x:c r="L255" s="5" t="str">
        <x:f>IF(A255="","",IF(B255="","Eksik tarih",B255-WEEKDAY(B255,2)+1))</x:f>
      </x:c>
      <x:c r="M255" s="2" t="str">
        <x:f>IF(A255="","",A255&amp;L255)</x:f>
      </x:c>
      <x:c r="N255" s="2" t="n">
        <x:f>IF(AND(A255='Panel'!$C$5,B255&lt;='Panel'!$N$5),B255,0)</x:f>
        <x:v>0</x:v>
      </x:c>
    </x:row>
    <x:row r="256" ht="22" customHeight="1">
      <x:c r="A256" s="6"/>
      <x:c r="B256" s="7"/>
      <x:c r="C256" s="15"/>
      <x:c r="D256" s="15"/>
      <x:c r="E256" s="13"/>
      <x:c r="F256" s="13"/>
      <x:c r="G256" s="6"/>
      <x:c r="H256" s="6"/>
      <x:c r="I256" s="6"/>
      <x:c r="J256" s="6"/>
      <x:c r="K256" s="6"/>
      <x:c r="L256" s="5" t="str">
        <x:f>IF(A256="","",IF(B256="","Eksik tarih",B256-WEEKDAY(B256,2)+1))</x:f>
      </x:c>
      <x:c r="M256" s="2" t="str">
        <x:f>IF(A256="","",A256&amp;L256)</x:f>
      </x:c>
      <x:c r="N256" s="2" t="n">
        <x:f>IF(AND(A256='Panel'!$C$5,B256&lt;='Panel'!$N$5),B256,0)</x:f>
        <x:v>0</x:v>
      </x:c>
    </x:row>
    <x:row r="257" ht="22" customHeight="1">
      <x:c r="A257" s="6"/>
      <x:c r="B257" s="7"/>
      <x:c r="C257" s="15"/>
      <x:c r="D257" s="15"/>
      <x:c r="E257" s="13"/>
      <x:c r="F257" s="13"/>
      <x:c r="G257" s="6"/>
      <x:c r="H257" s="6"/>
      <x:c r="I257" s="6"/>
      <x:c r="J257" s="6"/>
      <x:c r="K257" s="6"/>
      <x:c r="L257" s="5" t="str">
        <x:f>IF(A257="","",IF(B257="","Eksik tarih",B257-WEEKDAY(B257,2)+1))</x:f>
      </x:c>
      <x:c r="M257" s="2" t="str">
        <x:f>IF(A257="","",A257&amp;L257)</x:f>
      </x:c>
      <x:c r="N257" s="2" t="n">
        <x:f>IF(AND(A257='Panel'!$C$5,B257&lt;='Panel'!$N$5),B257,0)</x:f>
        <x:v>0</x:v>
      </x:c>
    </x:row>
    <x:row r="258" ht="22" customHeight="1">
      <x:c r="A258" s="6"/>
      <x:c r="B258" s="7"/>
      <x:c r="C258" s="15"/>
      <x:c r="D258" s="15"/>
      <x:c r="E258" s="13"/>
      <x:c r="F258" s="13"/>
      <x:c r="G258" s="6"/>
      <x:c r="H258" s="6"/>
      <x:c r="I258" s="6"/>
      <x:c r="J258" s="6"/>
      <x:c r="K258" s="6"/>
      <x:c r="L258" s="5" t="str">
        <x:f>IF(A258="","",IF(B258="","Eksik tarih",B258-WEEKDAY(B258,2)+1))</x:f>
      </x:c>
      <x:c r="M258" s="2" t="str">
        <x:f>IF(A258="","",A258&amp;L258)</x:f>
      </x:c>
      <x:c r="N258" s="2" t="n">
        <x:f>IF(AND(A258='Panel'!$C$5,B258&lt;='Panel'!$N$5),B258,0)</x:f>
        <x:v>0</x:v>
      </x:c>
    </x:row>
    <x:row r="259" ht="22" customHeight="1">
      <x:c r="A259" s="6"/>
      <x:c r="B259" s="7"/>
      <x:c r="C259" s="15"/>
      <x:c r="D259" s="15"/>
      <x:c r="E259" s="13"/>
      <x:c r="F259" s="13"/>
      <x:c r="G259" s="6"/>
      <x:c r="H259" s="6"/>
      <x:c r="I259" s="6"/>
      <x:c r="J259" s="6"/>
      <x:c r="K259" s="6"/>
      <x:c r="L259" s="5" t="str">
        <x:f>IF(A259="","",IF(B259="","Eksik tarih",B259-WEEKDAY(B259,2)+1))</x:f>
      </x:c>
      <x:c r="M259" s="2" t="str">
        <x:f>IF(A259="","",A259&amp;L259)</x:f>
      </x:c>
      <x:c r="N259" s="2" t="n">
        <x:f>IF(AND(A259='Panel'!$C$5,B259&lt;='Panel'!$N$5),B259,0)</x:f>
        <x:v>0</x:v>
      </x:c>
    </x:row>
    <x:row r="260" ht="22" customHeight="1">
      <x:c r="A260" s="6"/>
      <x:c r="B260" s="7"/>
      <x:c r="C260" s="15"/>
      <x:c r="D260" s="15"/>
      <x:c r="E260" s="13"/>
      <x:c r="F260" s="13"/>
      <x:c r="G260" s="6"/>
      <x:c r="H260" s="6"/>
      <x:c r="I260" s="6"/>
      <x:c r="J260" s="6"/>
      <x:c r="K260" s="6"/>
      <x:c r="L260" s="5" t="str">
        <x:f>IF(A260="","",IF(B260="","Eksik tarih",B260-WEEKDAY(B260,2)+1))</x:f>
      </x:c>
      <x:c r="M260" s="2" t="str">
        <x:f>IF(A260="","",A260&amp;L260)</x:f>
      </x:c>
      <x:c r="N260" s="2" t="n">
        <x:f>IF(AND(A260='Panel'!$C$5,B260&lt;='Panel'!$N$5),B260,0)</x:f>
        <x:v>0</x:v>
      </x:c>
    </x:row>
    <x:row r="261" ht="22" customHeight="1">
      <x:c r="A261" s="6"/>
      <x:c r="B261" s="7"/>
      <x:c r="C261" s="15"/>
      <x:c r="D261" s="15"/>
      <x:c r="E261" s="13"/>
      <x:c r="F261" s="13"/>
      <x:c r="G261" s="6"/>
      <x:c r="H261" s="6"/>
      <x:c r="I261" s="6"/>
      <x:c r="J261" s="6"/>
      <x:c r="K261" s="6"/>
      <x:c r="L261" s="5" t="str">
        <x:f>IF(A261="","",IF(B261="","Eksik tarih",B261-WEEKDAY(B261,2)+1))</x:f>
      </x:c>
      <x:c r="M261" s="2" t="str">
        <x:f>IF(A261="","",A261&amp;L261)</x:f>
      </x:c>
      <x:c r="N261" s="2" t="n">
        <x:f>IF(AND(A261='Panel'!$C$5,B261&lt;='Panel'!$N$5),B261,0)</x:f>
        <x:v>0</x:v>
      </x:c>
    </x:row>
    <x:row r="262" ht="22" customHeight="1">
      <x:c r="A262" s="6"/>
      <x:c r="B262" s="7"/>
      <x:c r="C262" s="15"/>
      <x:c r="D262" s="15"/>
      <x:c r="E262" s="13"/>
      <x:c r="F262" s="13"/>
      <x:c r="G262" s="6"/>
      <x:c r="H262" s="6"/>
      <x:c r="I262" s="6"/>
      <x:c r="J262" s="6"/>
      <x:c r="K262" s="6"/>
      <x:c r="L262" s="5" t="str">
        <x:f>IF(A262="","",IF(B262="","Eksik tarih",B262-WEEKDAY(B262,2)+1))</x:f>
      </x:c>
      <x:c r="M262" s="2" t="str">
        <x:f>IF(A262="","",A262&amp;L262)</x:f>
      </x:c>
      <x:c r="N262" s="2" t="n">
        <x:f>IF(AND(A262='Panel'!$C$5,B262&lt;='Panel'!$N$5),B262,0)</x:f>
        <x:v>0</x:v>
      </x:c>
    </x:row>
    <x:row r="263" ht="22" customHeight="1">
      <x:c r="A263" s="6"/>
      <x:c r="B263" s="7"/>
      <x:c r="C263" s="15"/>
      <x:c r="D263" s="15"/>
      <x:c r="E263" s="13"/>
      <x:c r="F263" s="13"/>
      <x:c r="G263" s="6"/>
      <x:c r="H263" s="6"/>
      <x:c r="I263" s="6"/>
      <x:c r="J263" s="6"/>
      <x:c r="K263" s="6"/>
      <x:c r="L263" s="5" t="str">
        <x:f>IF(A263="","",IF(B263="","Eksik tarih",B263-WEEKDAY(B263,2)+1))</x:f>
      </x:c>
      <x:c r="M263" s="2" t="str">
        <x:f>IF(A263="","",A263&amp;L263)</x:f>
      </x:c>
      <x:c r="N263" s="2" t="n">
        <x:f>IF(AND(A263='Panel'!$C$5,B263&lt;='Panel'!$N$5),B263,0)</x:f>
        <x:v>0</x:v>
      </x:c>
    </x:row>
    <x:row r="264" ht="22" customHeight="1">
      <x:c r="A264" s="6"/>
      <x:c r="B264" s="7"/>
      <x:c r="C264" s="15"/>
      <x:c r="D264" s="15"/>
      <x:c r="E264" s="13"/>
      <x:c r="F264" s="13"/>
      <x:c r="G264" s="6"/>
      <x:c r="H264" s="6"/>
      <x:c r="I264" s="6"/>
      <x:c r="J264" s="6"/>
      <x:c r="K264" s="6"/>
      <x:c r="L264" s="5" t="str">
        <x:f>IF(A264="","",IF(B264="","Eksik tarih",B264-WEEKDAY(B264,2)+1))</x:f>
      </x:c>
      <x:c r="M264" s="2" t="str">
        <x:f>IF(A264="","",A264&amp;L264)</x:f>
      </x:c>
      <x:c r="N264" s="2" t="n">
        <x:f>IF(AND(A264='Panel'!$C$5,B264&lt;='Panel'!$N$5),B264,0)</x:f>
        <x:v>0</x:v>
      </x:c>
    </x:row>
    <x:row r="265" ht="22" customHeight="1">
      <x:c r="A265" s="6"/>
      <x:c r="B265" s="7"/>
      <x:c r="C265" s="15"/>
      <x:c r="D265" s="15"/>
      <x:c r="E265" s="13"/>
      <x:c r="F265" s="13"/>
      <x:c r="G265" s="6"/>
      <x:c r="H265" s="6"/>
      <x:c r="I265" s="6"/>
      <x:c r="J265" s="6"/>
      <x:c r="K265" s="6"/>
      <x:c r="L265" s="5" t="str">
        <x:f>IF(A265="","",IF(B265="","Eksik tarih",B265-WEEKDAY(B265,2)+1))</x:f>
      </x:c>
      <x:c r="M265" s="2" t="str">
        <x:f>IF(A265="","",A265&amp;L265)</x:f>
      </x:c>
      <x:c r="N265" s="2" t="n">
        <x:f>IF(AND(A265='Panel'!$C$5,B265&lt;='Panel'!$N$5),B265,0)</x:f>
        <x:v>0</x:v>
      </x:c>
    </x:row>
    <x:row r="266" ht="22" customHeight="1">
      <x:c r="A266" s="6"/>
      <x:c r="B266" s="7"/>
      <x:c r="C266" s="15"/>
      <x:c r="D266" s="15"/>
      <x:c r="E266" s="13"/>
      <x:c r="F266" s="13"/>
      <x:c r="G266" s="6"/>
      <x:c r="H266" s="6"/>
      <x:c r="I266" s="6"/>
      <x:c r="J266" s="6"/>
      <x:c r="K266" s="6"/>
      <x:c r="L266" s="5" t="str">
        <x:f>IF(A266="","",IF(B266="","Eksik tarih",B266-WEEKDAY(B266,2)+1))</x:f>
      </x:c>
      <x:c r="M266" s="2" t="str">
        <x:f>IF(A266="","",A266&amp;L266)</x:f>
      </x:c>
      <x:c r="N266" s="2" t="n">
        <x:f>IF(AND(A266='Panel'!$C$5,B266&lt;='Panel'!$N$5),B266,0)</x:f>
        <x:v>0</x:v>
      </x:c>
    </x:row>
  </x:sheetData>
  <x:conditionalFormatting sqref="A7:B266">
    <x:cfRule type="expression" dxfId="9" priority="1">
      <x:formula>AND($A7&lt;&gt;"",COUNTIFS($M$7:$M$266,$M7)&gt;1)</x:formula>
    </x:cfRule>
  </x:conditionalFormatting>
  <x:dataValidations count="2">
    <x:dataValidation type="list" sqref="A7:A266">
      <x:formula1>'Projeler'!$A$7:$A$26</x:formula1>
    </x:dataValidation>
    <x:dataValidation type="decimal" operator="between" sqref="C7:D266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11841f8420549c5"/>
  </x:tableParts>
</x:worksheet>
</file>

<file path=xl/worksheets/sheet11.xml><?xml version="1.0" encoding="utf-8"?>
<x:worksheet xmlns:x="http://schemas.openxmlformats.org/spreadsheetml/2006/main">
  <x:sheetPr>
    <x:tabColor rgb="FF8395A7"/>
  </x:sheetPr>
  <x:sheetViews>
    <x:sheetView showGridLines="0" workbookViewId="0"/>
  </x:sheetViews>
  <x:sheetFormatPr defaultRowHeight="15"/>
  <x:cols>
    <x:col min="1" max="1" width="3" hidden="0" customWidth="1"/>
    <x:col min="2" max="2" width="2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2" customHeight="1">
      <x:c r="A2" s="2"/>
      <x:c r="B2" s="3" t="str">
        <x:v>Kullanım ve hesaplama kuralları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2" customHeight="1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2"/>
      <x:c r="B5" s="44" t="str">
        <x:v>Başlangıç</x:v>
      </x:c>
      <x:c r="C5" s="31" t="str">
        <x:v>Dosyadaki üç proje ve tüm kayıtlar örnektir. Kendi verinizle değiştirmeden sunum sonucu olarak kullanmayın.</x:v>
      </x:c>
      <x:c r="D5" s="31"/>
      <x:c r="E5" s="31"/>
      <x:c r="F5" s="31"/>
      <x:c r="G5" s="31"/>
      <x:c r="H5" s="31"/>
      <x:c r="I5" s="31"/>
      <x:c r="J5" s="31"/>
      <x:c r="K5" s="31"/>
      <x:c r="L5" s="31"/>
    </x:row>
    <x:row r="6" ht="23" customHeight="1">
      <x:c r="A6" s="2"/>
      <x:c r="B6" s="2"/>
      <x:c r="C6" s="31"/>
      <x:c r="D6" s="31"/>
      <x:c r="E6" s="31"/>
      <x:c r="F6" s="31"/>
      <x:c r="G6" s="31"/>
      <x:c r="H6" s="31"/>
      <x:c r="I6" s="31"/>
      <x:c r="J6" s="31"/>
      <x:c r="K6" s="31"/>
      <x:c r="L6" s="31"/>
    </x:row>
    <x:row r="7" ht="23" customHeight="1">
      <x:c r="A7" s="2"/>
      <x:c r="B7" s="44" t="str">
        <x:v>1. Projeyi tanımlayın</x:v>
      </x:c>
      <x:c r="C7" s="31" t="str">
        <x:v>Projeler sayfasında benzersiz Proje ID, ad, yönetici, onaylı başlangıç/bitiş ve bütçeyi girin. Kalan iş için saat ve ortalama saat maliyetini güncelleyin.</x:v>
      </x:c>
      <x:c r="D7" s="31"/>
      <x:c r="E7" s="31"/>
      <x:c r="F7" s="31"/>
      <x:c r="G7" s="31"/>
      <x:c r="H7" s="31"/>
      <x:c r="I7" s="31"/>
      <x:c r="J7" s="31"/>
      <x:c r="K7" s="31"/>
      <x:c r="L7" s="31"/>
    </x:row>
    <x:row r="8" ht="23" customHeight="1">
      <x:c r="A8" s="2"/>
      <x:c r="B8" s="2"/>
      <x:c r="C8" s="31"/>
      <x:c r="D8" s="31"/>
      <x:c r="E8" s="31"/>
      <x:c r="F8" s="31"/>
      <x:c r="G8" s="31"/>
      <x:c r="H8" s="31"/>
      <x:c r="I8" s="31"/>
      <x:c r="J8" s="31"/>
      <x:c r="K8" s="31"/>
      <x:c r="L8" s="31"/>
    </x:row>
    <x:row r="9" ht="23" customHeight="1">
      <x:c r="A9" s="2"/>
      <x:c r="B9" s="44" t="str">
        <x:v>2. İş paketlerini girin</x:v>
      </x:c>
      <x:c r="C9" s="31" t="str">
        <x:v>Gorevler sayfasında tarih, sorumlu, birim, ağırlık ve % ilerlemeyi girin. Tahmini / gerçek bitiş alanını her hafta yenileyin. Bitmiş işte gerçek bitiş tarihini kullanın.</x:v>
      </x:c>
      <x:c r="D9" s="31"/>
      <x:c r="E9" s="31"/>
      <x:c r="F9" s="31"/>
      <x:c r="G9" s="31"/>
      <x:c r="H9" s="31"/>
      <x:c r="I9" s="31"/>
      <x:c r="J9" s="31"/>
      <x:c r="K9" s="31"/>
      <x:c r="L9" s="31"/>
    </x:row>
    <x:row r="10" ht="23" customHeight="1">
      <x:c r="A10" s="2"/>
      <x:c r="B10" s="2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</x:row>
    <x:row r="11" ht="23" customHeight="1">
      <x:c r="A11" s="2"/>
      <x:c r="B11" s="44" t="str">
        <x:v>3. Eforu kaydedin</x:v>
      </x:c>
      <x:c r="C11" s="31" t="str">
        <x:v>Efor sayfasında her kişi ve tarih için saat girin. Aynı kişi her kayıtta aynı Personel ID kullanmalı. Bir kişi birden fazla satırda çalışabilir.</x:v>
      </x:c>
      <x:c r="D11" s="31"/>
      <x:c r="E11" s="31"/>
      <x:c r="F11" s="31"/>
      <x:c r="G11" s="31"/>
      <x:c r="H11" s="31"/>
      <x:c r="I11" s="31"/>
      <x:c r="J11" s="31"/>
      <x:c r="K11" s="31"/>
      <x:c r="L11" s="31"/>
    </x:row>
    <x:row r="12" ht="23" customHeight="1">
      <x:c r="A12" s="2"/>
      <x:c r="B12" s="2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</x:row>
    <x:row r="13" ht="23" customHeight="1">
      <x:c r="A13" s="2"/>
      <x:c r="B13" s="44" t="str">
        <x:v>4. Alımları izleyin</x:v>
      </x:c>
      <x:c r="C13" s="31" t="str">
        <x:v>Maliyetler sayfasında alım/hizmetleri Gerçekleşen veya Kalan tahmin olarak tutun. Alım gerçekleşince mevcut satırın durumunu ve tarihini değiştirin. Aynı alımı iki kez eklemeyin.</x:v>
      </x:c>
      <x:c r="D13" s="31"/>
      <x:c r="E13" s="31"/>
      <x:c r="F13" s="31"/>
      <x:c r="G13" s="31"/>
      <x:c r="H13" s="31"/>
      <x:c r="I13" s="31"/>
      <x:c r="J13" s="31"/>
      <x:c r="K13" s="31"/>
      <x:c r="L13" s="31"/>
    </x:row>
    <x:row r="14" ht="23" customHeight="1">
      <x:c r="A14" s="2"/>
      <x:c r="B14" s="2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</x:row>
    <x:row r="15" ht="23" customHeight="1">
      <x:c r="A15" s="2"/>
      <x:c r="B15" s="44" t="str">
        <x:v>5. Risk ve aksiyon</x:v>
      </x:c>
      <x:c r="C15" s="31" t="str">
        <x:v>Riskler için sahibi, azaltıcı önlem ve hedef tarih girin. Aksiyonlar için sorumlu, hedef ve durum girin. Tamamlanan aksiyona tamamlanma tarihi ekleyin.</x:v>
      </x:c>
      <x:c r="D15" s="31"/>
      <x:c r="E15" s="31"/>
      <x:c r="F15" s="31"/>
      <x:c r="G15" s="31"/>
      <x:c r="H15" s="31"/>
      <x:c r="I15" s="31"/>
      <x:c r="J15" s="31"/>
      <x:c r="K15" s="31"/>
      <x:c r="L15" s="31"/>
    </x:row>
    <x:row r="16" ht="23" customHeight="1">
      <x:c r="A16" s="2"/>
      <x:c r="B16" s="2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</x:row>
    <x:row r="17" ht="23" customHeight="1">
      <x:c r="A17" s="2"/>
      <x:c r="B17" s="44" t="str">
        <x:v>6. Haftalık sunum</x:v>
      </x:c>
      <x:c r="C17" s="31" t="str">
        <x:v>Panel C5 alanından projeyi ve N5 alanından rapor tarihini seçin. Portfoy tüm projeleri, Takvim seçili projenin iş paketlerini gösterir. Sarı hücreler veri girişidir.</x:v>
      </x:c>
      <x:c r="D17" s="31"/>
      <x:c r="E17" s="31"/>
      <x:c r="F17" s="31"/>
      <x:c r="G17" s="31"/>
      <x:c r="H17" s="31"/>
      <x:c r="I17" s="31"/>
      <x:c r="J17" s="31"/>
      <x:c r="K17" s="31"/>
      <x:c r="L17" s="31"/>
    </x:row>
    <x:row r="18" ht="23" customHeight="1">
      <x:c r="A18" s="2"/>
      <x:c r="B18" s="2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</x:row>
    <x:row r="19" ht="23" customHeight="1">
      <x:c r="A19" s="2"/>
      <x:c r="B19" s="44" t="str">
        <x:v>7. Haftayı arşivleyin</x:v>
      </x:c>
      <x:c r="C19" s="31" t="str">
        <x:v>Panel B68:H68 satırını kopyalayın. Haftalik sayfasında yeni satırın A:G alanına Özel Yapıştır &gt; Değerler ile yapıştırın. H:K alanlarına yapılanlar, sonraki hafta ve karar notlarını yazın.</x:v>
      </x:c>
      <x:c r="D19" s="31"/>
      <x:c r="E19" s="31"/>
      <x:c r="F19" s="31"/>
      <x:c r="G19" s="31"/>
      <x:c r="H19" s="31"/>
      <x:c r="I19" s="31"/>
      <x:c r="J19" s="31"/>
      <x:c r="K19" s="31"/>
      <x:c r="L19" s="31"/>
    </x:row>
    <x:row r="20" ht="23" customHeight="1">
      <x:c r="A20" s="2"/>
      <x:c r="B20" s="2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</x:row>
    <x:row r="21" ht="23" customHeight="1">
      <x:c r="A21" s="2"/>
      <x:c r="B21" s="44" t="str">
        <x:v>Arşiv disiplini</x:v>
      </x:c>
      <x:c r="C21" s="31" t="str">
        <x:v>Her proje ve Pazartesi başlayan hafta için tek arşiv satırı kullanın. Aynı haftayı düzeltirken mevcut satırı güncelleyin. Arşiv değerleri sabit kalır; kendiliğinden hafta kaydı oluşturulmaz.</x:v>
      </x:c>
      <x:c r="D21" s="31"/>
      <x:c r="E21" s="31"/>
      <x:c r="F21" s="31"/>
      <x:c r="G21" s="31"/>
      <x:c r="H21" s="31"/>
      <x:c r="I21" s="31"/>
      <x:c r="J21" s="31"/>
      <x:c r="K21" s="31"/>
      <x:c r="L21" s="31"/>
    </x:row>
    <x:row r="22" ht="23" customHeight="1">
      <x:c r="A22" s="2"/>
      <x:c r="B22" s="2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</x:row>
    <x:row r="23" ht="23" customHeight="1">
      <x:c r="A23" s="2"/>
      <x:c r="B23" s="44" t="str">
        <x:v>Rapor tarihinin anlamı</x:v>
      </x:c>
      <x:c r="C23" s="31" t="str">
        <x:v>Efor ve gerçekleşen alımlar rapor tarihine kadar toplanır. Bu hafta, Pazartesi ile rapor tarihi arasıdır. Görev %, kalan tahminler ve risk/aksiyon durumları güncel fotoğraftır.</x:v>
      </x:c>
      <x:c r="D23" s="31"/>
      <x:c r="E23" s="31"/>
      <x:c r="F23" s="31"/>
      <x:c r="G23" s="31"/>
      <x:c r="H23" s="31"/>
      <x:c r="I23" s="31"/>
      <x:c r="J23" s="31"/>
      <x:c r="K23" s="31"/>
      <x:c r="L23" s="31"/>
    </x:row>
    <x:row r="24" ht="23" customHeight="1">
      <x:c r="A24" s="2"/>
      <x:c r="B24" s="2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</x:row>
    <x:row r="25" ht="23" customHeight="1">
      <x:c r="A25" s="2"/>
      <x:c r="B25" s="44" t="str">
        <x:v>Geçmiş hafta raporu</x:v>
      </x:c>
      <x:c r="C25" s="31" t="str">
        <x:v>Yalnızca rapor tarihini geri almak geçmiş görev %, kalan maliyet ve durumları geri getirmez. Geçmiş sunumu Haftalik arşivinden inceleyin. Trend grafiği önceki haftaları arşivden alır.</x:v>
      </x:c>
      <x:c r="D25" s="31"/>
      <x:c r="E25" s="31"/>
      <x:c r="F25" s="31"/>
      <x:c r="G25" s="31"/>
      <x:c r="H25" s="31"/>
      <x:c r="I25" s="31"/>
      <x:c r="J25" s="31"/>
      <x:c r="K25" s="31"/>
      <x:c r="L25" s="31"/>
    </x:row>
    <x:row r="26" ht="23" customHeight="1">
      <x:c r="A26" s="2"/>
      <x:c r="B26" s="2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</x:row>
    <x:row r="27" ht="23" customHeight="1">
      <x:c r="A27" s="2"/>
      <x:c r="B27" s="44" t="str">
        <x:v>Tamamlanma oranı</x:v>
      </x:c>
      <x:c r="C27" s="31" t="str">
        <x:v>Her görevin ağırlığı × güncel tamamlanma oranı toplanır ve toplam ağırlığa bölünür. Ağırlıklar 100 olmak zorunda değildir. Efor saati veya kapsam büyüklüğüne göre tutarlı ağırlık verin.</x:v>
      </x:c>
      <x:c r="D27" s="31"/>
      <x:c r="E27" s="31"/>
      <x:c r="F27" s="31"/>
      <x:c r="G27" s="31"/>
      <x:c r="H27" s="31"/>
      <x:c r="I27" s="31"/>
      <x:c r="J27" s="31"/>
      <x:c r="K27" s="31"/>
      <x:c r="L27" s="31"/>
    </x:row>
    <x:row r="28" ht="23" customHeight="1">
      <x:c r="A28" s="2"/>
      <x:c r="B28" s="2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</x:row>
    <x:row r="29" ht="23" customHeight="1">
      <x:c r="A29" s="2"/>
      <x:c r="B29" s="44" t="str">
        <x:v>Planlanan ilerleme</x:v>
      </x:c>
      <x:c r="C29" s="31" t="str">
        <x:v>Görev başlangıç ve bitiş tarihleri arasında takvim günlerine göre doğrusal ilerleme varsayılır. Hafta sonları ve resmi tatiller ayrıca çıkarılmaz. İş paketi ağırlıklarıyla proje plan % hesaplanır.</x:v>
      </x:c>
      <x:c r="D29" s="31"/>
      <x:c r="E29" s="31"/>
      <x:c r="F29" s="31"/>
      <x:c r="G29" s="31"/>
      <x:c r="H29" s="31"/>
      <x:c r="I29" s="31"/>
      <x:c r="J29" s="31"/>
      <x:c r="K29" s="31"/>
      <x:c r="L29" s="31"/>
    </x:row>
    <x:row r="30" ht="23" customHeight="1">
      <x:c r="A30" s="2"/>
      <x:c r="B30" s="2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</x:row>
    <x:row r="31" ht="23" customHeight="1">
      <x:c r="A31" s="2"/>
      <x:c r="B31" s="44" t="str">
        <x:v>Takvim sapması</x:v>
      </x:c>
      <x:c r="C31" s="31" t="str">
        <x:v>Gerçek % − plan % farkı yüzde puan olarak gösterilir. -5 puanın altı Dikkat, -10 puanın altı Gecikiyor kabul edilir. Tahmini proje bitişi plan bitişini aşarsa Gecikiyor gösterilir.</x:v>
      </x:c>
      <x:c r="D31" s="31"/>
      <x:c r="E31" s="31"/>
      <x:c r="F31" s="31"/>
      <x:c r="G31" s="31"/>
      <x:c r="H31" s="31"/>
      <x:c r="I31" s="31"/>
      <x:c r="J31" s="31"/>
      <x:c r="K31" s="31"/>
      <x:c r="L31" s="31"/>
    </x:row>
    <x:row r="32" ht="23" customHeight="1">
      <x:c r="A32" s="2"/>
      <x:c r="B32" s="2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</x:row>
    <x:row r="33" ht="23" customHeight="1">
      <x:c r="A33" s="2"/>
      <x:c r="B33" s="44" t="str">
        <x:v>Bitiş tahmini</x:v>
      </x:c>
      <x:c r="C33" s="31" t="str">
        <x:v>Projenin tahmini bitişi görevlerin en geç güncel bitişidir. Bitiş sapması = tahmini bitiş − onaylı proje bitişi; öne geçişte 0 gösterilir. Öncül ID bilgi amaçlıdır; tarihler otomatik ötelenmez.</x:v>
      </x:c>
      <x:c r="D33" s="31"/>
      <x:c r="E33" s="31"/>
      <x:c r="F33" s="31"/>
      <x:c r="G33" s="31"/>
      <x:c r="H33" s="31"/>
      <x:c r="I33" s="31"/>
      <x:c r="J33" s="31"/>
      <x:c r="K33" s="31"/>
      <x:c r="L33" s="31"/>
    </x:row>
    <x:row r="34" ht="23" customHeight="1">
      <x:c r="A34" s="2"/>
      <x:c r="B34" s="2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</x:row>
    <x:row r="35" ht="23" customHeight="1">
      <x:c r="A35" s="2"/>
      <x:c r="B35" s="44" t="str">
        <x:v>Efor ve kişi sayısı</x:v>
      </x:c>
      <x:c r="C35" s="31" t="str">
        <x:v>Efor maliyeti = saat × o kaydın saat maliyeti. Kişi sayısı proje ve dönem içinde benzersiz Personel ID sayısıdır. Birim saatleri Panel altındaki birim adlarından beslenir; adları gerekirse değiştirin.</x:v>
      </x:c>
      <x:c r="D35" s="31"/>
      <x:c r="E35" s="31"/>
      <x:c r="F35" s="31"/>
      <x:c r="G35" s="31"/>
      <x:c r="H35" s="31"/>
      <x:c r="I35" s="31"/>
      <x:c r="J35" s="31"/>
      <x:c r="K35" s="31"/>
      <x:c r="L35" s="31"/>
    </x:row>
    <x:row r="36" ht="23" customHeight="1">
      <x:c r="A36" s="2"/>
      <x:c r="B36" s="2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</x:row>
    <x:row r="37" ht="23" customHeight="1">
      <x:c r="A37" s="2"/>
      <x:c r="B37" s="44" t="str">
        <x:v>Maliyet ve bütçe</x:v>
      </x:c>
      <x:c r="C37" s="31" t="str">
        <x:v>Tahmini toplam = gerçekleşen efor + gerçekleşen alımlar + kalan efor tahmini + kalan alım tahmini. Kalan efor = kalan saat × ortalama saat maliyeti. Bütçe farkı = bütçe − tahmini toplam; negatif değer aşım demektir.</x:v>
      </x:c>
      <x:c r="D37" s="31"/>
      <x:c r="E37" s="31"/>
      <x:c r="F37" s="31"/>
      <x:c r="G37" s="31"/>
      <x:c r="H37" s="31"/>
      <x:c r="I37" s="31"/>
      <x:c r="J37" s="31"/>
      <x:c r="K37" s="31"/>
      <x:c r="L37" s="31"/>
    </x:row>
    <x:row r="38" ht="23" customHeight="1">
      <x:c r="A38" s="2"/>
      <x:c r="B38" s="2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</x:row>
    <x:row r="39" ht="23" customHeight="1">
      <x:c r="A39" s="2"/>
      <x:c r="B39" s="44" t="str">
        <x:v>Kapsam ve para birimi</x:v>
      </x:c>
      <x:c r="C39" s="31" t="str">
        <x:v>Tüm parasal tutarlar TL ve KDV hariç kabul edilmiştir. Kalan efor yalnızca henüz çalışılmamış işleri kapsamalıdır. Efor kayıtlarındaki çalışan maliyetini ayrıca alım satırına eklemeyin.</x:v>
      </x:c>
      <x:c r="D39" s="31"/>
      <x:c r="E39" s="31"/>
      <x:c r="F39" s="31"/>
      <x:c r="G39" s="31"/>
      <x:c r="H39" s="31"/>
      <x:c r="I39" s="31"/>
      <x:c r="J39" s="31"/>
      <x:c r="K39" s="31"/>
      <x:c r="L39" s="31"/>
    </x:row>
    <x:row r="40" ht="23" customHeight="1">
      <x:c r="A40" s="2"/>
      <x:c r="B40" s="2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</x:row>
    <x:row r="41" ht="23" customHeight="1">
      <x:c r="A41" s="2"/>
      <x:c r="B41" s="44" t="str">
        <x:v>Risk puanı</x:v>
      </x:c>
      <x:c r="C41" s="31" t="str">
        <x:v>Olasılık ve etki 1–5 ölçeğindedir. Puan = olasılık × etki. 1–4 Düşük, 5–9 Orta, 10–15 Yüksek, 16–25 Kritik. Kapalı riskler açık risk sayısına girmez.</x:v>
      </x:c>
      <x:c r="D41" s="31"/>
      <x:c r="E41" s="31"/>
      <x:c r="F41" s="31"/>
      <x:c r="G41" s="31"/>
      <x:c r="H41" s="31"/>
      <x:c r="I41" s="31"/>
      <x:c r="J41" s="31"/>
      <x:c r="K41" s="31"/>
      <x:c r="L41" s="31"/>
    </x:row>
    <x:row r="42" ht="23" customHeight="1">
      <x:c r="A42" s="2"/>
      <x:c r="B42" s="2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</x:row>
    <x:row r="43" ht="23" customHeight="1">
      <x:c r="A43" s="2"/>
      <x:c r="B43" s="44" t="str">
        <x:v>Eksik veri ve sıfır</x:v>
      </x:c>
      <x:c r="C43" s="31" t="str">
        <x:v>Eksik zorunlu girdileri tamamlayın; hesaplanan alanlarda Eksik mesajı görünebilir. Gerçekten kalan iş yoksa kalan saat ve birim maliyet alanlarına 0 yazın. Boş girdi ile sıfır farklıdır.</x:v>
      </x:c>
      <x:c r="D43" s="31"/>
      <x:c r="E43" s="31"/>
      <x:c r="F43" s="31"/>
      <x:c r="G43" s="31"/>
      <x:c r="H43" s="31"/>
      <x:c r="I43" s="31"/>
      <x:c r="J43" s="31"/>
      <x:c r="K43" s="31"/>
      <x:c r="L43" s="31"/>
    </x:row>
    <x:row r="44" ht="23" customHeight="1">
      <x:c r="A44" s="2"/>
      <x:c r="B44" s="2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</x:row>
    <x:row r="45" ht="23" customHeight="1">
      <x:c r="A45" s="2"/>
      <x:c r="B45" s="44" t="str">
        <x:v>Gantt görünümü</x:v>
      </x:c>
      <x:c r="C45" s="31" t="str">
        <x:v>Yeşil bant, girilen ilerleme yüzdesinin plan süresine dağıtılmış görsel karşılığıdır; günlük gerçekleşme kaydı değildir. Kırmızı bant, girilen güncel bitişin planı aşan bölümüdür.</x:v>
      </x:c>
      <x:c r="D45" s="31"/>
      <x:c r="E45" s="31"/>
      <x:c r="F45" s="31"/>
      <x:c r="G45" s="31"/>
      <x:c r="H45" s="31"/>
      <x:c r="I45" s="31"/>
      <x:c r="J45" s="31"/>
      <x:c r="K45" s="31"/>
      <x:c r="L45" s="31"/>
    </x:row>
    <x:row r="46" ht="23" customHeight="1">
      <x:c r="A46" s="2"/>
      <x:c r="B46" s="2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</x:row>
    <x:row r="47" ht="23" customHeight="1">
      <x:c r="A47" s="2"/>
      <x:c r="B47" s="44" t="str">
        <x:v>Hazır kapasite</x:v>
      </x:c>
      <x:c r="C47" s="31" t="str">
        <x:v>20 proje, 200 görev, 600 efor kaydı, 200 alım, 120 risk, 200 aksiyon ve 260 haftalık kayıt hazırdır. Son hazır satırdan sonra ekleme yaparsanız formül, doğrulama ve özet aralıklarını da genişletin.</x:v>
      </x:c>
      <x:c r="D47" s="31"/>
      <x:c r="E47" s="31"/>
      <x:c r="F47" s="31"/>
      <x:c r="G47" s="31"/>
      <x:c r="H47" s="31"/>
      <x:c r="I47" s="31"/>
      <x:c r="J47" s="31"/>
      <x:c r="K47" s="31"/>
      <x:c r="L47" s="31"/>
    </x:row>
    <x:row r="48" ht="23" customHeight="1">
      <x:c r="A48" s="2"/>
      <x:c r="B48" s="2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</x:row>
    <x:row r="49" ht="23" customHeight="1">
      <x:c r="A49" s="2"/>
      <x:c r="B49" s="44" t="str">
        <x:v>Görünüm sınırları</x:v>
      </x:c>
      <x:c r="C49" s="31" t="str">
        <x:v>Takvim ilk 40 görevi ve 26 haftayı gösterir. Panel listeleri ilk 6 kayıttır; tüm kayıtlar ilgili veri sayfasındadır. Trend son 12 haftadır. Kayıtsız haftalar çizilmez; grafik veri alanındaki #N/A bu amaçla kullanılır.</x:v>
      </x:c>
      <x:c r="D49" s="31"/>
      <x:c r="E49" s="31"/>
      <x:c r="F49" s="31"/>
      <x:c r="G49" s="31"/>
      <x:c r="H49" s="31"/>
      <x:c r="I49" s="31"/>
      <x:c r="J49" s="31"/>
      <x:c r="K49" s="31"/>
      <x:c r="L49" s="31"/>
    </x:row>
    <x:row r="50" ht="23" customHeight="1">
      <x:c r="A50" s="2"/>
      <x:c r="B50" s="2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</x:row>
    <x:row r="51" ht="23" customHeight="1">
      <x:c r="A51" s="2"/>
      <x:c r="B51" s="44" t="str">
        <x:v>Excel kullanımı</x:v>
      </x:c>
      <x:c r="C51" s="31" t="str">
        <x:v>Masaüstü Excel önerilir. Formüller ve dört yerel Excel grafiği veri değiştikçe güncellenir; makro gerekmez. Hesaplama modunu Otomatik tutun. Tablo başlıklarından filtre uygulayabilirsiniz.</x:v>
      </x:c>
      <x:c r="D51" s="31"/>
      <x:c r="E51" s="31"/>
      <x:c r="F51" s="31"/>
      <x:c r="G51" s="31"/>
      <x:c r="H51" s="31"/>
      <x:c r="I51" s="31"/>
      <x:c r="J51" s="31"/>
      <x:c r="K51" s="31"/>
      <x:c r="L51" s="31"/>
    </x:row>
    <x:row r="52" ht="23" customHeight="1">
      <x:c r="A52" s="2"/>
      <x:c r="B52" s="2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</x:row>
    <x:row r="53" ht="22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22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22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22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22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22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22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22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22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22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</x:sheetData>
  <x:mergeCells>
    <x:mergeCell ref="C5:L6"/>
    <x:mergeCell ref="C7:L8"/>
    <x:mergeCell ref="C9:L10"/>
    <x:mergeCell ref="C11:L12"/>
    <x:mergeCell ref="C13:L14"/>
    <x:mergeCell ref="C15:L16"/>
    <x:mergeCell ref="C17:L18"/>
    <x:mergeCell ref="C19:L20"/>
    <x:mergeCell ref="C21:L22"/>
    <x:mergeCell ref="C23:L24"/>
    <x:mergeCell ref="C25:L26"/>
    <x:mergeCell ref="C27:L28"/>
    <x:mergeCell ref="C29:L30"/>
    <x:mergeCell ref="C31:L32"/>
    <x:mergeCell ref="C33:L34"/>
    <x:mergeCell ref="C35:L36"/>
    <x:mergeCell ref="C37:L38"/>
    <x:mergeCell ref="C39:L40"/>
    <x:mergeCell ref="C41:L42"/>
    <x:mergeCell ref="C43:L44"/>
    <x:mergeCell ref="C45:L46"/>
    <x:mergeCell ref="C47:L48"/>
    <x:mergeCell ref="C49:L50"/>
    <x:mergeCell ref="C51:L52"/>
  </x:mergeCells>
  <x:pageMargins left="0.7" right="0.7" top="0.75" bottom="0.75" header="0.3" footer="0.3"/>
</x:worksheet>
</file>